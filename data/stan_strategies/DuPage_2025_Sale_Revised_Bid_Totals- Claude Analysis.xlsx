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vised Non-Commercial" sheetId="2" state="visible" r:id="rId4"/>
    <sheet name="Commercial" sheetId="3" state="visible" r:id="rId5"/>
    <sheet name="Removed - Full Inst Under 3K" sheetId="4" state="visible" r:id="rId6"/>
  </sheets>
  <definedNames>
    <definedName function="false" hidden="true" localSheetId="2" name="_xlnm._FilterDatabase" vbProcedure="false">Commercial!$A$1:$AD$24</definedName>
    <definedName function="false" hidden="true" localSheetId="3" name="_xlnm._FilterDatabase" vbProcedure="false">'Removed - Full Inst Under 3K'!$A$1:$AD$74</definedName>
    <definedName function="false" hidden="true" localSheetId="1" name="_xlnm._FilterDatabase" vbProcedure="false">'Revised Non-Commercial'!$A$1:$AD$1143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<sst xmlns="http://schemas.openxmlformats.org/spreadsheetml/2006/main" count="10017" uniqueCount="5007">
  <si>
    <t xml:space="preserve">DuPage County 2025 Tax Sale – Revised Bid Totals</t>
  </si>
  <si>
    <t xml:space="preserve">Removed: certs under $3,000 where both installments are delinquent (HalfInstallment = FALSE). Commercial = ClassCode "60 - Commercial Improvements".</t>
  </si>
  <si>
    <t xml:space="preserve">Category</t>
  </si>
  <si>
    <t xml:space="preserve">Cert Count</t>
  </si>
  <si>
    <t xml:space="preserve">Dollar Amount</t>
  </si>
  <si>
    <t xml:space="preserve">Revised Non-Commercial (Residential)</t>
  </si>
  <si>
    <t xml:space="preserve">Commercial</t>
  </si>
  <si>
    <t xml:space="preserve">Revised Total (keep)</t>
  </si>
  <si>
    <t xml:space="preserve">Removed – Full Inst Under $3,000</t>
  </si>
  <si>
    <t xml:space="preserve">Original Bid List Total</t>
  </si>
  <si>
    <t xml:space="preserve">Flags in revised list</t>
  </si>
  <si>
    <t xml:space="preserve">   2024 comment "DNB-Open Sold Taxes" (Revised Non-Commercial)</t>
  </si>
  <si>
    <t xml:space="preserve">   2024 comment "DNB-Open Sold Taxes" (Commercial)</t>
  </si>
  <si>
    <t xml:space="preserve">Ok to Buy</t>
  </si>
  <si>
    <t xml:space="preserve">Do Not Buy</t>
  </si>
  <si>
    <t xml:space="preserve">TempBid</t>
  </si>
  <si>
    <t xml:space="preserve">Bid</t>
  </si>
  <si>
    <t xml:space="preserve">Comment</t>
  </si>
  <si>
    <t xml:space="preserve">2024Comment</t>
  </si>
  <si>
    <t xml:space="preserve">2024Bid</t>
  </si>
  <si>
    <t xml:space="preserve">2023OkToBuy</t>
  </si>
  <si>
    <t xml:space="preserve">2023DoNotBuy</t>
  </si>
  <si>
    <t xml:space="preserve">2023Comment</t>
  </si>
  <si>
    <t xml:space="preserve">Taxpayer Name</t>
  </si>
  <si>
    <t xml:space="preserve">Parcel Number</t>
  </si>
  <si>
    <t xml:space="preserve">PINNoDashes</t>
  </si>
  <si>
    <t xml:space="preserve">Assessed Land</t>
  </si>
  <si>
    <t xml:space="preserve">Assessed Bldg</t>
  </si>
  <si>
    <t xml:space="preserve">ClassCode</t>
  </si>
  <si>
    <t xml:space="preserve">SaleAmt</t>
  </si>
  <si>
    <t xml:space="preserve">SaleDt</t>
  </si>
  <si>
    <t xml:space="preserve">MortAmt</t>
  </si>
  <si>
    <t xml:space="preserve">MortDt</t>
  </si>
  <si>
    <t xml:space="preserve">2ndMort</t>
  </si>
  <si>
    <t xml:space="preserve">2ndMortDt</t>
  </si>
  <si>
    <t xml:space="preserve">Lien</t>
  </si>
  <si>
    <t xml:space="preserve">Judgmt</t>
  </si>
  <si>
    <t xml:space="preserve">Property Address 1</t>
  </si>
  <si>
    <t xml:space="preserve">Property City</t>
  </si>
  <si>
    <t xml:space="preserve">Back Tax</t>
  </si>
  <si>
    <t xml:space="preserve">TotalTaxBilled</t>
  </si>
  <si>
    <t xml:space="preserve">Judgment Amount</t>
  </si>
  <si>
    <t xml:space="preserve">HalfInstallment</t>
  </si>
  <si>
    <t xml:space="preserve">PATEL  INDIRA</t>
  </si>
  <si>
    <t xml:space="preserve">01-01-205-018</t>
  </si>
  <si>
    <t xml:space="preserve">0101205018</t>
  </si>
  <si>
    <t xml:space="preserve">40 - Residential Improvements</t>
  </si>
  <si>
    <t xml:space="preserve">N</t>
  </si>
  <si>
    <t xml:space="preserve">1634 OAK ST</t>
  </si>
  <si>
    <t xml:space="preserve">HANOVER PARK</t>
  </si>
  <si>
    <t xml:space="preserve">GRAVINA  VINCENZO</t>
  </si>
  <si>
    <t xml:space="preserve">01-01-425-032</t>
  </si>
  <si>
    <t xml:space="preserve">0101425032</t>
  </si>
  <si>
    <t xml:space="preserve">1239 DUNAMON DR</t>
  </si>
  <si>
    <t xml:space="preserve">BARTLETT</t>
  </si>
  <si>
    <t xml:space="preserve">KENNEDY  MICHAEL</t>
  </si>
  <si>
    <t xml:space="preserve">01-02-200-012</t>
  </si>
  <si>
    <t xml:space="preserve">0102200012</t>
  </si>
  <si>
    <t xml:space="preserve">Y</t>
  </si>
  <si>
    <t xml:space="preserve">716 BALBOA TER W</t>
  </si>
  <si>
    <t xml:space="preserve">CABRAL  PORFIRIO &amp; F P</t>
  </si>
  <si>
    <t xml:space="preserve">01-02-201-129</t>
  </si>
  <si>
    <t xml:space="preserve">0102201129</t>
  </si>
  <si>
    <t xml:space="preserve">446 HARBOR TER</t>
  </si>
  <si>
    <t xml:space="preserve">SHAHY LLC</t>
  </si>
  <si>
    <t xml:space="preserve">01-02-203-010</t>
  </si>
  <si>
    <t xml:space="preserve">0102203010</t>
  </si>
  <si>
    <t xml:space="preserve">742 VOYAGER DR</t>
  </si>
  <si>
    <t xml:space="preserve">KOHL  SCOTT &amp; ANDREA</t>
  </si>
  <si>
    <t xml:space="preserve">01-02-414-012</t>
  </si>
  <si>
    <t xml:space="preserve">0102414012</t>
  </si>
  <si>
    <t xml:space="preserve">951 TALLGRASS DR</t>
  </si>
  <si>
    <t xml:space="preserve">MILLER  JONATHAN &amp; JAMIE</t>
  </si>
  <si>
    <t xml:space="preserve">01-03-104-017</t>
  </si>
  <si>
    <t xml:space="preserve">0103104017</t>
  </si>
  <si>
    <t xml:space="preserve">707 BRAINTREE LN</t>
  </si>
  <si>
    <t xml:space="preserve">GABRICH  F &amp; T &amp;D GARRICK</t>
  </si>
  <si>
    <t xml:space="preserve">01-03-304-030</t>
  </si>
  <si>
    <t xml:space="preserve">0103304030</t>
  </si>
  <si>
    <t xml:space="preserve">936 CUYAHOGA TERR</t>
  </si>
  <si>
    <t xml:space="preserve">BATOZHYNSKA  YANA</t>
  </si>
  <si>
    <t xml:space="preserve">01-09-415-007</t>
  </si>
  <si>
    <t xml:space="preserve">0109415007</t>
  </si>
  <si>
    <t xml:space="preserve">1120 THOUSAND OAKS DR</t>
  </si>
  <si>
    <t xml:space="preserve">CONCEPCION  CARLOS DELA</t>
  </si>
  <si>
    <t xml:space="preserve">01-09-415-022</t>
  </si>
  <si>
    <t xml:space="preserve">0109415022</t>
  </si>
  <si>
    <t xml:space="preserve">1189 CHARTER OAKS DR</t>
  </si>
  <si>
    <t xml:space="preserve">FARIAS  REBECCA &amp; ADELINE</t>
  </si>
  <si>
    <t xml:space="preserve">01-10-102-023</t>
  </si>
  <si>
    <t xml:space="preserve">0110102023</t>
  </si>
  <si>
    <t xml:space="preserve">968 LAKEWOOD DR</t>
  </si>
  <si>
    <t xml:space="preserve">FIEROH  NANCY J</t>
  </si>
  <si>
    <t xml:space="preserve">01-10-104-002</t>
  </si>
  <si>
    <t xml:space="preserve">0110104002</t>
  </si>
  <si>
    <t xml:space="preserve">835 BRYN MAWR AVE</t>
  </si>
  <si>
    <t xml:space="preserve">LOFDAHL  SANDRA L &amp; D J</t>
  </si>
  <si>
    <t xml:space="preserve">01-11-109-008</t>
  </si>
  <si>
    <t xml:space="preserve">0111109008</t>
  </si>
  <si>
    <t xml:space="preserve">985 HUMMINGBIRD WAY # 43/B</t>
  </si>
  <si>
    <t xml:space="preserve">ANDRADE  ROLANDO</t>
  </si>
  <si>
    <t xml:space="preserve">01-11-200-024</t>
  </si>
  <si>
    <t xml:space="preserve">0111200024</t>
  </si>
  <si>
    <t xml:space="preserve">258 JACKSON CT</t>
  </si>
  <si>
    <t xml:space="preserve">MIROWSKI  RAYMOND</t>
  </si>
  <si>
    <t xml:space="preserve">01-12-107-020</t>
  </si>
  <si>
    <t xml:space="preserve">0112107020</t>
  </si>
  <si>
    <t xml:space="preserve">5356 NIVEN LN</t>
  </si>
  <si>
    <t xml:space="preserve">THAKKAR  JIGAR &amp; SHRADDHA</t>
  </si>
  <si>
    <t xml:space="preserve">01-12-210-022</t>
  </si>
  <si>
    <t xml:space="preserve">0112210022</t>
  </si>
  <si>
    <t xml:space="preserve">1915 LUCILLE LN</t>
  </si>
  <si>
    <t xml:space="preserve">MARTINEZ  MARTHA E</t>
  </si>
  <si>
    <t xml:space="preserve">01-13-103-059</t>
  </si>
  <si>
    <t xml:space="preserve">0113103059</t>
  </si>
  <si>
    <t xml:space="preserve">2151 ROB ROY CT</t>
  </si>
  <si>
    <t xml:space="preserve">JOHNSON  ROBERT L</t>
  </si>
  <si>
    <t xml:space="preserve">01-13-104-056</t>
  </si>
  <si>
    <t xml:space="preserve">0113104056</t>
  </si>
  <si>
    <t xml:space="preserve">2119 GLASGOW CT</t>
  </si>
  <si>
    <t xml:space="preserve">SINGH  KAMLA</t>
  </si>
  <si>
    <t xml:space="preserve">01-13-107-028</t>
  </si>
  <si>
    <t xml:space="preserve">0113107028</t>
  </si>
  <si>
    <t xml:space="preserve">4695 GREEN BRIDGE LN</t>
  </si>
  <si>
    <t xml:space="preserve">ROSTRON  MICHAEL</t>
  </si>
  <si>
    <t xml:space="preserve">01-13-126-040</t>
  </si>
  <si>
    <t xml:space="preserve">0113126040</t>
  </si>
  <si>
    <t xml:space="preserve">1628 COLUMBIA CIR # 3</t>
  </si>
  <si>
    <t xml:space="preserve">CHICAGO TITLE LAND TRUST CO</t>
  </si>
  <si>
    <t xml:space="preserve">01-13-213-074</t>
  </si>
  <si>
    <t xml:space="preserve">0113213074</t>
  </si>
  <si>
    <t xml:space="preserve">4413 BELL LN</t>
  </si>
  <si>
    <t xml:space="preserve">THAKKAR  SANJANA</t>
  </si>
  <si>
    <t xml:space="preserve">01-13-215-043</t>
  </si>
  <si>
    <t xml:space="preserve">0113215043</t>
  </si>
  <si>
    <t xml:space="preserve">4723 JEFFERSON ST</t>
  </si>
  <si>
    <t xml:space="preserve">SMITH  BRIAN</t>
  </si>
  <si>
    <t xml:space="preserve">01-13-309-013</t>
  </si>
  <si>
    <t xml:space="preserve">0113309013</t>
  </si>
  <si>
    <t xml:space="preserve">2284 HARBOR LN</t>
  </si>
  <si>
    <t xml:space="preserve">PATEL  JEETENDRA</t>
  </si>
  <si>
    <t xml:space="preserve">01-13-312-053</t>
  </si>
  <si>
    <t xml:space="preserve">0113312053</t>
  </si>
  <si>
    <t xml:space="preserve">4060 PENNSBURY CT</t>
  </si>
  <si>
    <t xml:space="preserve">MCINERNEY  PATRICK &amp; C A</t>
  </si>
  <si>
    <t xml:space="preserve">01-13-403-064</t>
  </si>
  <si>
    <t xml:space="preserve">0113403064</t>
  </si>
  <si>
    <t xml:space="preserve">4015 TORONTO CT</t>
  </si>
  <si>
    <t xml:space="preserve">KIEU  CU</t>
  </si>
  <si>
    <t xml:space="preserve">01-13-412-014</t>
  </si>
  <si>
    <t xml:space="preserve">0113412014</t>
  </si>
  <si>
    <t xml:space="preserve">1874 PASTORAL LN</t>
  </si>
  <si>
    <t xml:space="preserve">ELLISON  JASON</t>
  </si>
  <si>
    <t xml:space="preserve">01-15-100-010</t>
  </si>
  <si>
    <t xml:space="preserve">0115100010</t>
  </si>
  <si>
    <t xml:space="preserve">29W520 SCHICK RD</t>
  </si>
  <si>
    <t xml:space="preserve">HUBLER  JUSTIN &amp; ASHLIE HARPE</t>
  </si>
  <si>
    <t xml:space="preserve">01-18-210-019</t>
  </si>
  <si>
    <t xml:space="preserve">0118210019</t>
  </si>
  <si>
    <t xml:space="preserve">32W224 ARMY TRAIL RD</t>
  </si>
  <si>
    <t xml:space="preserve">WAYNE</t>
  </si>
  <si>
    <t xml:space="preserve">KANCHWALA  ALI</t>
  </si>
  <si>
    <t xml:space="preserve">01-19-102-027</t>
  </si>
  <si>
    <t xml:space="preserve">0119102027</t>
  </si>
  <si>
    <t xml:space="preserve">2647 BAINBRIDGE BLVD</t>
  </si>
  <si>
    <t xml:space="preserve">WEST CHICAGO</t>
  </si>
  <si>
    <t xml:space="preserve">PATEL  SAMEERKUMAR &amp; J &amp; L</t>
  </si>
  <si>
    <t xml:space="preserve">01-19-302-043</t>
  </si>
  <si>
    <t xml:space="preserve">0119302043</t>
  </si>
  <si>
    <t xml:space="preserve">2599 BARNHART ST</t>
  </si>
  <si>
    <t xml:space="preserve">AVILA  MARTIN &amp; B REYES</t>
  </si>
  <si>
    <t xml:space="preserve">01-19-307-025</t>
  </si>
  <si>
    <t xml:space="preserve">0119307025</t>
  </si>
  <si>
    <t xml:space="preserve">2915 CULVER LN</t>
  </si>
  <si>
    <t xml:space="preserve">MOTTASHED  ELIZABETH</t>
  </si>
  <si>
    <t xml:space="preserve">01-20-406-006</t>
  </si>
  <si>
    <t xml:space="preserve">0120406006</t>
  </si>
  <si>
    <t xml:space="preserve">31W181 PRAIRIE LN</t>
  </si>
  <si>
    <t xml:space="preserve">EVANS  FLEM E &amp; DONNA</t>
  </si>
  <si>
    <t xml:space="preserve">01-20-407-006</t>
  </si>
  <si>
    <t xml:space="preserve">0120407006</t>
  </si>
  <si>
    <t xml:space="preserve">4N050 LAKE ELEANOR CT</t>
  </si>
  <si>
    <t xml:space="preserve">MATUSZEWSKI  BEATA &amp; G</t>
  </si>
  <si>
    <t xml:space="preserve">01-23-411-004</t>
  </si>
  <si>
    <t xml:space="preserve">0123411004</t>
  </si>
  <si>
    <t xml:space="preserve">1164 ROBIN DR</t>
  </si>
  <si>
    <t xml:space="preserve">CAROL STREAM</t>
  </si>
  <si>
    <t xml:space="preserve">STROLE  MICHELLE</t>
  </si>
  <si>
    <t xml:space="preserve">01-23-411-012</t>
  </si>
  <si>
    <t xml:space="preserve">0123411012</t>
  </si>
  <si>
    <t xml:space="preserve">1186 ROBIN DR</t>
  </si>
  <si>
    <t xml:space="preserve">KAMALIA  MANOJ P &amp; MANJU</t>
  </si>
  <si>
    <t xml:space="preserve">01-24-107-018</t>
  </si>
  <si>
    <t xml:space="preserve">0124107018</t>
  </si>
  <si>
    <t xml:space="preserve">3901 SPRINGLAKE DR</t>
  </si>
  <si>
    <t xml:space="preserve">ROMAN  ANTONIO &amp; VERONICA</t>
  </si>
  <si>
    <t xml:space="preserve">01-24-113-032</t>
  </si>
  <si>
    <t xml:space="preserve">0124113032</t>
  </si>
  <si>
    <t xml:space="preserve">2112 WINDWARD LN</t>
  </si>
  <si>
    <t xml:space="preserve">WEST SUBURBAN BK 14147</t>
  </si>
  <si>
    <t xml:space="preserve">01-24-116-004</t>
  </si>
  <si>
    <t xml:space="preserve">0124116004</t>
  </si>
  <si>
    <t xml:space="preserve">1323 GLOUCESTER CIR</t>
  </si>
  <si>
    <t xml:space="preserve">NAWAB  SYED &amp; G SULTANA</t>
  </si>
  <si>
    <t xml:space="preserve">01-24-118-014</t>
  </si>
  <si>
    <t xml:space="preserve">0124118014</t>
  </si>
  <si>
    <t xml:space="preserve">1304 WOODLAKE DR</t>
  </si>
  <si>
    <t xml:space="preserve">MIELE  MARY A</t>
  </si>
  <si>
    <t xml:space="preserve">01-24-126-028</t>
  </si>
  <si>
    <t xml:space="preserve">0124126028</t>
  </si>
  <si>
    <t xml:space="preserve">1043 RIDGEFIELD CIR</t>
  </si>
  <si>
    <t xml:space="preserve">INTAL  ELVIRA</t>
  </si>
  <si>
    <t xml:space="preserve">01-24-127-005</t>
  </si>
  <si>
    <t xml:space="preserve">0124127005</t>
  </si>
  <si>
    <t xml:space="preserve">1098 RIDGEFIELD CIR</t>
  </si>
  <si>
    <t xml:space="preserve">STAUNTON  CHRISTINE</t>
  </si>
  <si>
    <t xml:space="preserve">01-24-127-051</t>
  </si>
  <si>
    <t xml:space="preserve">0124127051</t>
  </si>
  <si>
    <t xml:space="preserve">1252 LAKE SHORE DR</t>
  </si>
  <si>
    <t xml:space="preserve">GANDHI  NISCHAL H &amp; PRIYA</t>
  </si>
  <si>
    <t xml:space="preserve">01-24-203-011</t>
  </si>
  <si>
    <t xml:space="preserve">0124203011</t>
  </si>
  <si>
    <t xml:space="preserve">3955 NAUTILUS LN</t>
  </si>
  <si>
    <t xml:space="preserve">RUSEF  RAMSEY</t>
  </si>
  <si>
    <t xml:space="preserve">01-24-216-013</t>
  </si>
  <si>
    <t xml:space="preserve">0124216013</t>
  </si>
  <si>
    <t xml:space="preserve">1680 NAUTILUS LN</t>
  </si>
  <si>
    <t xml:space="preserve">SINGH FAM TR  CECIL&amp;KAMLA</t>
  </si>
  <si>
    <t xml:space="preserve">01-24-409-001</t>
  </si>
  <si>
    <t xml:space="preserve">0124409001</t>
  </si>
  <si>
    <t xml:space="preserve">1137 COUNTRY GLEN LN</t>
  </si>
  <si>
    <t xml:space="preserve">SYED  U &amp; M KHUSHTAR</t>
  </si>
  <si>
    <t xml:space="preserve">01-24-415-047</t>
  </si>
  <si>
    <t xml:space="preserve">0124415047</t>
  </si>
  <si>
    <t xml:space="preserve">1349 TRINITY DR</t>
  </si>
  <si>
    <t xml:space="preserve">PATEL  NIRAV &amp; MITTAL</t>
  </si>
  <si>
    <t xml:space="preserve">01-24-416-024</t>
  </si>
  <si>
    <t xml:space="preserve">0124416024</t>
  </si>
  <si>
    <t xml:space="preserve">778 TRINITY CT</t>
  </si>
  <si>
    <t xml:space="preserve">GORA  DANIEL W</t>
  </si>
  <si>
    <t xml:space="preserve">01-25-201-021</t>
  </si>
  <si>
    <t xml:space="preserve">0125201021</t>
  </si>
  <si>
    <t xml:space="preserve">987 VALLEY VIEW TR</t>
  </si>
  <si>
    <t xml:space="preserve">MARYEA  A &amp; B MELESAW</t>
  </si>
  <si>
    <t xml:space="preserve">01-25-406-010</t>
  </si>
  <si>
    <t xml:space="preserve">0125406010</t>
  </si>
  <si>
    <t xml:space="preserve">582 PONTIAC LN</t>
  </si>
  <si>
    <t xml:space="preserve">NGUYEN  HUY V</t>
  </si>
  <si>
    <t xml:space="preserve">01-25-409-012</t>
  </si>
  <si>
    <t xml:space="preserve">0125409012</t>
  </si>
  <si>
    <t xml:space="preserve">551 ALTON CT</t>
  </si>
  <si>
    <t xml:space="preserve">GANLEY-LIEBICH  MARIE</t>
  </si>
  <si>
    <t xml:space="preserve">01-26-401-034</t>
  </si>
  <si>
    <t xml:space="preserve">0126401034</t>
  </si>
  <si>
    <t xml:space="preserve">627 CHRISTOPHER LN</t>
  </si>
  <si>
    <t xml:space="preserve">PLUTOLUNA LLC</t>
  </si>
  <si>
    <t xml:space="preserve">01-28-103-019</t>
  </si>
  <si>
    <t xml:space="preserve">0128103019</t>
  </si>
  <si>
    <t xml:space="preserve">3N631 LAKEVIEW CT</t>
  </si>
  <si>
    <t xml:space="preserve">EVANS  FLEM D &amp; DONNA L</t>
  </si>
  <si>
    <t xml:space="preserve">01-28-201-011</t>
  </si>
  <si>
    <t xml:space="preserve">0128201011</t>
  </si>
  <si>
    <t xml:space="preserve">3N752 LOCUST AVE</t>
  </si>
  <si>
    <t xml:space="preserve">EVANS  FLEM &amp; DONNA</t>
  </si>
  <si>
    <t xml:space="preserve">01-28-401-036</t>
  </si>
  <si>
    <t xml:space="preserve">0128401036</t>
  </si>
  <si>
    <t xml:space="preserve">2080 ARAPAHO DR</t>
  </si>
  <si>
    <t xml:space="preserve">NIKU REAL ESTATE LLC</t>
  </si>
  <si>
    <t xml:space="preserve">01-30-103-013</t>
  </si>
  <si>
    <t xml:space="preserve">0130103013</t>
  </si>
  <si>
    <t xml:space="preserve">511 PHEASANT TR</t>
  </si>
  <si>
    <t xml:space="preserve">ST CHARLES</t>
  </si>
  <si>
    <t xml:space="preserve">BANDUCCI  LUIGI &amp; MARIA</t>
  </si>
  <si>
    <t xml:space="preserve">01-30-103-016</t>
  </si>
  <si>
    <t xml:space="preserve">0130103016</t>
  </si>
  <si>
    <t xml:space="preserve">505 PHEASANT TRL</t>
  </si>
  <si>
    <t xml:space="preserve">MC INTOSH  THOMAS</t>
  </si>
  <si>
    <t xml:space="preserve">01-30-105-017</t>
  </si>
  <si>
    <t xml:space="preserve">0130105017</t>
  </si>
  <si>
    <t xml:space="preserve">670 PHEASANT TRL</t>
  </si>
  <si>
    <t xml:space="preserve">RAMOS  REYSON CARLO</t>
  </si>
  <si>
    <t xml:space="preserve">01-33-204-016</t>
  </si>
  <si>
    <t xml:space="preserve">0133204016</t>
  </si>
  <si>
    <t xml:space="preserve">1409 SNOWBERRY LN</t>
  </si>
  <si>
    <t xml:space="preserve">GAUTAM  NEEL &amp; PREKSHA</t>
  </si>
  <si>
    <t xml:space="preserve">01-33-416-004</t>
  </si>
  <si>
    <t xml:space="preserve">0133416004</t>
  </si>
  <si>
    <t xml:space="preserve">123 TARA LN</t>
  </si>
  <si>
    <t xml:space="preserve">FLORIAN  NANCY</t>
  </si>
  <si>
    <t xml:space="preserve">01-35-200-006</t>
  </si>
  <si>
    <t xml:space="preserve">0135200006</t>
  </si>
  <si>
    <t xml:space="preserve">2N721 FAIR OAKS RD</t>
  </si>
  <si>
    <t xml:space="preserve">RITCHIE  SHARON</t>
  </si>
  <si>
    <t xml:space="preserve">01-35-303-003</t>
  </si>
  <si>
    <t xml:space="preserve">0135303003</t>
  </si>
  <si>
    <t xml:space="preserve">28W681 INDIAN KNOLL RD</t>
  </si>
  <si>
    <t xml:space="preserve">DAVEY  ALICIA</t>
  </si>
  <si>
    <t xml:space="preserve">01-36-200-012</t>
  </si>
  <si>
    <t xml:space="preserve">0136200012</t>
  </si>
  <si>
    <t xml:space="preserve">2N600 JEFFERSON ST</t>
  </si>
  <si>
    <t xml:space="preserve">KERTH  DAN P</t>
  </si>
  <si>
    <t xml:space="preserve">01-36-202-096</t>
  </si>
  <si>
    <t xml:space="preserve">0136202096</t>
  </si>
  <si>
    <t xml:space="preserve">506 DAKOTA CT</t>
  </si>
  <si>
    <t xml:space="preserve">OBERJAT  FRANZ &amp;ANNELIESE</t>
  </si>
  <si>
    <t xml:space="preserve">01-36-202-110</t>
  </si>
  <si>
    <t xml:space="preserve">0136202110</t>
  </si>
  <si>
    <t xml:space="preserve">815 TEXAS CT</t>
  </si>
  <si>
    <t xml:space="preserve">KUKOLJ  DUSAN</t>
  </si>
  <si>
    <t xml:space="preserve">02-01-302-001</t>
  </si>
  <si>
    <t xml:space="preserve">0201302001</t>
  </si>
  <si>
    <t xml:space="preserve">21W665 THORNDALE AVE</t>
  </si>
  <si>
    <t xml:space="preserve">MEDINAH</t>
  </si>
  <si>
    <t xml:space="preserve">ESPINOSA  MARIA</t>
  </si>
  <si>
    <t xml:space="preserve">02-02-104-064</t>
  </si>
  <si>
    <t xml:space="preserve">0202104064</t>
  </si>
  <si>
    <t xml:space="preserve">618 E DEVON AVE</t>
  </si>
  <si>
    <t xml:space="preserve">ROSELLE</t>
  </si>
  <si>
    <t xml:space="preserve">02-02-104-065</t>
  </si>
  <si>
    <t xml:space="preserve">0202104065</t>
  </si>
  <si>
    <t xml:space="preserve">616 E DEVON AVE</t>
  </si>
  <si>
    <t xml:space="preserve">WATSON  WILLIAM J</t>
  </si>
  <si>
    <t xml:space="preserve">02-02-104-066</t>
  </si>
  <si>
    <t xml:space="preserve">0202104066</t>
  </si>
  <si>
    <t xml:space="preserve">614 E DEVON AVE</t>
  </si>
  <si>
    <t xml:space="preserve">KRIEPKE  ANGELA</t>
  </si>
  <si>
    <t xml:space="preserve">02-02-104-099</t>
  </si>
  <si>
    <t xml:space="preserve">0202104099</t>
  </si>
  <si>
    <t xml:space="preserve">676 CIRCLE DR</t>
  </si>
  <si>
    <t xml:space="preserve">02-02-104-139</t>
  </si>
  <si>
    <t xml:space="preserve">0202104139</t>
  </si>
  <si>
    <t xml:space="preserve">671 CIRCLE DR</t>
  </si>
  <si>
    <t xml:space="preserve">WERR  ROBERT M</t>
  </si>
  <si>
    <t xml:space="preserve">02-02-106-053</t>
  </si>
  <si>
    <t xml:space="preserve">0202106053</t>
  </si>
  <si>
    <t xml:space="preserve">624 E GRANVILLE AVE</t>
  </si>
  <si>
    <t xml:space="preserve">ATG TRUST</t>
  </si>
  <si>
    <t xml:space="preserve">02-02-306-016</t>
  </si>
  <si>
    <t xml:space="preserve">0202306016</t>
  </si>
  <si>
    <t xml:space="preserve">427 LOCUST LN</t>
  </si>
  <si>
    <t xml:space="preserve">O BRIEN  TIMOTHY J</t>
  </si>
  <si>
    <t xml:space="preserve">02-02-315-069</t>
  </si>
  <si>
    <t xml:space="preserve">0202315069</t>
  </si>
  <si>
    <t xml:space="preserve">5 TERRY DR # A</t>
  </si>
  <si>
    <t xml:space="preserve">RICO  CARMEN</t>
  </si>
  <si>
    <t xml:space="preserve">02-02-334-002</t>
  </si>
  <si>
    <t xml:space="preserve">0202334002</t>
  </si>
  <si>
    <t xml:space="preserve">38 TERRY DR # B</t>
  </si>
  <si>
    <t xml:space="preserve">GORNY  WALLY &amp; URSULA</t>
  </si>
  <si>
    <t xml:space="preserve">02-03-100-008</t>
  </si>
  <si>
    <t xml:space="preserve">0203100008</t>
  </si>
  <si>
    <t xml:space="preserve">370 THOROUGHBRED LN</t>
  </si>
  <si>
    <t xml:space="preserve">ANJUMAN-E-SHUJAEE</t>
  </si>
  <si>
    <t xml:space="preserve">02-03-218-003</t>
  </si>
  <si>
    <t xml:space="preserve">0203218003</t>
  </si>
  <si>
    <t xml:space="preserve">341 AMBLESIDE DR</t>
  </si>
  <si>
    <t xml:space="preserve">TYBOROWICZ  WOJCIECH</t>
  </si>
  <si>
    <t xml:space="preserve">02-03-221-003</t>
  </si>
  <si>
    <t xml:space="preserve">0203221003</t>
  </si>
  <si>
    <t xml:space="preserve">57 E HATTENDORF AVE # 401</t>
  </si>
  <si>
    <t xml:space="preserve">GURVITS  ARFENYA G</t>
  </si>
  <si>
    <t xml:space="preserve">02-03-222-016</t>
  </si>
  <si>
    <t xml:space="preserve">0203222016</t>
  </si>
  <si>
    <t xml:space="preserve">100 N BOKELMAN ST # 325</t>
  </si>
  <si>
    <t xml:space="preserve">GIZZI  ROSE MARIE</t>
  </si>
  <si>
    <t xml:space="preserve">02-03-222-074</t>
  </si>
  <si>
    <t xml:space="preserve">0203222074</t>
  </si>
  <si>
    <t xml:space="preserve">50 N BOKELMAN ST # 339</t>
  </si>
  <si>
    <t xml:space="preserve">PENA  AMY</t>
  </si>
  <si>
    <t xml:space="preserve">02-03-418-025</t>
  </si>
  <si>
    <t xml:space="preserve">0203418025</t>
  </si>
  <si>
    <t xml:space="preserve">315 E PINE AVE</t>
  </si>
  <si>
    <t xml:space="preserve">BELLAVIA  JOSEPH &amp; SYLVIA</t>
  </si>
  <si>
    <t xml:space="preserve">02-04-300-012</t>
  </si>
  <si>
    <t xml:space="preserve">0204300012</t>
  </si>
  <si>
    <t xml:space="preserve">980 BORDEN DR</t>
  </si>
  <si>
    <t xml:space="preserve">COMMUNITY SAVINGS BK</t>
  </si>
  <si>
    <t xml:space="preserve">02-04-309-089</t>
  </si>
  <si>
    <t xml:space="preserve">0204309089</t>
  </si>
  <si>
    <t xml:space="preserve">1045 OLYMPIA LN</t>
  </si>
  <si>
    <t xml:space="preserve">HUZVAR  LADISLAV &amp;MARGITA</t>
  </si>
  <si>
    <t xml:space="preserve">02-04-415-028</t>
  </si>
  <si>
    <t xml:space="preserve">0204415028</t>
  </si>
  <si>
    <t xml:space="preserve">410 MERRIMAC CT</t>
  </si>
  <si>
    <t xml:space="preserve">NIRTAUT KNEPLER  JOANNE</t>
  </si>
  <si>
    <t xml:space="preserve">02-05-219-071</t>
  </si>
  <si>
    <t xml:space="preserve">0205219071</t>
  </si>
  <si>
    <t xml:space="preserve">1300 WINFIELD CT # 3</t>
  </si>
  <si>
    <t xml:space="preserve">PASHKIVSKYY  TARAS</t>
  </si>
  <si>
    <t xml:space="preserve">02-05-220-277</t>
  </si>
  <si>
    <t xml:space="preserve">0205220277</t>
  </si>
  <si>
    <t xml:space="preserve">161 BRENDON CT</t>
  </si>
  <si>
    <t xml:space="preserve">HUNTINGTON  PATRICIA E</t>
  </si>
  <si>
    <t xml:space="preserve">02-05-220-278</t>
  </si>
  <si>
    <t xml:space="preserve">0205220278</t>
  </si>
  <si>
    <t xml:space="preserve">177 AVALON CT</t>
  </si>
  <si>
    <t xml:space="preserve">MERLOS  EUGENIA</t>
  </si>
  <si>
    <t xml:space="preserve">02-06-104-169</t>
  </si>
  <si>
    <t xml:space="preserve">0206104169</t>
  </si>
  <si>
    <t xml:space="preserve">1509 SUTTER DR # 43-1</t>
  </si>
  <si>
    <t xml:space="preserve">MCLENNAN  B &amp;B &amp;L STEWART</t>
  </si>
  <si>
    <t xml:space="preserve">01-21-405-002</t>
  </si>
  <si>
    <t xml:space="preserve">0121405002</t>
  </si>
  <si>
    <t xml:space="preserve">4N141 LOCUST AVE</t>
  </si>
  <si>
    <t xml:space="preserve">CHICAGO TITLE 8002372154</t>
  </si>
  <si>
    <t xml:space="preserve">01-21-405-005</t>
  </si>
  <si>
    <t xml:space="preserve">0121405005</t>
  </si>
  <si>
    <t xml:space="preserve">4N091 LOCUST AVE</t>
  </si>
  <si>
    <t xml:space="preserve">PATEL  KETAN</t>
  </si>
  <si>
    <t xml:space="preserve">01-22-100-038</t>
  </si>
  <si>
    <t xml:space="preserve">0122100038</t>
  </si>
  <si>
    <t xml:space="preserve">4N714 TURNMILL LN</t>
  </si>
  <si>
    <t xml:space="preserve">FAST FINANCIAL CORP</t>
  </si>
  <si>
    <t xml:space="preserve">02-06-104-233</t>
  </si>
  <si>
    <t xml:space="preserve">0206104233</t>
  </si>
  <si>
    <t xml:space="preserve">1448 BEAR FLAG DR</t>
  </si>
  <si>
    <t xml:space="preserve">WALLACE  LEON</t>
  </si>
  <si>
    <t xml:space="preserve">02-06-104-241</t>
  </si>
  <si>
    <t xml:space="preserve">0206104241</t>
  </si>
  <si>
    <t xml:space="preserve">1500 BEAR FLAG DR</t>
  </si>
  <si>
    <t xml:space="preserve">AJA INVESTMENTS LLC</t>
  </si>
  <si>
    <t xml:space="preserve">02-06-105-067</t>
  </si>
  <si>
    <t xml:space="preserve">0206105067</t>
  </si>
  <si>
    <t xml:space="preserve">1443 SACRAMENTO DR</t>
  </si>
  <si>
    <t xml:space="preserve">CASTANEDA  YANELI</t>
  </si>
  <si>
    <t xml:space="preserve">02-06-309-018</t>
  </si>
  <si>
    <t xml:space="preserve">0206309018</t>
  </si>
  <si>
    <t xml:space="preserve">5700 UNIT CT</t>
  </si>
  <si>
    <t xml:space="preserve">GHADIR PROPERTIES LLC</t>
  </si>
  <si>
    <t xml:space="preserve">02-06-405-029</t>
  </si>
  <si>
    <t xml:space="preserve">0206405029</t>
  </si>
  <si>
    <t xml:space="preserve">5677 COURT TIBURON</t>
  </si>
  <si>
    <t xml:space="preserve">REID  KEVIN E</t>
  </si>
  <si>
    <t xml:space="preserve">02-07-101-017</t>
  </si>
  <si>
    <t xml:space="preserve">0207101017</t>
  </si>
  <si>
    <t xml:space="preserve">5506 COOPER CT</t>
  </si>
  <si>
    <t xml:space="preserve">ADESANYA  PHOENIA OLUSESAN</t>
  </si>
  <si>
    <t xml:space="preserve">02-07-204-067</t>
  </si>
  <si>
    <t xml:space="preserve">0207204067</t>
  </si>
  <si>
    <t xml:space="preserve">5568 CARMEL DR</t>
  </si>
  <si>
    <t xml:space="preserve">DNB-Open Sold Taxes</t>
  </si>
  <si>
    <t xml:space="preserve">SINGH  VIRPAL</t>
  </si>
  <si>
    <t xml:space="preserve">02-07-204-075</t>
  </si>
  <si>
    <t xml:space="preserve">0207204075</t>
  </si>
  <si>
    <t xml:space="preserve">5581 CARMEL DR</t>
  </si>
  <si>
    <t xml:space="preserve">SANTAMARIA  FRANCISCO</t>
  </si>
  <si>
    <t xml:space="preserve">02-07-205-099</t>
  </si>
  <si>
    <t xml:space="preserve">0207205099</t>
  </si>
  <si>
    <t xml:space="preserve">1316 COURT O</t>
  </si>
  <si>
    <t xml:space="preserve">SOLIS  DANIEL</t>
  </si>
  <si>
    <t xml:space="preserve">02-07-205-107</t>
  </si>
  <si>
    <t xml:space="preserve">0207205107</t>
  </si>
  <si>
    <t xml:space="preserve">1321 COURT P</t>
  </si>
  <si>
    <t xml:space="preserve">CHARTER BK &amp; TR ILLINOIS</t>
  </si>
  <si>
    <t xml:space="preserve">02-08-102-003</t>
  </si>
  <si>
    <t xml:space="preserve">0208102003</t>
  </si>
  <si>
    <t xml:space="preserve">25W545 LAKE ST</t>
  </si>
  <si>
    <t xml:space="preserve">KEENEYVILLE</t>
  </si>
  <si>
    <t xml:space="preserve">CHARTER BK &amp; TR</t>
  </si>
  <si>
    <t xml:space="preserve">02-08-102-005</t>
  </si>
  <si>
    <t xml:space="preserve">0208102005</t>
  </si>
  <si>
    <t xml:space="preserve">25W531 LAKE ST</t>
  </si>
  <si>
    <t xml:space="preserve">RYAN  BRANDON M</t>
  </si>
  <si>
    <t xml:space="preserve">02-08-109-004</t>
  </si>
  <si>
    <t xml:space="preserve">0208109004</t>
  </si>
  <si>
    <t xml:space="preserve">934 VIOLET DR</t>
  </si>
  <si>
    <t xml:space="preserve">SCHEKHTAYAN  NOR &amp; LUANNE</t>
  </si>
  <si>
    <t xml:space="preserve">02-08-215-009</t>
  </si>
  <si>
    <t xml:space="preserve">0208215009</t>
  </si>
  <si>
    <t xml:space="preserve">721 S BERWICK PLACE</t>
  </si>
  <si>
    <t xml:space="preserve">ROHDENBURG  MICHAEL S</t>
  </si>
  <si>
    <t xml:space="preserve">02-08-403-015</t>
  </si>
  <si>
    <t xml:space="preserve">0208403015</t>
  </si>
  <si>
    <t xml:space="preserve">6N254 WHEATON RD</t>
  </si>
  <si>
    <t xml:space="preserve">KASIARZ  STANLEY</t>
  </si>
  <si>
    <t xml:space="preserve">02-09-131-012</t>
  </si>
  <si>
    <t xml:space="preserve">0209131012</t>
  </si>
  <si>
    <t xml:space="preserve">716 PRESCOTT DR # 304</t>
  </si>
  <si>
    <t xml:space="preserve">LAUK ENTERPRISES LLC</t>
  </si>
  <si>
    <t xml:space="preserve">02-09-302-059</t>
  </si>
  <si>
    <t xml:space="preserve">0209302059</t>
  </si>
  <si>
    <t xml:space="preserve">24W523 LAKE ST</t>
  </si>
  <si>
    <t xml:space="preserve">FRASE  ROLAND J</t>
  </si>
  <si>
    <t xml:space="preserve">02-10-107-020</t>
  </si>
  <si>
    <t xml:space="preserve">0210107020</t>
  </si>
  <si>
    <t xml:space="preserve">620 S ROSELLE RD</t>
  </si>
  <si>
    <t xml:space="preserve">TOLLMAN  JEROME</t>
  </si>
  <si>
    <t xml:space="preserve">02-10-110-017</t>
  </si>
  <si>
    <t xml:space="preserve">0210110017</t>
  </si>
  <si>
    <t xml:space="preserve">6N375 ROSEDALE RD</t>
  </si>
  <si>
    <t xml:space="preserve">ABBATE  CONO &amp; ANGELA</t>
  </si>
  <si>
    <t xml:space="preserve">02-10-214-002</t>
  </si>
  <si>
    <t xml:space="preserve">0210214002</t>
  </si>
  <si>
    <t xml:space="preserve">707 SPRING ST</t>
  </si>
  <si>
    <t xml:space="preserve">TRHTRI3324CTLT</t>
  </si>
  <si>
    <t xml:space="preserve">02-11-103-015</t>
  </si>
  <si>
    <t xml:space="preserve">0211103015</t>
  </si>
  <si>
    <t xml:space="preserve">433 RIDGE CT</t>
  </si>
  <si>
    <t xml:space="preserve">CARDER  MARYLOU B</t>
  </si>
  <si>
    <t xml:space="preserve">02-11-112-008</t>
  </si>
  <si>
    <t xml:space="preserve">0211112008</t>
  </si>
  <si>
    <t xml:space="preserve">615 E TURNER AVE</t>
  </si>
  <si>
    <t xml:space="preserve">OLSZEWSKI  RAFAL &amp; K</t>
  </si>
  <si>
    <t xml:space="preserve">02-11-116-013</t>
  </si>
  <si>
    <t xml:space="preserve">0211116013</t>
  </si>
  <si>
    <t xml:space="preserve">730 KIPLING CT</t>
  </si>
  <si>
    <t xml:space="preserve">BASS  JONATHAN</t>
  </si>
  <si>
    <t xml:space="preserve">02-11-302-016</t>
  </si>
  <si>
    <t xml:space="preserve">0211302016</t>
  </si>
  <si>
    <t xml:space="preserve">6N275 CIRCLE AVE</t>
  </si>
  <si>
    <t xml:space="preserve">COLELLA  DOMINIC</t>
  </si>
  <si>
    <t xml:space="preserve">02-11-304-018</t>
  </si>
  <si>
    <t xml:space="preserve">0211304018</t>
  </si>
  <si>
    <t xml:space="preserve">22W501 JOSEPH CT</t>
  </si>
  <si>
    <t xml:space="preserve">RAINES  ANTHONY &amp; JULIE</t>
  </si>
  <si>
    <t xml:space="preserve">02-11-306-007</t>
  </si>
  <si>
    <t xml:space="preserve">0211306007</t>
  </si>
  <si>
    <t xml:space="preserve">221 BROKER RD</t>
  </si>
  <si>
    <t xml:space="preserve">BLOOMINGDALE</t>
  </si>
  <si>
    <t xml:space="preserve">KALUZA  ANDY S</t>
  </si>
  <si>
    <t xml:space="preserve">02-11-403-003</t>
  </si>
  <si>
    <t xml:space="preserve">0211403003</t>
  </si>
  <si>
    <t xml:space="preserve">6N355 SPRING CT</t>
  </si>
  <si>
    <t xml:space="preserve">WALTON  JOHN L</t>
  </si>
  <si>
    <t xml:space="preserve">02-11-406-037</t>
  </si>
  <si>
    <t xml:space="preserve">0211406037</t>
  </si>
  <si>
    <t xml:space="preserve">6N204 ACACIA LN</t>
  </si>
  <si>
    <t xml:space="preserve">MOLFESE  ESTHER S</t>
  </si>
  <si>
    <t xml:space="preserve">02-12-403-009</t>
  </si>
  <si>
    <t xml:space="preserve">0212403009</t>
  </si>
  <si>
    <t xml:space="preserve">21W134 SHELLEY DR</t>
  </si>
  <si>
    <t xml:space="preserve">ITASCA</t>
  </si>
  <si>
    <t xml:space="preserve">O REILLY  DONNA S</t>
  </si>
  <si>
    <t xml:space="preserve">02-12-406-032</t>
  </si>
  <si>
    <t xml:space="preserve">0212406032</t>
  </si>
  <si>
    <t xml:space="preserve">1289 ST ANDREW CIR</t>
  </si>
  <si>
    <t xml:space="preserve">SHANQUE HOLDINGS LLC</t>
  </si>
  <si>
    <t xml:space="preserve">02-12-406-053</t>
  </si>
  <si>
    <t xml:space="preserve">0212406053</t>
  </si>
  <si>
    <t xml:space="preserve">1288 PRESTWICK LN</t>
  </si>
  <si>
    <t xml:space="preserve">POCHYLSKI  ROMAN</t>
  </si>
  <si>
    <t xml:space="preserve">02-13-409-037</t>
  </si>
  <si>
    <t xml:space="preserve">0213409037</t>
  </si>
  <si>
    <t xml:space="preserve">21W276 TEE LN</t>
  </si>
  <si>
    <t xml:space="preserve">MARTENS  NANCY</t>
  </si>
  <si>
    <t xml:space="preserve">02-14-200-022</t>
  </si>
  <si>
    <t xml:space="preserve">0214200022</t>
  </si>
  <si>
    <t xml:space="preserve">22W220 SPRING VALLEY DR</t>
  </si>
  <si>
    <t xml:space="preserve">SOTIRIOU  CHRYSAVGI</t>
  </si>
  <si>
    <t xml:space="preserve">02-14-305-001</t>
  </si>
  <si>
    <t xml:space="preserve">0214305001</t>
  </si>
  <si>
    <t xml:space="preserve">268 E SCHICK RD</t>
  </si>
  <si>
    <t xml:space="preserve">FRATTINGER  DAN &amp; ANGEL</t>
  </si>
  <si>
    <t xml:space="preserve">02-14-308-055</t>
  </si>
  <si>
    <t xml:space="preserve">0214308055</t>
  </si>
  <si>
    <t xml:space="preserve">190 LOCKWOOD LN</t>
  </si>
  <si>
    <t xml:space="preserve">METTEWIE  ANTONIO &amp; LUCY</t>
  </si>
  <si>
    <t xml:space="preserve">02-14-311-026</t>
  </si>
  <si>
    <t xml:space="preserve">0214311026</t>
  </si>
  <si>
    <t xml:space="preserve">196 EUCLID AVE</t>
  </si>
  <si>
    <t xml:space="preserve">TAQIUDDIN  SYED N</t>
  </si>
  <si>
    <t xml:space="preserve">02-14-313-014</t>
  </si>
  <si>
    <t xml:space="preserve">0214313014</t>
  </si>
  <si>
    <t xml:space="preserve">257 HAWTHORNE DR</t>
  </si>
  <si>
    <t xml:space="preserve">OLSZEWSKI  RANDY</t>
  </si>
  <si>
    <t xml:space="preserve">02-15-407-105</t>
  </si>
  <si>
    <t xml:space="preserve">0215407105</t>
  </si>
  <si>
    <t xml:space="preserve">119 BREWSTER CT # D</t>
  </si>
  <si>
    <t xml:space="preserve">CANO  NORMA</t>
  </si>
  <si>
    <t xml:space="preserve">02-16-103-019</t>
  </si>
  <si>
    <t xml:space="preserve">0216103019</t>
  </si>
  <si>
    <t xml:space="preserve">129 SHERWOOD CIR</t>
  </si>
  <si>
    <t xml:space="preserve">HANCOCK  WILLIAM D</t>
  </si>
  <si>
    <t xml:space="preserve">02-16-301-169</t>
  </si>
  <si>
    <t xml:space="preserve">0216301169</t>
  </si>
  <si>
    <t xml:space="preserve">302 WENTWORTH CIR</t>
  </si>
  <si>
    <t xml:space="preserve">MCCUISTON  STEVE &amp; R</t>
  </si>
  <si>
    <t xml:space="preserve">02-16-309-016</t>
  </si>
  <si>
    <t xml:space="preserve">0216309016</t>
  </si>
  <si>
    <t xml:space="preserve">303 TORRINGTON DR</t>
  </si>
  <si>
    <t xml:space="preserve">MARKHAM  MARY K</t>
  </si>
  <si>
    <t xml:space="preserve">02-17-209-024</t>
  </si>
  <si>
    <t xml:space="preserve">0217209024</t>
  </si>
  <si>
    <t xml:space="preserve">111 SARANAC CT</t>
  </si>
  <si>
    <t xml:space="preserve">DAMDIN  BUYANKHISHIG</t>
  </si>
  <si>
    <t xml:space="preserve">02-17-404-077</t>
  </si>
  <si>
    <t xml:space="preserve">0217404077</t>
  </si>
  <si>
    <t xml:space="preserve">191 MONTVALE LN</t>
  </si>
  <si>
    <t xml:space="preserve">SIDDIQUI  DASTAGIR</t>
  </si>
  <si>
    <t xml:space="preserve">02-18-405-009</t>
  </si>
  <si>
    <t xml:space="preserve">0218405009</t>
  </si>
  <si>
    <t xml:space="preserve">174 CANVASBACK LN</t>
  </si>
  <si>
    <t xml:space="preserve">PATEL  KALPESHKUMAR N &amp; SONAL</t>
  </si>
  <si>
    <t xml:space="preserve">02-18-407-006</t>
  </si>
  <si>
    <t xml:space="preserve">0218407006</t>
  </si>
  <si>
    <t xml:space="preserve">509 DRAKE LN</t>
  </si>
  <si>
    <t xml:space="preserve">STANKIEWICZ  DARIUSZ</t>
  </si>
  <si>
    <t xml:space="preserve">02-19-102-028</t>
  </si>
  <si>
    <t xml:space="preserve">0219102028</t>
  </si>
  <si>
    <t xml:space="preserve">3720 DORY CIRCLE W</t>
  </si>
  <si>
    <t xml:space="preserve">FERRARO  RALPH</t>
  </si>
  <si>
    <t xml:space="preserve">02-19-305-046</t>
  </si>
  <si>
    <t xml:space="preserve">0219305046</t>
  </si>
  <si>
    <t xml:space="preserve">1179 EDINGTON CT</t>
  </si>
  <si>
    <t xml:space="preserve">GABHAWALA  PARTH</t>
  </si>
  <si>
    <t xml:space="preserve">02-19-400-067</t>
  </si>
  <si>
    <t xml:space="preserve">0219400067</t>
  </si>
  <si>
    <t xml:space="preserve">389 KERRY CT</t>
  </si>
  <si>
    <t xml:space="preserve">GOLDSMITH  KAREN C</t>
  </si>
  <si>
    <t xml:space="preserve">02-19-403-022</t>
  </si>
  <si>
    <t xml:space="preserve">0219403022</t>
  </si>
  <si>
    <t xml:space="preserve">387 HUNTER DR</t>
  </si>
  <si>
    <t xml:space="preserve">MORGAN  HALINA</t>
  </si>
  <si>
    <t xml:space="preserve">02-19-406-030</t>
  </si>
  <si>
    <t xml:space="preserve">0219406030</t>
  </si>
  <si>
    <t xml:space="preserve">1111 BRADBURY CIR</t>
  </si>
  <si>
    <t xml:space="preserve">CASTELO  CHARLES C</t>
  </si>
  <si>
    <t xml:space="preserve">02-19-417-050</t>
  </si>
  <si>
    <t xml:space="preserve">0219417050</t>
  </si>
  <si>
    <t xml:space="preserve">1018 BEDFORD DR</t>
  </si>
  <si>
    <t xml:space="preserve">ZHENG  XIAO</t>
  </si>
  <si>
    <t xml:space="preserve">02-20-211-002</t>
  </si>
  <si>
    <t xml:space="preserve">0220211002</t>
  </si>
  <si>
    <t xml:space="preserve">241 STONINGTON DR</t>
  </si>
  <si>
    <t xml:space="preserve">NAZLI  SEEMA</t>
  </si>
  <si>
    <t xml:space="preserve">02-21-110-183</t>
  </si>
  <si>
    <t xml:space="preserve">0221110183</t>
  </si>
  <si>
    <t xml:space="preserve">129 GLENGARRY DR # 111</t>
  </si>
  <si>
    <t xml:space="preserve">SOBIECKI  KAREN</t>
  </si>
  <si>
    <t xml:space="preserve">02-21-400-078</t>
  </si>
  <si>
    <t xml:space="preserve">0221400078</t>
  </si>
  <si>
    <t xml:space="preserve">2062 CARDINAL DR</t>
  </si>
  <si>
    <t xml:space="preserve">GLENDALE HTS</t>
  </si>
  <si>
    <t xml:space="preserve">SYED  N &amp; G BHATTI</t>
  </si>
  <si>
    <t xml:space="preserve">02-21-400-081</t>
  </si>
  <si>
    <t xml:space="preserve">0221400081</t>
  </si>
  <si>
    <t xml:space="preserve">19 YARDLEY CT</t>
  </si>
  <si>
    <t xml:space="preserve">PATEL  JEETENDRA D</t>
  </si>
  <si>
    <t xml:space="preserve">02-22-106-012</t>
  </si>
  <si>
    <t xml:space="preserve">0222106012</t>
  </si>
  <si>
    <t xml:space="preserve">154 RAVEN LN</t>
  </si>
  <si>
    <t xml:space="preserve">T MASO LLC</t>
  </si>
  <si>
    <t xml:space="preserve">02-22-112-047</t>
  </si>
  <si>
    <t xml:space="preserve">0222112047</t>
  </si>
  <si>
    <t xml:space="preserve">178 DUNTEMAN # 301</t>
  </si>
  <si>
    <t xml:space="preserve">JAFFREY  KASHIF</t>
  </si>
  <si>
    <t xml:space="preserve">02-22-213-053</t>
  </si>
  <si>
    <t xml:space="preserve">0222213053</t>
  </si>
  <si>
    <t xml:space="preserve">315 HEMPSTEAD LN</t>
  </si>
  <si>
    <t xml:space="preserve">BIAFORA  SAM &amp; P HATHCOCK</t>
  </si>
  <si>
    <t xml:space="preserve">02-22-305-034</t>
  </si>
  <si>
    <t xml:space="preserve">0222305034</t>
  </si>
  <si>
    <t xml:space="preserve">2045 STONEFIELD DR</t>
  </si>
  <si>
    <t xml:space="preserve">WISNIEWSKA  KATARZYNA</t>
  </si>
  <si>
    <t xml:space="preserve">02-22-305-087</t>
  </si>
  <si>
    <t xml:space="preserve">0222305087</t>
  </si>
  <si>
    <t xml:space="preserve">53 STONEFIELD DR</t>
  </si>
  <si>
    <t xml:space="preserve">TRAVER  MATTHEW A</t>
  </si>
  <si>
    <t xml:space="preserve">02-22-310-043</t>
  </si>
  <si>
    <t xml:space="preserve">0222310043</t>
  </si>
  <si>
    <t xml:space="preserve">2137 CARDINAL DR</t>
  </si>
  <si>
    <t xml:space="preserve">MANNING  BARBARA S</t>
  </si>
  <si>
    <t xml:space="preserve">02-23-104-004</t>
  </si>
  <si>
    <t xml:space="preserve">0223104004</t>
  </si>
  <si>
    <t xml:space="preserve">292 BAYVIEW CT</t>
  </si>
  <si>
    <t xml:space="preserve">SWAIS  IMAD &amp; MARTHA</t>
  </si>
  <si>
    <t xml:space="preserve">02-23-126-002</t>
  </si>
  <si>
    <t xml:space="preserve">0223126002</t>
  </si>
  <si>
    <t xml:space="preserve">309 MILTON CT # B</t>
  </si>
  <si>
    <t xml:space="preserve">GIORDANO  JUDY</t>
  </si>
  <si>
    <t xml:space="preserve">02-23-133-040</t>
  </si>
  <si>
    <t xml:space="preserve">0223133040</t>
  </si>
  <si>
    <t xml:space="preserve">236 AMBERWOOD CT</t>
  </si>
  <si>
    <t xml:space="preserve">AHMED  ABDUL &amp; MUNEER ALIUDDIN</t>
  </si>
  <si>
    <t xml:space="preserve">02-23-201-101</t>
  </si>
  <si>
    <t xml:space="preserve">0223201101</t>
  </si>
  <si>
    <t xml:space="preserve">312 JULIANA LN</t>
  </si>
  <si>
    <t xml:space="preserve">HASSAN  SAMI &amp; M ZAFAR</t>
  </si>
  <si>
    <t xml:space="preserve">02-23-203-046</t>
  </si>
  <si>
    <t xml:space="preserve">0223203046</t>
  </si>
  <si>
    <t xml:space="preserve">225 WILDWOOD CT</t>
  </si>
  <si>
    <t xml:space="preserve">VOTRUBA  LAWRENCE &amp; C</t>
  </si>
  <si>
    <t xml:space="preserve">02-23-214-012</t>
  </si>
  <si>
    <t xml:space="preserve">0223214012</t>
  </si>
  <si>
    <t xml:space="preserve">26 WILLOW BRIDGE WA # 26-1</t>
  </si>
  <si>
    <t xml:space="preserve">STROCZYNSKI  JOHN</t>
  </si>
  <si>
    <t xml:space="preserve">02-23-216-035</t>
  </si>
  <si>
    <t xml:space="preserve">0223216035</t>
  </si>
  <si>
    <t xml:space="preserve">223 GLEN RIDGE LN # 2-C</t>
  </si>
  <si>
    <t xml:space="preserve">ARNOLD  TERRY</t>
  </si>
  <si>
    <t xml:space="preserve">02-23-306-014</t>
  </si>
  <si>
    <t xml:space="preserve">0223306014</t>
  </si>
  <si>
    <t xml:space="preserve">320 ELMWOOD LN</t>
  </si>
  <si>
    <t xml:space="preserve">BREEN  MATTHEW &amp; BARBARA</t>
  </si>
  <si>
    <t xml:space="preserve">02-24-201-011</t>
  </si>
  <si>
    <t xml:space="preserve">0224201011</t>
  </si>
  <si>
    <t xml:space="preserve">828 KINGS POINT DR W</t>
  </si>
  <si>
    <t xml:space="preserve">ADDISON</t>
  </si>
  <si>
    <t xml:space="preserve">FIORENZO  C &amp; J RIVERA</t>
  </si>
  <si>
    <t xml:space="preserve">02-24-207-023</t>
  </si>
  <si>
    <t xml:space="preserve">0224207023</t>
  </si>
  <si>
    <t xml:space="preserve">943 N ROHLWING RD # 101H</t>
  </si>
  <si>
    <t xml:space="preserve">DIOKNO  JOSE &amp; N K ANDRE</t>
  </si>
  <si>
    <t xml:space="preserve">02-24-211-011</t>
  </si>
  <si>
    <t xml:space="preserve">0224211011</t>
  </si>
  <si>
    <t xml:space="preserve">701 MEADOWS BLVD</t>
  </si>
  <si>
    <t xml:space="preserve">CHICAGO TITLE 8002379396</t>
  </si>
  <si>
    <t xml:space="preserve">02-24-300-040</t>
  </si>
  <si>
    <t xml:space="preserve">0224300040</t>
  </si>
  <si>
    <t xml:space="preserve">2195 W CIMARRON WAY</t>
  </si>
  <si>
    <t xml:space="preserve">COZZI  SAM S</t>
  </si>
  <si>
    <t xml:space="preserve">02-24-304-016</t>
  </si>
  <si>
    <t xml:space="preserve">0224304016</t>
  </si>
  <si>
    <t xml:space="preserve">4N110 SWIFT RD</t>
  </si>
  <si>
    <t xml:space="preserve">GALVAN  GUILLERMO</t>
  </si>
  <si>
    <t xml:space="preserve">02-25-101-009</t>
  </si>
  <si>
    <t xml:space="preserve">0225101009</t>
  </si>
  <si>
    <t xml:space="preserve">21W639 LYDIA RD</t>
  </si>
  <si>
    <t xml:space="preserve">SUBHANI  SAMAR</t>
  </si>
  <si>
    <t xml:space="preserve">02-25-309-053</t>
  </si>
  <si>
    <t xml:space="preserve">0225309053</t>
  </si>
  <si>
    <t xml:space="preserve">2147 W CONCORD LN</t>
  </si>
  <si>
    <t xml:space="preserve">SUMREEN  TABINDA</t>
  </si>
  <si>
    <t xml:space="preserve">02-25-309-065</t>
  </si>
  <si>
    <t xml:space="preserve">0225309065</t>
  </si>
  <si>
    <t xml:space="preserve">2125 W CONCORD LN</t>
  </si>
  <si>
    <t xml:space="preserve">FLORES  ARTURO</t>
  </si>
  <si>
    <t xml:space="preserve">02-27-203-039</t>
  </si>
  <si>
    <t xml:space="preserve">0227203039</t>
  </si>
  <si>
    <t xml:space="preserve">1902 ALPINE DR</t>
  </si>
  <si>
    <t xml:space="preserve">02-27-206-036</t>
  </si>
  <si>
    <t xml:space="preserve">0227206036</t>
  </si>
  <si>
    <t xml:space="preserve">1901 BASSWOOD LN</t>
  </si>
  <si>
    <t xml:space="preserve">EFUSION INVESTORS LLC</t>
  </si>
  <si>
    <t xml:space="preserve">02-27-208-051</t>
  </si>
  <si>
    <t xml:space="preserve">0227208051</t>
  </si>
  <si>
    <t xml:space="preserve">283 E ALPINE DR</t>
  </si>
  <si>
    <t xml:space="preserve">TARSITANO  JESSICA A</t>
  </si>
  <si>
    <t xml:space="preserve">02-27-322-002</t>
  </si>
  <si>
    <t xml:space="preserve">0227322002</t>
  </si>
  <si>
    <t xml:space="preserve">1655 JONES ST</t>
  </si>
  <si>
    <t xml:space="preserve">HILL  ROY E</t>
  </si>
  <si>
    <t xml:space="preserve">02-27-406-004</t>
  </si>
  <si>
    <t xml:space="preserve">0227406004</t>
  </si>
  <si>
    <t xml:space="preserve">1662 AMY AVE</t>
  </si>
  <si>
    <t xml:space="preserve">GROSU  ANDREI</t>
  </si>
  <si>
    <t xml:space="preserve">02-27-431-055</t>
  </si>
  <si>
    <t xml:space="preserve">0227431055</t>
  </si>
  <si>
    <t xml:space="preserve">1816 WHIRLAWAY CT</t>
  </si>
  <si>
    <t xml:space="preserve">SONG  HONGJUN</t>
  </si>
  <si>
    <t xml:space="preserve">02-27-431-084</t>
  </si>
  <si>
    <t xml:space="preserve">0227431084</t>
  </si>
  <si>
    <t xml:space="preserve">1829 CONCORD DR</t>
  </si>
  <si>
    <t xml:space="preserve">MIR  MOHAMMED</t>
  </si>
  <si>
    <t xml:space="preserve">02-27-431-141</t>
  </si>
  <si>
    <t xml:space="preserve">0227431141</t>
  </si>
  <si>
    <t xml:space="preserve">1787 WHIRLAWAY CT</t>
  </si>
  <si>
    <t xml:space="preserve">FROHNE  ESTHER ELIZABETH</t>
  </si>
  <si>
    <t xml:space="preserve">02-28-205-009</t>
  </si>
  <si>
    <t xml:space="preserve">0228205009</t>
  </si>
  <si>
    <t xml:space="preserve">87 BROOKSIDE DR</t>
  </si>
  <si>
    <t xml:space="preserve">GALLARDO  ALEJANDRO</t>
  </si>
  <si>
    <t xml:space="preserve">02-28-206-047</t>
  </si>
  <si>
    <t xml:space="preserve">0228206047</t>
  </si>
  <si>
    <t xml:space="preserve">1859 CHIPPENDALE LN</t>
  </si>
  <si>
    <t xml:space="preserve">PIOQUINTO  ANITA S</t>
  </si>
  <si>
    <t xml:space="preserve">02-28-212-009</t>
  </si>
  <si>
    <t xml:space="preserve">0228212009</t>
  </si>
  <si>
    <t xml:space="preserve">49 BRIAN DR</t>
  </si>
  <si>
    <t xml:space="preserve">BRIDGEFORTH  VINCENT A</t>
  </si>
  <si>
    <t xml:space="preserve">02-28-221-017</t>
  </si>
  <si>
    <t xml:space="preserve">0228221017</t>
  </si>
  <si>
    <t xml:space="preserve">118 FLEETWOOD DR</t>
  </si>
  <si>
    <t xml:space="preserve">BRADBERRY  S &amp; D AUSTIN</t>
  </si>
  <si>
    <t xml:space="preserve">02-28-408-041</t>
  </si>
  <si>
    <t xml:space="preserve">0228408041</t>
  </si>
  <si>
    <t xml:space="preserve">1750 PRESIDENT ST</t>
  </si>
  <si>
    <t xml:space="preserve">SIDHU  MANJIT</t>
  </si>
  <si>
    <t xml:space="preserve">02-28-417-015</t>
  </si>
  <si>
    <t xml:space="preserve">0228417015</t>
  </si>
  <si>
    <t xml:space="preserve">47 W DRUMMOND AVE</t>
  </si>
  <si>
    <t xml:space="preserve">GONZALEZ  CHRIS &amp; TIFFANY</t>
  </si>
  <si>
    <t xml:space="preserve">02-29-105-022</t>
  </si>
  <si>
    <t xml:space="preserve">0229105022</t>
  </si>
  <si>
    <t xml:space="preserve">827 HURON CT</t>
  </si>
  <si>
    <t xml:space="preserve">KHAN  ADNAN H</t>
  </si>
  <si>
    <t xml:space="preserve">02-29-111-059</t>
  </si>
  <si>
    <t xml:space="preserve">0229111059</t>
  </si>
  <si>
    <t xml:space="preserve">135 ELK TR # 134</t>
  </si>
  <si>
    <t xml:space="preserve">NGUYEN  SANDY</t>
  </si>
  <si>
    <t xml:space="preserve">02-29-111-107</t>
  </si>
  <si>
    <t xml:space="preserve">0229111107</t>
  </si>
  <si>
    <t xml:space="preserve">135 ELK TRAIL # 334</t>
  </si>
  <si>
    <t xml:space="preserve">ROCHA  ISMAEL &amp; ERNESTINA</t>
  </si>
  <si>
    <t xml:space="preserve">02-29-111-124</t>
  </si>
  <si>
    <t xml:space="preserve">0229111124</t>
  </si>
  <si>
    <t xml:space="preserve">161 W ELK TRL # 263</t>
  </si>
  <si>
    <t xml:space="preserve">PATEL  VIJAYKUMAR</t>
  </si>
  <si>
    <t xml:space="preserve">02-29-117-001</t>
  </si>
  <si>
    <t xml:space="preserve">0229117001</t>
  </si>
  <si>
    <t xml:space="preserve">120 KLEIN CREEK CT # 1A</t>
  </si>
  <si>
    <t xml:space="preserve">KHAN  ABDUL A</t>
  </si>
  <si>
    <t xml:space="preserve">02-29-117-088</t>
  </si>
  <si>
    <t xml:space="preserve">0229117088</t>
  </si>
  <si>
    <t xml:space="preserve">212 KLEIN CREEK CT # 6</t>
  </si>
  <si>
    <t xml:space="preserve">SHAIK  ZARIN</t>
  </si>
  <si>
    <t xml:space="preserve">02-29-316-082</t>
  </si>
  <si>
    <t xml:space="preserve">0229316082</t>
  </si>
  <si>
    <t xml:space="preserve">744 N GARY AVE # 5-212</t>
  </si>
  <si>
    <t xml:space="preserve">CERNEI  IGOR &amp; KATERIN LEON</t>
  </si>
  <si>
    <t xml:space="preserve">02-29-316-196</t>
  </si>
  <si>
    <t xml:space="preserve">0229316196</t>
  </si>
  <si>
    <t xml:space="preserve">788 N GARY AVE # 204</t>
  </si>
  <si>
    <t xml:space="preserve">RAMOS  EDWIN &amp; ANTONIA</t>
  </si>
  <si>
    <t xml:space="preserve">02-30-214-006</t>
  </si>
  <si>
    <t xml:space="preserve">0230214006</t>
  </si>
  <si>
    <t xml:space="preserve">935 PALOMINO ST</t>
  </si>
  <si>
    <t xml:space="preserve">KHAN  ADNAN &amp; SADIA</t>
  </si>
  <si>
    <t xml:space="preserve">02-30-403-012</t>
  </si>
  <si>
    <t xml:space="preserve">0230403012</t>
  </si>
  <si>
    <t xml:space="preserve">524 CHIPPEWA TRL</t>
  </si>
  <si>
    <t xml:space="preserve">WOOD  DANIEL A</t>
  </si>
  <si>
    <t xml:space="preserve">02-30-411-024</t>
  </si>
  <si>
    <t xml:space="preserve">0230411024</t>
  </si>
  <si>
    <t xml:space="preserve">505 INCA BLVD</t>
  </si>
  <si>
    <t xml:space="preserve">OUBNAKI  YASSINE</t>
  </si>
  <si>
    <t xml:space="preserve">02-31-104-028</t>
  </si>
  <si>
    <t xml:space="preserve">0231104028</t>
  </si>
  <si>
    <t xml:space="preserve">675 PAXTON PL</t>
  </si>
  <si>
    <t xml:space="preserve">NISHIMURA  KENNETH &amp; P TR</t>
  </si>
  <si>
    <t xml:space="preserve">02-31-202-008</t>
  </si>
  <si>
    <t xml:space="preserve">0231202008</t>
  </si>
  <si>
    <t xml:space="preserve">532 APACHE LN</t>
  </si>
  <si>
    <t xml:space="preserve">PARKER  BRUCE &amp; DYNITA</t>
  </si>
  <si>
    <t xml:space="preserve">02-31-210-005</t>
  </si>
  <si>
    <t xml:space="preserve">0231210005</t>
  </si>
  <si>
    <t xml:space="preserve">511 N SILVERLEAF BLVD</t>
  </si>
  <si>
    <t xml:space="preserve">JAUDZIMIS  R &amp; D JURCA</t>
  </si>
  <si>
    <t xml:space="preserve">02-31-210-020</t>
  </si>
  <si>
    <t xml:space="preserve">0231210020</t>
  </si>
  <si>
    <t xml:space="preserve">381 N SILVERLEAF BLVD</t>
  </si>
  <si>
    <t xml:space="preserve">CHAUDHURI  BIPLAB</t>
  </si>
  <si>
    <t xml:space="preserve">02-32-302-096</t>
  </si>
  <si>
    <t xml:space="preserve">0232302096</t>
  </si>
  <si>
    <t xml:space="preserve">348 SYPE DR</t>
  </si>
  <si>
    <t xml:space="preserve">ZUKANCIC  NEZIR &amp; DZEVIDA</t>
  </si>
  <si>
    <t xml:space="preserve">02-33-204-016</t>
  </si>
  <si>
    <t xml:space="preserve">0233204016</t>
  </si>
  <si>
    <t xml:space="preserve">184 GOLFVIEW DR</t>
  </si>
  <si>
    <t xml:space="preserve">REINHOFER  DANIEL T</t>
  </si>
  <si>
    <t xml:space="preserve">02-33-206-166</t>
  </si>
  <si>
    <t xml:space="preserve">0233206166</t>
  </si>
  <si>
    <t xml:space="preserve">103 GOLFVIEW DR</t>
  </si>
  <si>
    <t xml:space="preserve">ALVAREZ  LUISANA &amp; MIGUEL</t>
  </si>
  <si>
    <t xml:space="preserve">02-33-210-008</t>
  </si>
  <si>
    <t xml:space="preserve">0233210008</t>
  </si>
  <si>
    <t xml:space="preserve">51 N GOLFVIEW CT</t>
  </si>
  <si>
    <t xml:space="preserve">THOMAS  ADAM C</t>
  </si>
  <si>
    <t xml:space="preserve">02-33-211-044</t>
  </si>
  <si>
    <t xml:space="preserve">0233211044</t>
  </si>
  <si>
    <t xml:space="preserve">1481 CLUB DR</t>
  </si>
  <si>
    <t xml:space="preserve">BANUELOS  S &amp; J ESCOBEDO</t>
  </si>
  <si>
    <t xml:space="preserve">02-34-103-014</t>
  </si>
  <si>
    <t xml:space="preserve">0234103014</t>
  </si>
  <si>
    <t xml:space="preserve">182 VANTROBA DR</t>
  </si>
  <si>
    <t xml:space="preserve">CAVICCHIONI  JOSEPH &amp; C J</t>
  </si>
  <si>
    <t xml:space="preserve">02-34-301-025</t>
  </si>
  <si>
    <t xml:space="preserve">0234301025</t>
  </si>
  <si>
    <t xml:space="preserve">1368 HARTFORD ST</t>
  </si>
  <si>
    <t xml:space="preserve">KAMIDE  CHRISTINE</t>
  </si>
  <si>
    <t xml:space="preserve">02-34-306-036</t>
  </si>
  <si>
    <t xml:space="preserve">0234306036</t>
  </si>
  <si>
    <t xml:space="preserve">103 WINDSOR LN</t>
  </si>
  <si>
    <t xml:space="preserve">POPLAWSKI  SYLWIA</t>
  </si>
  <si>
    <t xml:space="preserve">02-34-402-008</t>
  </si>
  <si>
    <t xml:space="preserve">0234402008</t>
  </si>
  <si>
    <t xml:space="preserve">2N315 DIANE AVE</t>
  </si>
  <si>
    <t xml:space="preserve">GLEN ELLYN</t>
  </si>
  <si>
    <t xml:space="preserve">FITZGERALD  ROBERT L &amp; F</t>
  </si>
  <si>
    <t xml:space="preserve">02-34-408-017</t>
  </si>
  <si>
    <t xml:space="preserve">0234408017</t>
  </si>
  <si>
    <t xml:space="preserve">2N080 VIRGINIA AVE</t>
  </si>
  <si>
    <t xml:space="preserve">SHRESTHA  SUJAN &amp; SIMA</t>
  </si>
  <si>
    <t xml:space="preserve">02-35-200-019</t>
  </si>
  <si>
    <t xml:space="preserve">0235200019</t>
  </si>
  <si>
    <t xml:space="preserve">724 MARILYN AVE</t>
  </si>
  <si>
    <t xml:space="preserve">ROBLES  CRUZ  &amp; MARIA</t>
  </si>
  <si>
    <t xml:space="preserve">02-35-201-007</t>
  </si>
  <si>
    <t xml:space="preserve">0235201007</t>
  </si>
  <si>
    <t xml:space="preserve">1571 LIBERTY DR</t>
  </si>
  <si>
    <t xml:space="preserve">MACIAS  VICTOR</t>
  </si>
  <si>
    <t xml:space="preserve">02-35-203-024</t>
  </si>
  <si>
    <t xml:space="preserve">0235203024</t>
  </si>
  <si>
    <t xml:space="preserve">1474 DAVINE DR</t>
  </si>
  <si>
    <t xml:space="preserve">OGUNSANYA  ADE</t>
  </si>
  <si>
    <t xml:space="preserve">02-35-224-035</t>
  </si>
  <si>
    <t xml:space="preserve">0235224035</t>
  </si>
  <si>
    <t xml:space="preserve">685 FULLERTON AVE # 2-205</t>
  </si>
  <si>
    <t xml:space="preserve">KABIR  NIBRAS &amp; QUAZI RAHMAN</t>
  </si>
  <si>
    <t xml:space="preserve">02-35-225-017</t>
  </si>
  <si>
    <t xml:space="preserve">0235225017</t>
  </si>
  <si>
    <t xml:space="preserve">754 LIPPERT LN</t>
  </si>
  <si>
    <t xml:space="preserve">A-Z HOME SERVICES INC</t>
  </si>
  <si>
    <t xml:space="preserve">02-35-407-015</t>
  </si>
  <si>
    <t xml:space="preserve">0235407015</t>
  </si>
  <si>
    <t xml:space="preserve">665 EASY ST</t>
  </si>
  <si>
    <t xml:space="preserve">RODARTE  JOSEPH &amp; ELSIE</t>
  </si>
  <si>
    <t xml:space="preserve">02-36-218-004</t>
  </si>
  <si>
    <t xml:space="preserve">0236218004</t>
  </si>
  <si>
    <t xml:space="preserve">2N535 SWIFT RD</t>
  </si>
  <si>
    <t xml:space="preserve">LOMBARD</t>
  </si>
  <si>
    <t xml:space="preserve">BLACK EAGLE LIVING TRUST</t>
  </si>
  <si>
    <t xml:space="preserve">02-36-303-008</t>
  </si>
  <si>
    <t xml:space="preserve">0236303008</t>
  </si>
  <si>
    <t xml:space="preserve">2N210 SWIFT RD</t>
  </si>
  <si>
    <t xml:space="preserve">02-36-411-007</t>
  </si>
  <si>
    <t xml:space="preserve">0236411007</t>
  </si>
  <si>
    <t xml:space="preserve">21W325 PETERSON AVE</t>
  </si>
  <si>
    <t xml:space="preserve">CHICAGO TITLE LAND TR4489</t>
  </si>
  <si>
    <t xml:space="preserve">03-05-100-095</t>
  </si>
  <si>
    <t xml:space="preserve">0305100095</t>
  </si>
  <si>
    <t xml:space="preserve">30 N BAY DR</t>
  </si>
  <si>
    <t xml:space="preserve">FINN  ROGER A</t>
  </si>
  <si>
    <t xml:space="preserve">03-05-301-032</t>
  </si>
  <si>
    <t xml:space="preserve">0305301032</t>
  </si>
  <si>
    <t xml:space="preserve">804 N MAPLE AVE</t>
  </si>
  <si>
    <t xml:space="preserve">WALINOWICZ  BARBARA</t>
  </si>
  <si>
    <t xml:space="preserve">03-05-313-142</t>
  </si>
  <si>
    <t xml:space="preserve">0305313142</t>
  </si>
  <si>
    <t xml:space="preserve">310 E TALL OAKS LN</t>
  </si>
  <si>
    <t xml:space="preserve">GUENTHER  ERIC R</t>
  </si>
  <si>
    <t xml:space="preserve">03-08-113-012</t>
  </si>
  <si>
    <t xml:space="preserve">0308113012</t>
  </si>
  <si>
    <t xml:space="preserve">314 N WALNUT ST</t>
  </si>
  <si>
    <t xml:space="preserve">ZALETA  MARK J</t>
  </si>
  <si>
    <t xml:space="preserve">03-08-124-002</t>
  </si>
  <si>
    <t xml:space="preserve">0308124002</t>
  </si>
  <si>
    <t xml:space="preserve">320 E CENTER ST</t>
  </si>
  <si>
    <t xml:space="preserve">MEROLA  MICHELE</t>
  </si>
  <si>
    <t xml:space="preserve">03-08-208-010</t>
  </si>
  <si>
    <t xml:space="preserve">0308208010</t>
  </si>
  <si>
    <t xml:space="preserve">725 GREENVIEW RD</t>
  </si>
  <si>
    <t xml:space="preserve">MARCH JR  FREDERICK &amp; A</t>
  </si>
  <si>
    <t xml:space="preserve">03-08-208-015</t>
  </si>
  <si>
    <t xml:space="preserve">0308208015</t>
  </si>
  <si>
    <t xml:space="preserve">717 E GREENVIEW RD</t>
  </si>
  <si>
    <t xml:space="preserve">STEMP  PATRICIA</t>
  </si>
  <si>
    <t xml:space="preserve">03-08-312-020</t>
  </si>
  <si>
    <t xml:space="preserve">0308312020</t>
  </si>
  <si>
    <t xml:space="preserve">420 S OAK ST</t>
  </si>
  <si>
    <t xml:space="preserve">RIFE  CHRISTINA</t>
  </si>
  <si>
    <t xml:space="preserve">03-08-324-017</t>
  </si>
  <si>
    <t xml:space="preserve">0308324017</t>
  </si>
  <si>
    <t xml:space="preserve">158 SCHILLER SQ</t>
  </si>
  <si>
    <t xml:space="preserve">WEGIEL  SABINA K</t>
  </si>
  <si>
    <t xml:space="preserve">03-09-411-010</t>
  </si>
  <si>
    <t xml:space="preserve">0309411010</t>
  </si>
  <si>
    <t xml:space="preserve">134 FOREST GLEN RD</t>
  </si>
  <si>
    <t xml:space="preserve">WOOD DALE</t>
  </si>
  <si>
    <t xml:space="preserve">NOGAWKA  MARIUSZ</t>
  </si>
  <si>
    <t xml:space="preserve">03-10-107-012</t>
  </si>
  <si>
    <t xml:space="preserve">0310107012</t>
  </si>
  <si>
    <t xml:space="preserve">225 HAWTHORNE AVE</t>
  </si>
  <si>
    <t xml:space="preserve">AHMED  NAILA</t>
  </si>
  <si>
    <t xml:space="preserve">03-10-107-029</t>
  </si>
  <si>
    <t xml:space="preserve">0310107029</t>
  </si>
  <si>
    <t xml:space="preserve">6N462 CENTRAL AVE</t>
  </si>
  <si>
    <t xml:space="preserve">CTLTC 8002368634</t>
  </si>
  <si>
    <t xml:space="preserve">03-10-310-023</t>
  </si>
  <si>
    <t xml:space="preserve">0310310023</t>
  </si>
  <si>
    <t xml:space="preserve">416 N CEDAR AVE</t>
  </si>
  <si>
    <t xml:space="preserve">TATELA  KENETH</t>
  </si>
  <si>
    <t xml:space="preserve">03-10-319-030</t>
  </si>
  <si>
    <t xml:space="preserve">0310319030</t>
  </si>
  <si>
    <t xml:space="preserve">336 N CATALPA AVE</t>
  </si>
  <si>
    <t xml:space="preserve">KESLINKE  NOREEN</t>
  </si>
  <si>
    <t xml:space="preserve">03-10-402-021</t>
  </si>
  <si>
    <t xml:space="preserve">0310402021</t>
  </si>
  <si>
    <t xml:space="preserve">472 N EDGEWOOD AVE</t>
  </si>
  <si>
    <t xml:space="preserve">SANTOS  AURORA</t>
  </si>
  <si>
    <t xml:space="preserve">03-10-414-010</t>
  </si>
  <si>
    <t xml:space="preserve">0310414010</t>
  </si>
  <si>
    <t xml:space="preserve">349 PINE LN</t>
  </si>
  <si>
    <t xml:space="preserve">ST JACQUES  DANNY</t>
  </si>
  <si>
    <t xml:space="preserve">03-11-301-001</t>
  </si>
  <si>
    <t xml:space="preserve">0311301001</t>
  </si>
  <si>
    <t xml:space="preserve">1116 ITASCA</t>
  </si>
  <si>
    <t xml:space="preserve">BENSENVILLE</t>
  </si>
  <si>
    <t xml:space="preserve">03-11-406-001</t>
  </si>
  <si>
    <t xml:space="preserve">0311406001</t>
  </si>
  <si>
    <t xml:space="preserve">379 W HILLSIDE DR # 1</t>
  </si>
  <si>
    <t xml:space="preserve">AC YORK LLC</t>
  </si>
  <si>
    <t xml:space="preserve">03-13-317-003</t>
  </si>
  <si>
    <t xml:space="preserve">0313317003</t>
  </si>
  <si>
    <t xml:space="preserve">217 S YORK RD</t>
  </si>
  <si>
    <t xml:space="preserve">RODRIGUEZ  ARMANDO &amp;MARIA</t>
  </si>
  <si>
    <t xml:space="preserve">03-14-103-007</t>
  </si>
  <si>
    <t xml:space="preserve">0314103007</t>
  </si>
  <si>
    <t xml:space="preserve">208 MARSHALL RD</t>
  </si>
  <si>
    <t xml:space="preserve">LEON  JOSE &amp; SARA</t>
  </si>
  <si>
    <t xml:space="preserve">03-14-116-012</t>
  </si>
  <si>
    <t xml:space="preserve">0314116012</t>
  </si>
  <si>
    <t xml:space="preserve">708 ALGONQUIN AVE</t>
  </si>
  <si>
    <t xml:space="preserve">VILLEGAS  DOLORES J</t>
  </si>
  <si>
    <t xml:space="preserve">03-14-203-016</t>
  </si>
  <si>
    <t xml:space="preserve">0314203016</t>
  </si>
  <si>
    <t xml:space="preserve">209 N CHURCH RD</t>
  </si>
  <si>
    <t xml:space="preserve">CHICAGO TRUST COMPANY</t>
  </si>
  <si>
    <t xml:space="preserve">03-14-217-001</t>
  </si>
  <si>
    <t xml:space="preserve">0314217001</t>
  </si>
  <si>
    <t xml:space="preserve">241 N WALNUT ST</t>
  </si>
  <si>
    <t xml:space="preserve">PAWELA  STEPHEN</t>
  </si>
  <si>
    <t xml:space="preserve">03-14-317-018</t>
  </si>
  <si>
    <t xml:space="preserve">0314317018</t>
  </si>
  <si>
    <t xml:space="preserve">196 S CHURCH RD</t>
  </si>
  <si>
    <t xml:space="preserve">LAZCANO LLC</t>
  </si>
  <si>
    <t xml:space="preserve">03-14-318-006</t>
  </si>
  <si>
    <t xml:space="preserve">0314318006</t>
  </si>
  <si>
    <t xml:space="preserve">241 S CHURCH RD</t>
  </si>
  <si>
    <t xml:space="preserve">LOCASCIO  CIRO</t>
  </si>
  <si>
    <t xml:space="preserve">03-14-318-040</t>
  </si>
  <si>
    <t xml:space="preserve">0314318040</t>
  </si>
  <si>
    <t xml:space="preserve">237 S CHURCH RD</t>
  </si>
  <si>
    <t xml:space="preserve">THIES  FRANK T 3255</t>
  </si>
  <si>
    <t xml:space="preserve">03-14-401-004</t>
  </si>
  <si>
    <t xml:space="preserve">0314401004</t>
  </si>
  <si>
    <t xml:space="preserve">419 W GREEN</t>
  </si>
  <si>
    <t xml:space="preserve">THIES  MICHAEL &amp; PATRICK</t>
  </si>
  <si>
    <t xml:space="preserve">03-14-401-005</t>
  </si>
  <si>
    <t xml:space="preserve">0314401005</t>
  </si>
  <si>
    <t xml:space="preserve">415 W GREEN ST</t>
  </si>
  <si>
    <t xml:space="preserve">03-14-413-007</t>
  </si>
  <si>
    <t xml:space="preserve">0314413007</t>
  </si>
  <si>
    <t xml:space="preserve">159 S MASON ST</t>
  </si>
  <si>
    <t xml:space="preserve">WILLIFORD  KATHRYN</t>
  </si>
  <si>
    <t xml:space="preserve">03-14-413-020</t>
  </si>
  <si>
    <t xml:space="preserve">0314413020</t>
  </si>
  <si>
    <t xml:space="preserve">140 S ADDISON ST</t>
  </si>
  <si>
    <t xml:space="preserve">HICKEY  JOAN</t>
  </si>
  <si>
    <t xml:space="preserve">03-15-119-004</t>
  </si>
  <si>
    <t xml:space="preserve">0315119004</t>
  </si>
  <si>
    <t xml:space="preserve">163 OAK AVE</t>
  </si>
  <si>
    <t xml:space="preserve">PALASZ  EDWARD &amp; MARIE</t>
  </si>
  <si>
    <t xml:space="preserve">03-15-124-022</t>
  </si>
  <si>
    <t xml:space="preserve">0315124022</t>
  </si>
  <si>
    <t xml:space="preserve">122 N ELMWOOD AVE</t>
  </si>
  <si>
    <t xml:space="preserve">MORALES  PILAR</t>
  </si>
  <si>
    <t xml:space="preserve">03-15-200-005</t>
  </si>
  <si>
    <t xml:space="preserve">0315200005</t>
  </si>
  <si>
    <t xml:space="preserve">293 N CENTRAL AVE</t>
  </si>
  <si>
    <t xml:space="preserve">OSP INVESTMENTS LLC</t>
  </si>
  <si>
    <t xml:space="preserve">03-15-205-010</t>
  </si>
  <si>
    <t xml:space="preserve">0315205010</t>
  </si>
  <si>
    <t xml:space="preserve">273 N HEMLOCK AVE</t>
  </si>
  <si>
    <t xml:space="preserve">CC AFFORDABLE HOUSING LLC</t>
  </si>
  <si>
    <t xml:space="preserve">03-15-208-017</t>
  </si>
  <si>
    <t xml:space="preserve">0315208017</t>
  </si>
  <si>
    <t xml:space="preserve">174 ASH AVE</t>
  </si>
  <si>
    <t xml:space="preserve">LOPEZ  GABRIEL</t>
  </si>
  <si>
    <t xml:space="preserve">03-15-230-004</t>
  </si>
  <si>
    <t xml:space="preserve">0315230004</t>
  </si>
  <si>
    <t xml:space="preserve">1212 BROOKWOOD</t>
  </si>
  <si>
    <t xml:space="preserve">SHAH  RAMESHCHANDRA</t>
  </si>
  <si>
    <t xml:space="preserve">03-15-233-013</t>
  </si>
  <si>
    <t xml:space="preserve">0315233013</t>
  </si>
  <si>
    <t xml:space="preserve">101 N SPRUCE AVE</t>
  </si>
  <si>
    <t xml:space="preserve">KWASNIEWSKI  DAMIAN</t>
  </si>
  <si>
    <t xml:space="preserve">03-15-301-005</t>
  </si>
  <si>
    <t xml:space="preserve">0315301005</t>
  </si>
  <si>
    <t xml:space="preserve">213 HIAWATHA TRL</t>
  </si>
  <si>
    <t xml:space="preserve">WIERSUM  PAUL &amp; ANNA</t>
  </si>
  <si>
    <t xml:space="preserve">03-15-306-007</t>
  </si>
  <si>
    <t xml:space="preserve">0315306007</t>
  </si>
  <si>
    <t xml:space="preserve">350 BROOKHURST LN</t>
  </si>
  <si>
    <t xml:space="preserve">MILLER  ROGER A</t>
  </si>
  <si>
    <t xml:space="preserve">03-15-309-013</t>
  </si>
  <si>
    <t xml:space="preserve">0315309013</t>
  </si>
  <si>
    <t xml:space="preserve">251 S CEDAR AVE</t>
  </si>
  <si>
    <t xml:space="preserve">CORONADO  GUILLERMO &amp; E</t>
  </si>
  <si>
    <t xml:space="preserve">03-15-408-025</t>
  </si>
  <si>
    <t xml:space="preserve">0315408025</t>
  </si>
  <si>
    <t xml:space="preserve">129 S SPRUCE AVE # 402</t>
  </si>
  <si>
    <t xml:space="preserve">DUCOTE  CLAIRE</t>
  </si>
  <si>
    <t xml:space="preserve">03-15-421-015</t>
  </si>
  <si>
    <t xml:space="preserve">0315421015</t>
  </si>
  <si>
    <t xml:space="preserve">480 E MONTROSE AVE # 203</t>
  </si>
  <si>
    <t xml:space="preserve">THECCANAT  GEORGE</t>
  </si>
  <si>
    <t xml:space="preserve">03-16-104-005</t>
  </si>
  <si>
    <t xml:space="preserve">0316104005</t>
  </si>
  <si>
    <t xml:space="preserve">263 LAFAYETTE ST</t>
  </si>
  <si>
    <t xml:space="preserve">KOSTI  YOGESHWARI</t>
  </si>
  <si>
    <t xml:space="preserve">03-16-114-006</t>
  </si>
  <si>
    <t xml:space="preserve">0316114006</t>
  </si>
  <si>
    <t xml:space="preserve">225 JEFFERSON LN</t>
  </si>
  <si>
    <t xml:space="preserve">HERZLICH  SHIRLEY S</t>
  </si>
  <si>
    <t xml:space="preserve">03-16-116-119</t>
  </si>
  <si>
    <t xml:space="preserve">0316116119</t>
  </si>
  <si>
    <t xml:space="preserve">171 N CLARE CT</t>
  </si>
  <si>
    <t xml:space="preserve">CITY OF WOOD DALE</t>
  </si>
  <si>
    <t xml:space="preserve">03-16-202-008</t>
  </si>
  <si>
    <t xml:space="preserve">0316202008</t>
  </si>
  <si>
    <t xml:space="preserve">261 FOREST VIEW AVE</t>
  </si>
  <si>
    <t xml:space="preserve">1ST BANK MORTGAGE</t>
  </si>
  <si>
    <t xml:space="preserve">03-16-405-067</t>
  </si>
  <si>
    <t xml:space="preserve">0316405067</t>
  </si>
  <si>
    <t xml:space="preserve">190 S WOOD DALE RD # 708</t>
  </si>
  <si>
    <t xml:space="preserve">COLLINS  TOM &amp; BARBARA</t>
  </si>
  <si>
    <t xml:space="preserve">03-16-405-102</t>
  </si>
  <si>
    <t xml:space="preserve">0316405102</t>
  </si>
  <si>
    <t xml:space="preserve">190 S WOOD DALE RD # 1007</t>
  </si>
  <si>
    <t xml:space="preserve">HALLOWEEN 543 TRUST</t>
  </si>
  <si>
    <t xml:space="preserve">03-17-207-040</t>
  </si>
  <si>
    <t xml:space="preserve">0317207040</t>
  </si>
  <si>
    <t xml:space="preserve">543 SARAH DR</t>
  </si>
  <si>
    <t xml:space="preserve">AHMED  ALI</t>
  </si>
  <si>
    <t xml:space="preserve">03-17-211-005</t>
  </si>
  <si>
    <t xml:space="preserve">0317211005</t>
  </si>
  <si>
    <t xml:space="preserve">525 S CHERRY ST</t>
  </si>
  <si>
    <t xml:space="preserve">KAVANAUGH  BLAKE &amp; WALLI</t>
  </si>
  <si>
    <t xml:space="preserve">03-17-309-005</t>
  </si>
  <si>
    <t xml:space="preserve">0317309005</t>
  </si>
  <si>
    <t xml:space="preserve">1220 FARMWOOD DR</t>
  </si>
  <si>
    <t xml:space="preserve">OVIEDO  JANET</t>
  </si>
  <si>
    <t xml:space="preserve">03-17-310-021</t>
  </si>
  <si>
    <t xml:space="preserve">0317310021</t>
  </si>
  <si>
    <t xml:space="preserve">1212 N ANVIL CT</t>
  </si>
  <si>
    <t xml:space="preserve">LA BIANCA  SALVATORE</t>
  </si>
  <si>
    <t xml:space="preserve">03-17-310-036</t>
  </si>
  <si>
    <t xml:space="preserve">0317310036</t>
  </si>
  <si>
    <t xml:space="preserve">1204 WHITE FENCE LN</t>
  </si>
  <si>
    <t xml:space="preserve">KUPRONIS  RICHARD</t>
  </si>
  <si>
    <t xml:space="preserve">03-18-102-014</t>
  </si>
  <si>
    <t xml:space="preserve">0318102014</t>
  </si>
  <si>
    <t xml:space="preserve">5N511 CENTRAL AVE</t>
  </si>
  <si>
    <t xml:space="preserve">RMG INVESTMENT GROUP LLC</t>
  </si>
  <si>
    <t xml:space="preserve">03-18-305-038</t>
  </si>
  <si>
    <t xml:space="preserve">0318305038</t>
  </si>
  <si>
    <t xml:space="preserve">GROVE AVE</t>
  </si>
  <si>
    <t xml:space="preserve">PEREHINETS  YAROSLAV &amp; OLESIA</t>
  </si>
  <si>
    <t xml:space="preserve">03-18-402-005</t>
  </si>
  <si>
    <t xml:space="preserve">0318402005</t>
  </si>
  <si>
    <t xml:space="preserve">1325 N FOXDALE DR</t>
  </si>
  <si>
    <t xml:space="preserve">PEREHINETS  PAVLO</t>
  </si>
  <si>
    <t xml:space="preserve">03-18-405-017</t>
  </si>
  <si>
    <t xml:space="preserve">0318405017</t>
  </si>
  <si>
    <t xml:space="preserve">1318 N FOXDALE DR</t>
  </si>
  <si>
    <t xml:space="preserve">BELLO  SANTA</t>
  </si>
  <si>
    <t xml:space="preserve">03-18-409-006</t>
  </si>
  <si>
    <t xml:space="preserve">0318409006</t>
  </si>
  <si>
    <t xml:space="preserve">1530 SQUIRE LN</t>
  </si>
  <si>
    <t xml:space="preserve">DEVCAU  J &amp; N MALASZENKO</t>
  </si>
  <si>
    <t xml:space="preserve">03-19-102-018</t>
  </si>
  <si>
    <t xml:space="preserve">0319102018</t>
  </si>
  <si>
    <t xml:space="preserve">1700 W JO ANN LN</t>
  </si>
  <si>
    <t xml:space="preserve">MARIN  MICHAEL &amp; MARILYN</t>
  </si>
  <si>
    <t xml:space="preserve">03-19-214-037</t>
  </si>
  <si>
    <t xml:space="preserve">0319214037</t>
  </si>
  <si>
    <t xml:space="preserve">1315 W LAKE ST # 101</t>
  </si>
  <si>
    <t xml:space="preserve">MERTZ  ROBERT</t>
  </si>
  <si>
    <t xml:space="preserve">03-19-405-017</t>
  </si>
  <si>
    <t xml:space="preserve">0319405017</t>
  </si>
  <si>
    <t xml:space="preserve">610 LOMBARD RD</t>
  </si>
  <si>
    <t xml:space="preserve">ZULQADAR  SAAD SYED &amp; ALSHA MAHMOOD</t>
  </si>
  <si>
    <t xml:space="preserve">03-19-419-020</t>
  </si>
  <si>
    <t xml:space="preserve">0319419020</t>
  </si>
  <si>
    <t xml:space="preserve">581 N HIGHLANDER WAY</t>
  </si>
  <si>
    <t xml:space="preserve">SUCHOWSKI  JOSEPH R</t>
  </si>
  <si>
    <t xml:space="preserve">03-20-103-052</t>
  </si>
  <si>
    <t xml:space="preserve">0320103052</t>
  </si>
  <si>
    <t xml:space="preserve">1132 N HONEY HILL RD</t>
  </si>
  <si>
    <t xml:space="preserve">BULLAKU  GJYNEJT</t>
  </si>
  <si>
    <t xml:space="preserve">03-20-113-011</t>
  </si>
  <si>
    <t xml:space="preserve">0320113011</t>
  </si>
  <si>
    <t xml:space="preserve">740 N 7TH AVE</t>
  </si>
  <si>
    <t xml:space="preserve">DUNTEMAN  HOWARD &amp; J</t>
  </si>
  <si>
    <t xml:space="preserve">03-20-201-003</t>
  </si>
  <si>
    <t xml:space="preserve">0320201003</t>
  </si>
  <si>
    <t xml:space="preserve">1120 FISCHER DR</t>
  </si>
  <si>
    <t xml:space="preserve">FERRELL  JAMES C &amp; INEZ</t>
  </si>
  <si>
    <t xml:space="preserve">03-20-218-024</t>
  </si>
  <si>
    <t xml:space="preserve">0320218024</t>
  </si>
  <si>
    <t xml:space="preserve">410 RONALD DR</t>
  </si>
  <si>
    <t xml:space="preserve">HUYNH  TRONG &amp; UYEN LE</t>
  </si>
  <si>
    <t xml:space="preserve">03-20-312-025</t>
  </si>
  <si>
    <t xml:space="preserve">0320312025</t>
  </si>
  <si>
    <t xml:space="preserve">4N245 6TH AVE</t>
  </si>
  <si>
    <t xml:space="preserve">OPPELS  MICHAEL</t>
  </si>
  <si>
    <t xml:space="preserve">03-20-319-002</t>
  </si>
  <si>
    <t xml:space="preserve">0320319002</t>
  </si>
  <si>
    <t xml:space="preserve">467 PIONEER DR</t>
  </si>
  <si>
    <t xml:space="preserve">DUNTEMAN  HOWARD &amp; JANICE</t>
  </si>
  <si>
    <t xml:space="preserve">03-20-420-025</t>
  </si>
  <si>
    <t xml:space="preserve">0320420025</t>
  </si>
  <si>
    <t xml:space="preserve">605 BRIAR HILL LN # 605-1</t>
  </si>
  <si>
    <t xml:space="preserve">MALIK  DANYAL</t>
  </si>
  <si>
    <t xml:space="preserve">03-21-108-017</t>
  </si>
  <si>
    <t xml:space="preserve">0321108017</t>
  </si>
  <si>
    <t xml:space="preserve">816 N SCHOOL ST</t>
  </si>
  <si>
    <t xml:space="preserve">MARTINO  JOSEPH &amp; BRIDGET</t>
  </si>
  <si>
    <t xml:space="preserve">03-21-113-005</t>
  </si>
  <si>
    <t xml:space="preserve">0321113005</t>
  </si>
  <si>
    <t xml:space="preserve">465 W DOMINION DR # 106</t>
  </si>
  <si>
    <t xml:space="preserve">SAEED  SABA</t>
  </si>
  <si>
    <t xml:space="preserve">03-21-113-122</t>
  </si>
  <si>
    <t xml:space="preserve">0321113122</t>
  </si>
  <si>
    <t xml:space="preserve">465 W DOMINION DR # 1408</t>
  </si>
  <si>
    <t xml:space="preserve">BUDZISZ GAETA  ALINA K</t>
  </si>
  <si>
    <t xml:space="preserve">03-21-113-127</t>
  </si>
  <si>
    <t xml:space="preserve">0321113127</t>
  </si>
  <si>
    <t xml:space="preserve">465 W DOMINION DR # 1503</t>
  </si>
  <si>
    <t xml:space="preserve">213 MICHAEL LN APT LLC</t>
  </si>
  <si>
    <t xml:space="preserve">03-21-311-004</t>
  </si>
  <si>
    <t xml:space="preserve">0321311004</t>
  </si>
  <si>
    <t xml:space="preserve">213 W MICHAEL LN</t>
  </si>
  <si>
    <t xml:space="preserve">LU  JIAXIN</t>
  </si>
  <si>
    <t xml:space="preserve">03-21-419-007</t>
  </si>
  <si>
    <t xml:space="preserve">0321419007</t>
  </si>
  <si>
    <t xml:space="preserve">4N174 VERRILL AVE</t>
  </si>
  <si>
    <t xml:space="preserve">PITELLO  PAT M</t>
  </si>
  <si>
    <t xml:space="preserve">03-22-102-005</t>
  </si>
  <si>
    <t xml:space="preserve">0322102005</t>
  </si>
  <si>
    <t xml:space="preserve">292 JUNIPER AVE</t>
  </si>
  <si>
    <t xml:space="preserve">BORATTO  ANGELO</t>
  </si>
  <si>
    <t xml:space="preserve">03-22-205-022</t>
  </si>
  <si>
    <t xml:space="preserve">0322205022</t>
  </si>
  <si>
    <t xml:space="preserve">437 S EDGEWOOD AVE</t>
  </si>
  <si>
    <t xml:space="preserve">PARKWAY BANK &amp; TRUST 16689</t>
  </si>
  <si>
    <t xml:space="preserve">03-22-303-011</t>
  </si>
  <si>
    <t xml:space="preserve">0322303011</t>
  </si>
  <si>
    <t xml:space="preserve">740 E HICKORY AVE</t>
  </si>
  <si>
    <t xml:space="preserve">EASTERLING  TERESITA</t>
  </si>
  <si>
    <t xml:space="preserve">03-22-317-018</t>
  </si>
  <si>
    <t xml:space="preserve">0322317018</t>
  </si>
  <si>
    <t xml:space="preserve">591 ARTHUR AVE</t>
  </si>
  <si>
    <t xml:space="preserve">DEAN  DONALD J &amp; BARBARA</t>
  </si>
  <si>
    <t xml:space="preserve">03-22-324-017</t>
  </si>
  <si>
    <t xml:space="preserve">0322324017</t>
  </si>
  <si>
    <t xml:space="preserve">421 CARDINAL AVE</t>
  </si>
  <si>
    <t xml:space="preserve">FLORES  JAVIER</t>
  </si>
  <si>
    <t xml:space="preserve">03-23-104-025</t>
  </si>
  <si>
    <t xml:space="preserve">0323104025</t>
  </si>
  <si>
    <t xml:space="preserve">1001 W 2ND ST</t>
  </si>
  <si>
    <t xml:space="preserve">THOMAS  CORY</t>
  </si>
  <si>
    <t xml:space="preserve">03-23-105-021</t>
  </si>
  <si>
    <t xml:space="preserve">0323105021</t>
  </si>
  <si>
    <t xml:space="preserve">948 BREITER CT</t>
  </si>
  <si>
    <t xml:space="preserve">LUCANIA  GINA MARIA</t>
  </si>
  <si>
    <t xml:space="preserve">03-23-105-022</t>
  </si>
  <si>
    <t xml:space="preserve">0323105022</t>
  </si>
  <si>
    <t xml:space="preserve">940 BREITER CT</t>
  </si>
  <si>
    <t xml:space="preserve">KESLINKE  JOHN G</t>
  </si>
  <si>
    <t xml:space="preserve">03-23-107-009</t>
  </si>
  <si>
    <t xml:space="preserve">0323107009</t>
  </si>
  <si>
    <t xml:space="preserve">4N732 S MINER ST</t>
  </si>
  <si>
    <t xml:space="preserve">FARAONE  MARIANNE &amp;ANDREW</t>
  </si>
  <si>
    <t xml:space="preserve">03-23-118-012</t>
  </si>
  <si>
    <t xml:space="preserve">0323118012</t>
  </si>
  <si>
    <t xml:space="preserve">16W760 RED OAK ST</t>
  </si>
  <si>
    <t xml:space="preserve">TLUSTOCHOWICZ  GREGORY</t>
  </si>
  <si>
    <t xml:space="preserve">03-23-201-019</t>
  </si>
  <si>
    <t xml:space="preserve">0323201019</t>
  </si>
  <si>
    <t xml:space="preserve">326 BARRON ST</t>
  </si>
  <si>
    <t xml:space="preserve">MOHAMMED  SALEEM</t>
  </si>
  <si>
    <t xml:space="preserve">03-23-208-002</t>
  </si>
  <si>
    <t xml:space="preserve">0323208002</t>
  </si>
  <si>
    <t xml:space="preserve">405 JUDSON ST</t>
  </si>
  <si>
    <t xml:space="preserve">GARCIA ASCENCIO  JUAN</t>
  </si>
  <si>
    <t xml:space="preserve">03-23-304-020</t>
  </si>
  <si>
    <t xml:space="preserve">0323304020</t>
  </si>
  <si>
    <t xml:space="preserve">4N225 BRIAR LN</t>
  </si>
  <si>
    <t xml:space="preserve">SHAWALUK  EDIE &amp; MARK</t>
  </si>
  <si>
    <t xml:space="preserve">03-23-305-008</t>
  </si>
  <si>
    <t xml:space="preserve">0323305008</t>
  </si>
  <si>
    <t xml:space="preserve">4N163 PINE GROVE AVE</t>
  </si>
  <si>
    <t xml:space="preserve">SUNDLING  ERIC</t>
  </si>
  <si>
    <t xml:space="preserve">03-23-403-013</t>
  </si>
  <si>
    <t xml:space="preserve">0323403013</t>
  </si>
  <si>
    <t xml:space="preserve">835 S CENTER ST</t>
  </si>
  <si>
    <t xml:space="preserve">CHANG  CRISS &amp; ANATOLE</t>
  </si>
  <si>
    <t xml:space="preserve">03-24-103-001</t>
  </si>
  <si>
    <t xml:space="preserve">0324103001</t>
  </si>
  <si>
    <t xml:space="preserve">318 MEMORIAL RD</t>
  </si>
  <si>
    <t xml:space="preserve">CONTRERAS  JAVIER</t>
  </si>
  <si>
    <t xml:space="preserve">03-24-104-015</t>
  </si>
  <si>
    <t xml:space="preserve">0324104015</t>
  </si>
  <si>
    <t xml:space="preserve">424 MAY ST</t>
  </si>
  <si>
    <t xml:space="preserve">AHMED  IQBAL &amp; ET AL</t>
  </si>
  <si>
    <t xml:space="preserve">03-24-301-121</t>
  </si>
  <si>
    <t xml:space="preserve">0324301121</t>
  </si>
  <si>
    <t xml:space="preserve">330 GLORIA JEAN DR</t>
  </si>
  <si>
    <t xml:space="preserve">FRAUSTO  JOSUE</t>
  </si>
  <si>
    <t xml:space="preserve">03-24-313-018</t>
  </si>
  <si>
    <t xml:space="preserve">0324313018</t>
  </si>
  <si>
    <t xml:space="preserve">240 GEORGE ST # F</t>
  </si>
  <si>
    <t xml:space="preserve">PRZEPIORKA  TOMASZ</t>
  </si>
  <si>
    <t xml:space="preserve">03-25-116-013</t>
  </si>
  <si>
    <t xml:space="preserve">0325116013</t>
  </si>
  <si>
    <t xml:space="preserve">3N519 N HOWARD AVE</t>
  </si>
  <si>
    <t xml:space="preserve">ELMHURST</t>
  </si>
  <si>
    <t xml:space="preserve">GREEN LAND INVESTORS LLC</t>
  </si>
  <si>
    <t xml:space="preserve">03-25-120-025</t>
  </si>
  <si>
    <t xml:space="preserve">0325120025</t>
  </si>
  <si>
    <t xml:space="preserve">1043 S YORK RD # 401</t>
  </si>
  <si>
    <t xml:space="preserve">GONZALEZ  JESSE &amp; JESSICA</t>
  </si>
  <si>
    <t xml:space="preserve">03-25-300-018</t>
  </si>
  <si>
    <t xml:space="preserve">0325300018</t>
  </si>
  <si>
    <t xml:space="preserve">15W573 DIVERSEY AVE</t>
  </si>
  <si>
    <t xml:space="preserve">FAROOQUI  STACIE M</t>
  </si>
  <si>
    <t xml:space="preserve">03-25-313-012</t>
  </si>
  <si>
    <t xml:space="preserve">0325313012</t>
  </si>
  <si>
    <t xml:space="preserve">814 N VAN AUKEN ST</t>
  </si>
  <si>
    <t xml:space="preserve">PHEASANT PROPERTIES LLC</t>
  </si>
  <si>
    <t xml:space="preserve">03-25-318-019</t>
  </si>
  <si>
    <t xml:space="preserve">0325318019</t>
  </si>
  <si>
    <t xml:space="preserve">746 N KENILWORTH AVE</t>
  </si>
  <si>
    <t xml:space="preserve">STEVENS III  KERRI &amp; MICHAEL M</t>
  </si>
  <si>
    <t xml:space="preserve">03-25-324-010</t>
  </si>
  <si>
    <t xml:space="preserve">0325324010</t>
  </si>
  <si>
    <t xml:space="preserve">806 ADELE ST</t>
  </si>
  <si>
    <t xml:space="preserve">SADIK  SALI</t>
  </si>
  <si>
    <t xml:space="preserve">03-25-326-082</t>
  </si>
  <si>
    <t xml:space="preserve">0325326082</t>
  </si>
  <si>
    <t xml:space="preserve">841 N YORK RD # 321</t>
  </si>
  <si>
    <t xml:space="preserve">CONSOLIDATED MANAGEMENT</t>
  </si>
  <si>
    <t xml:space="preserve">03-26-203-050</t>
  </si>
  <si>
    <t xml:space="preserve">0326203050</t>
  </si>
  <si>
    <t xml:space="preserve">1000 S YORK RD</t>
  </si>
  <si>
    <t xml:space="preserve">RAYKOV  RUMEN</t>
  </si>
  <si>
    <t xml:space="preserve">03-27-103-007</t>
  </si>
  <si>
    <t xml:space="preserve">0327103007</t>
  </si>
  <si>
    <t xml:space="preserve">481 BELMONT AVE</t>
  </si>
  <si>
    <t xml:space="preserve">BAYREV  ALEXANDER</t>
  </si>
  <si>
    <t xml:space="preserve">03-27-110-008</t>
  </si>
  <si>
    <t xml:space="preserve">0327110008</t>
  </si>
  <si>
    <t xml:space="preserve">301 N CATALPA ST</t>
  </si>
  <si>
    <t xml:space="preserve">E V P PROPERTIES CORP</t>
  </si>
  <si>
    <t xml:space="preserve">03-27-201-004</t>
  </si>
  <si>
    <t xml:space="preserve">0327201004</t>
  </si>
  <si>
    <t xml:space="preserve">17W330 OAK LN</t>
  </si>
  <si>
    <t xml:space="preserve">03-27-314-005</t>
  </si>
  <si>
    <t xml:space="preserve">0327314005</t>
  </si>
  <si>
    <t xml:space="preserve">412 DRAKE AVE</t>
  </si>
  <si>
    <t xml:space="preserve">SANCHEZ JR  JOSE A</t>
  </si>
  <si>
    <t xml:space="preserve">03-28-105-014</t>
  </si>
  <si>
    <t xml:space="preserve">0328105014</t>
  </si>
  <si>
    <t xml:space="preserve">42 N HIGHVIEW AVE</t>
  </si>
  <si>
    <t xml:space="preserve">RIVERA  ISIDRO</t>
  </si>
  <si>
    <t xml:space="preserve">03-28-109-035</t>
  </si>
  <si>
    <t xml:space="preserve">0328109035</t>
  </si>
  <si>
    <t xml:space="preserve">120 N SCHOOL ST</t>
  </si>
  <si>
    <t xml:space="preserve">03-28-208-010</t>
  </si>
  <si>
    <t xml:space="preserve">0328208010</t>
  </si>
  <si>
    <t xml:space="preserve">314 N CHESTNUT ST</t>
  </si>
  <si>
    <t xml:space="preserve">HENAO  GUSTAVO A</t>
  </si>
  <si>
    <t xml:space="preserve">03-28-226-004</t>
  </si>
  <si>
    <t xml:space="preserve">0328226004</t>
  </si>
  <si>
    <t xml:space="preserve">224 E DIVERSEY AVE</t>
  </si>
  <si>
    <t xml:space="preserve">03-28-315-002</t>
  </si>
  <si>
    <t xml:space="preserve">0328315002</t>
  </si>
  <si>
    <t xml:space="preserve">227 S HALE ST</t>
  </si>
  <si>
    <t xml:space="preserve">TOPALSKI  VELI</t>
  </si>
  <si>
    <t xml:space="preserve">03-28-403-013</t>
  </si>
  <si>
    <t xml:space="preserve">0328403013</t>
  </si>
  <si>
    <t xml:space="preserve">210 E MYRICK AVE</t>
  </si>
  <si>
    <t xml:space="preserve">ALVARDO  GABRIEL &amp; ANN M</t>
  </si>
  <si>
    <t xml:space="preserve">03-28-410-004</t>
  </si>
  <si>
    <t xml:space="preserve">0328410004</t>
  </si>
  <si>
    <t xml:space="preserve">117 S IOWA AVE</t>
  </si>
  <si>
    <t xml:space="preserve">MEYERS  JUDITH A</t>
  </si>
  <si>
    <t xml:space="preserve">03-29-111-007</t>
  </si>
  <si>
    <t xml:space="preserve">0329111007</t>
  </si>
  <si>
    <t xml:space="preserve">917 ARMY TRAIL RD</t>
  </si>
  <si>
    <t xml:space="preserve">LOISI  LENA</t>
  </si>
  <si>
    <t xml:space="preserve">03-29-114-012</t>
  </si>
  <si>
    <t xml:space="preserve">0329114012</t>
  </si>
  <si>
    <t xml:space="preserve">845 HERITAGE DR</t>
  </si>
  <si>
    <t xml:space="preserve">VACCO JR  RICHARD J</t>
  </si>
  <si>
    <t xml:space="preserve">03-29-216-096</t>
  </si>
  <si>
    <t xml:space="preserve">0329216096</t>
  </si>
  <si>
    <t xml:space="preserve">630 W NATALIE LN</t>
  </si>
  <si>
    <t xml:space="preserve">GALVAN  GUILLERMO &amp; R</t>
  </si>
  <si>
    <t xml:space="preserve">03-29-407-019</t>
  </si>
  <si>
    <t xml:space="preserve">0329407019</t>
  </si>
  <si>
    <t xml:space="preserve">30 S EVERGREEN AVE</t>
  </si>
  <si>
    <t xml:space="preserve">CRUYWELLS  FABIAN</t>
  </si>
  <si>
    <t xml:space="preserve">03-29-419-016</t>
  </si>
  <si>
    <t xml:space="preserve">0329419016</t>
  </si>
  <si>
    <t xml:space="preserve">444 LAKE PARK DR</t>
  </si>
  <si>
    <t xml:space="preserve">DYBISZ  BRONISLAWA</t>
  </si>
  <si>
    <t xml:space="preserve">03-29-423-116</t>
  </si>
  <si>
    <t xml:space="preserve">0329423116</t>
  </si>
  <si>
    <t xml:space="preserve">166 LA LONDE AVE # 2D</t>
  </si>
  <si>
    <t xml:space="preserve">FIGUEROA  DAVID</t>
  </si>
  <si>
    <t xml:space="preserve">03-30-100-001</t>
  </si>
  <si>
    <t xml:space="preserve">0330100001</t>
  </si>
  <si>
    <t xml:space="preserve">3N775 ROHLWING RD</t>
  </si>
  <si>
    <t xml:space="preserve">SOBIEGRAJ  ANDRZEJ</t>
  </si>
  <si>
    <t xml:space="preserve">03-30-209-028</t>
  </si>
  <si>
    <t xml:space="preserve">0330209028</t>
  </si>
  <si>
    <t xml:space="preserve">1331 W DIVERSEY AVE</t>
  </si>
  <si>
    <t xml:space="preserve">COONICH  C &amp; N SKAMRA</t>
  </si>
  <si>
    <t xml:space="preserve">03-32-406-029</t>
  </si>
  <si>
    <t xml:space="preserve">0332406029</t>
  </si>
  <si>
    <t xml:space="preserve">2N109 GRACE ST</t>
  </si>
  <si>
    <t xml:space="preserve">WILLIAMS  THOMAS L</t>
  </si>
  <si>
    <t xml:space="preserve">03-32-415-006</t>
  </si>
  <si>
    <t xml:space="preserve">0332415006</t>
  </si>
  <si>
    <t xml:space="preserve">2N047 LA LONDE AVE</t>
  </si>
  <si>
    <t xml:space="preserve">KOZLOWSKA  AGNIESZKA D</t>
  </si>
  <si>
    <t xml:space="preserve">03-33-101-020</t>
  </si>
  <si>
    <t xml:space="preserve">0333101020</t>
  </si>
  <si>
    <t xml:space="preserve">541 S ADELINE AVE</t>
  </si>
  <si>
    <t xml:space="preserve">KOSSMAN  ARTHUR 52357</t>
  </si>
  <si>
    <t xml:space="preserve">03-33-402-036</t>
  </si>
  <si>
    <t xml:space="preserve">0333402036</t>
  </si>
  <si>
    <t xml:space="preserve">970 S MICHIGAN AVE</t>
  </si>
  <si>
    <t xml:space="preserve">LAGUNA  CHESTER</t>
  </si>
  <si>
    <t xml:space="preserve">03-34-211-035</t>
  </si>
  <si>
    <t xml:space="preserve">0334211035</t>
  </si>
  <si>
    <t xml:space="preserve">549 CROCKETT AVE</t>
  </si>
  <si>
    <t xml:space="preserve">NIEWOLA  PAWEL</t>
  </si>
  <si>
    <t xml:space="preserve">03-34-218-028</t>
  </si>
  <si>
    <t xml:space="preserve">0334218028</t>
  </si>
  <si>
    <t xml:space="preserve">553 W COMSTOCK AVE</t>
  </si>
  <si>
    <t xml:space="preserve">EMMERING  ALAN &amp; LINDA</t>
  </si>
  <si>
    <t xml:space="preserve">03-35-213-010</t>
  </si>
  <si>
    <t xml:space="preserve">0335213010</t>
  </si>
  <si>
    <t xml:space="preserve">216 KIMBELL AVE</t>
  </si>
  <si>
    <t xml:space="preserve">DREAM HOME BUILDERS LLC</t>
  </si>
  <si>
    <t xml:space="preserve">03-35-317-008</t>
  </si>
  <si>
    <t xml:space="preserve">0335317008</t>
  </si>
  <si>
    <t xml:space="preserve">312 N OAKLAWN AVE</t>
  </si>
  <si>
    <t xml:space="preserve">TUSZEWICKI  A &amp; K LUPA</t>
  </si>
  <si>
    <t xml:space="preserve">03-35-320-007</t>
  </si>
  <si>
    <t xml:space="preserve">0335320007</t>
  </si>
  <si>
    <t xml:space="preserve">321 N RIDGELAND AVE</t>
  </si>
  <si>
    <t xml:space="preserve">GALVEZ  ALLAN</t>
  </si>
  <si>
    <t xml:space="preserve">03-35-322-016</t>
  </si>
  <si>
    <t xml:space="preserve">0335322016</t>
  </si>
  <si>
    <t xml:space="preserve">336 N WALNUT ST</t>
  </si>
  <si>
    <t xml:space="preserve">SYCHOWSKI  KEVIN &amp; NICHOLE</t>
  </si>
  <si>
    <t xml:space="preserve">03-35-418-003</t>
  </si>
  <si>
    <t xml:space="preserve">0335418003</t>
  </si>
  <si>
    <t xml:space="preserve">331 N ADDISON AVE</t>
  </si>
  <si>
    <t xml:space="preserve">ALEXANDRAKIS  JOHN &amp; T</t>
  </si>
  <si>
    <t xml:space="preserve">03-36-128-017</t>
  </si>
  <si>
    <t xml:space="preserve">0336128017</t>
  </si>
  <si>
    <t xml:space="preserve">548 N VAN AUKEN ST</t>
  </si>
  <si>
    <t xml:space="preserve">FURBUR  DALE W</t>
  </si>
  <si>
    <t xml:space="preserve">03-36-303-004</t>
  </si>
  <si>
    <t xml:space="preserve">0336303004</t>
  </si>
  <si>
    <t xml:space="preserve">195 E LAKE ST</t>
  </si>
  <si>
    <t xml:space="preserve">FLORES  ALMA D</t>
  </si>
  <si>
    <t xml:space="preserve">03-36-305-021</t>
  </si>
  <si>
    <t xml:space="preserve">0336305021</t>
  </si>
  <si>
    <t xml:space="preserve">502 N HOWARD AVE</t>
  </si>
  <si>
    <t xml:space="preserve">CROOKS  NANCY J</t>
  </si>
  <si>
    <t xml:space="preserve">03-36-306-020</t>
  </si>
  <si>
    <t xml:space="preserve">0336306020</t>
  </si>
  <si>
    <t xml:space="preserve">453 N HOWARD AVE</t>
  </si>
  <si>
    <t xml:space="preserve">VALENTINO  ROBERTA A</t>
  </si>
  <si>
    <t xml:space="preserve">03-36-316-010</t>
  </si>
  <si>
    <t xml:space="preserve">0336316010</t>
  </si>
  <si>
    <t xml:space="preserve">400 EMROY AVE</t>
  </si>
  <si>
    <t xml:space="preserve">DESHABATHINI  LAXMI SREE</t>
  </si>
  <si>
    <t xml:space="preserve">03-36-403-009</t>
  </si>
  <si>
    <t xml:space="preserve">0336403009</t>
  </si>
  <si>
    <t xml:space="preserve">441 E BERTEAU AVE</t>
  </si>
  <si>
    <t xml:space="preserve">FROM  DAVID &amp; ALLEGRA</t>
  </si>
  <si>
    <t xml:space="preserve">04-02-400-003</t>
  </si>
  <si>
    <t xml:space="preserve">0402400003</t>
  </si>
  <si>
    <t xml:space="preserve">1N325 INDIAN KNOLL RD</t>
  </si>
  <si>
    <t xml:space="preserve">HEINZ  RICHARD H</t>
  </si>
  <si>
    <t xml:space="preserve">04-03-300-010</t>
  </si>
  <si>
    <t xml:space="preserve">0403300010</t>
  </si>
  <si>
    <t xml:space="preserve">224 E NATIONAL ST</t>
  </si>
  <si>
    <t xml:space="preserve">BORN  HOWARD &amp; ERLAINE</t>
  </si>
  <si>
    <t xml:space="preserve">04-03-300-014</t>
  </si>
  <si>
    <t xml:space="preserve">0403300014</t>
  </si>
  <si>
    <t xml:space="preserve">540 BELLVIEW AVE</t>
  </si>
  <si>
    <t xml:space="preserve">RUBIO GUERRERO  ALBA S</t>
  </si>
  <si>
    <t xml:space="preserve">04-03-410-081</t>
  </si>
  <si>
    <t xml:space="preserve">0403410081</t>
  </si>
  <si>
    <t xml:space="preserve">247 N NELTNOR BLVD # E-1A</t>
  </si>
  <si>
    <t xml:space="preserve">CAPOBIANCO  JOE</t>
  </si>
  <si>
    <t xml:space="preserve">04-04-201-054</t>
  </si>
  <si>
    <t xml:space="preserve">0404201054</t>
  </si>
  <si>
    <t xml:space="preserve">195 PEACHTREE LN</t>
  </si>
  <si>
    <t xml:space="preserve">BAEZA  ROSA</t>
  </si>
  <si>
    <t xml:space="preserve">04-05-200-024</t>
  </si>
  <si>
    <t xml:space="preserve">0405200024</t>
  </si>
  <si>
    <t xml:space="preserve">31W168 LEE RD</t>
  </si>
  <si>
    <t xml:space="preserve">PEREZ  A &amp; A MARTINEZ</t>
  </si>
  <si>
    <t xml:space="preserve">04-09-226-012</t>
  </si>
  <si>
    <t xml:space="preserve">0409226012</t>
  </si>
  <si>
    <t xml:space="preserve">311 ANN ST</t>
  </si>
  <si>
    <t xml:space="preserve">GARCIA  JUANA</t>
  </si>
  <si>
    <t xml:space="preserve">04-09-313-004</t>
  </si>
  <si>
    <t xml:space="preserve">0409313004</t>
  </si>
  <si>
    <t xml:space="preserve">715 LINCOLN AVE</t>
  </si>
  <si>
    <t xml:space="preserve">CLAUDIO  MARTIN A</t>
  </si>
  <si>
    <t xml:space="preserve">04-09-318-029</t>
  </si>
  <si>
    <t xml:space="preserve">0409318029</t>
  </si>
  <si>
    <t xml:space="preserve">501 W FOREST</t>
  </si>
  <si>
    <t xml:space="preserve">DIETER  NICK &amp; CINDY</t>
  </si>
  <si>
    <t xml:space="preserve">04-09-438-022</t>
  </si>
  <si>
    <t xml:space="preserve">0409438022</t>
  </si>
  <si>
    <t xml:space="preserve">118 W BROWN ST</t>
  </si>
  <si>
    <t xml:space="preserve">ROSALES  RANULFO</t>
  </si>
  <si>
    <t xml:space="preserve">04-09-439-018</t>
  </si>
  <si>
    <t xml:space="preserve">0409439018</t>
  </si>
  <si>
    <t xml:space="preserve">750 JOLIET ST</t>
  </si>
  <si>
    <t xml:space="preserve">VIVALDO  MARIO &amp; MAURISIO</t>
  </si>
  <si>
    <t xml:space="preserve">04-10-102-004</t>
  </si>
  <si>
    <t xml:space="preserve">0410102004</t>
  </si>
  <si>
    <t xml:space="preserve">345 E WASHINGTON ST</t>
  </si>
  <si>
    <t xml:space="preserve">BALLINES  MERCED</t>
  </si>
  <si>
    <t xml:space="preserve">04-10-129-021</t>
  </si>
  <si>
    <t xml:space="preserve">0410129021</t>
  </si>
  <si>
    <t xml:space="preserve">319 CLAYTON ST # E</t>
  </si>
  <si>
    <t xml:space="preserve">SANCHEZ  JAVIER</t>
  </si>
  <si>
    <t xml:space="preserve">04-10-310-017</t>
  </si>
  <si>
    <t xml:space="preserve">0410310017</t>
  </si>
  <si>
    <t xml:space="preserve">237 E POMEROY ST</t>
  </si>
  <si>
    <t xml:space="preserve">LANDALL  MARY E</t>
  </si>
  <si>
    <t xml:space="preserve">04-10-312-007</t>
  </si>
  <si>
    <t xml:space="preserve">0410312007</t>
  </si>
  <si>
    <t xml:space="preserve">526 E STIMMEL ST</t>
  </si>
  <si>
    <t xml:space="preserve">PULLINS  ERIK R</t>
  </si>
  <si>
    <t xml:space="preserve">04-10-315-002</t>
  </si>
  <si>
    <t xml:space="preserve">0410315002</t>
  </si>
  <si>
    <t xml:space="preserve">306 E POMEROY ST</t>
  </si>
  <si>
    <t xml:space="preserve">MASCHKE  CHRISTINE</t>
  </si>
  <si>
    <t xml:space="preserve">04-10-408-009</t>
  </si>
  <si>
    <t xml:space="preserve">0410408009</t>
  </si>
  <si>
    <t xml:space="preserve">0N248 EASTON ST</t>
  </si>
  <si>
    <t xml:space="preserve">ORTIZ  JAVIER FRANCO</t>
  </si>
  <si>
    <t xml:space="preserve">04-10-422-001</t>
  </si>
  <si>
    <t xml:space="preserve">0410422001</t>
  </si>
  <si>
    <t xml:space="preserve">29W281 LESTER ST</t>
  </si>
  <si>
    <t xml:space="preserve">BALO  KYLE</t>
  </si>
  <si>
    <t xml:space="preserve">04-11-308-021</t>
  </si>
  <si>
    <t xml:space="preserve">0411308021</t>
  </si>
  <si>
    <t xml:space="preserve">28W426 DONALD AVE</t>
  </si>
  <si>
    <t xml:space="preserve">MARTINEZ  A &amp; Y MONTOYA</t>
  </si>
  <si>
    <t xml:space="preserve">04-11-317-053</t>
  </si>
  <si>
    <t xml:space="preserve">0411317053</t>
  </si>
  <si>
    <t xml:space="preserve">28W755 LESTER ST</t>
  </si>
  <si>
    <t xml:space="preserve">POTEMPA  CATHERINE D</t>
  </si>
  <si>
    <t xml:space="preserve">04-12-104-012</t>
  </si>
  <si>
    <t xml:space="preserve">0412104012</t>
  </si>
  <si>
    <t xml:space="preserve">27W413 PROVIDENCE LN # 102</t>
  </si>
  <si>
    <t xml:space="preserve">WINFIELD</t>
  </si>
  <si>
    <t xml:space="preserve">COULSTON  JOHN &amp;GEORGIANN</t>
  </si>
  <si>
    <t xml:space="preserve">04-12-204-009</t>
  </si>
  <si>
    <t xml:space="preserve">0412204009</t>
  </si>
  <si>
    <t xml:space="preserve">27W341 CHARTWELL DR</t>
  </si>
  <si>
    <t xml:space="preserve">ARIAS  EDUARDO &amp; GUSTAVO</t>
  </si>
  <si>
    <t xml:space="preserve">04-12-212-015</t>
  </si>
  <si>
    <t xml:space="preserve">0412212015</t>
  </si>
  <si>
    <t xml:space="preserve">0N660 ESSEX LN</t>
  </si>
  <si>
    <t xml:space="preserve">BERNAL  DAMIAN</t>
  </si>
  <si>
    <t xml:space="preserve">04-12-300-107</t>
  </si>
  <si>
    <t xml:space="preserve">0412300107</t>
  </si>
  <si>
    <t xml:space="preserve">27W720 HODGES WAY</t>
  </si>
  <si>
    <t xml:space="preserve">ALTBUY GROUP LLC</t>
  </si>
  <si>
    <t xml:space="preserve">04-12-409-011</t>
  </si>
  <si>
    <t xml:space="preserve">0412409011</t>
  </si>
  <si>
    <t xml:space="preserve">27W142 BOLLES AVE</t>
  </si>
  <si>
    <t xml:space="preserve">ARIAS  JOSE ANTONIO</t>
  </si>
  <si>
    <t xml:space="preserve">04-13-126-004</t>
  </si>
  <si>
    <t xml:space="preserve">0413126004</t>
  </si>
  <si>
    <t xml:space="preserve">0S169 CHURCH ST</t>
  </si>
  <si>
    <t xml:space="preserve">ARIAS  LORI RENEE</t>
  </si>
  <si>
    <t xml:space="preserve">04-13-126-005</t>
  </si>
  <si>
    <t xml:space="preserve">0413126005</t>
  </si>
  <si>
    <t xml:space="preserve">0S159 CHURCH ST</t>
  </si>
  <si>
    <t xml:space="preserve">04-13-126-006</t>
  </si>
  <si>
    <t xml:space="preserve">0413126006</t>
  </si>
  <si>
    <t xml:space="preserve">KUKKALA  VIJAY &amp;E FRANCIS</t>
  </si>
  <si>
    <t xml:space="preserve">04-13-201-097</t>
  </si>
  <si>
    <t xml:space="preserve">0413201097</t>
  </si>
  <si>
    <t xml:space="preserve">0S058 JEWELL CT</t>
  </si>
  <si>
    <t xml:space="preserve">SCHRADER  JAMES</t>
  </si>
  <si>
    <t xml:space="preserve">04-13-305-009</t>
  </si>
  <si>
    <t xml:space="preserve">0413305009</t>
  </si>
  <si>
    <t xml:space="preserve">0S529 WINFIELD RD</t>
  </si>
  <si>
    <t xml:space="preserve">ARCHITECTURAL SURGEONS TRUST #7</t>
  </si>
  <si>
    <t xml:space="preserve">04-13-306-006</t>
  </si>
  <si>
    <t xml:space="preserve">0413306006</t>
  </si>
  <si>
    <t xml:space="preserve">27W465 MANCHESTER RD</t>
  </si>
  <si>
    <t xml:space="preserve">TALZ  W &amp; BRIAN LIBICKI</t>
  </si>
  <si>
    <t xml:space="preserve">04-13-406-002</t>
  </si>
  <si>
    <t xml:space="preserve">0413406002</t>
  </si>
  <si>
    <t xml:space="preserve">0S553 FOREST ST</t>
  </si>
  <si>
    <t xml:space="preserve">KHALILOV  ILYAS</t>
  </si>
  <si>
    <t xml:space="preserve">04-13-418-023</t>
  </si>
  <si>
    <t xml:space="preserve">0413418023</t>
  </si>
  <si>
    <t xml:space="preserve">0S650 EAST ST</t>
  </si>
  <si>
    <t xml:space="preserve">CTLTC 8002392677</t>
  </si>
  <si>
    <t xml:space="preserve">04-14-305-009</t>
  </si>
  <si>
    <t xml:space="preserve">0414305009</t>
  </si>
  <si>
    <t xml:space="preserve">28W563 ROOSEVELT RD</t>
  </si>
  <si>
    <t xml:space="preserve">MUNGOVAN  DAWN</t>
  </si>
  <si>
    <t xml:space="preserve">04-16-206-006</t>
  </si>
  <si>
    <t xml:space="preserve">0416206006</t>
  </si>
  <si>
    <t xml:space="preserve">30W176 MAY ST</t>
  </si>
  <si>
    <t xml:space="preserve">JOHNSON  DOROTHY A</t>
  </si>
  <si>
    <t xml:space="preserve">04-21-418-138</t>
  </si>
  <si>
    <t xml:space="preserve">0421418138</t>
  </si>
  <si>
    <t xml:space="preserve">30W020 CEDAR CT</t>
  </si>
  <si>
    <t xml:space="preserve">WARRENVILLE</t>
  </si>
  <si>
    <t xml:space="preserve">RUIZ FLORES  OMAR</t>
  </si>
  <si>
    <t xml:space="preserve">04-22-100-002</t>
  </si>
  <si>
    <t xml:space="preserve">0422100002</t>
  </si>
  <si>
    <t xml:space="preserve">1S074 JOLIET ST</t>
  </si>
  <si>
    <t xml:space="preserve">CHOU  SEAN Y</t>
  </si>
  <si>
    <t xml:space="preserve">04-23-400-007</t>
  </si>
  <si>
    <t xml:space="preserve">0423400007</t>
  </si>
  <si>
    <t xml:space="preserve">28W252 PURNELL RD</t>
  </si>
  <si>
    <t xml:space="preserve">DOAN  TRIEU T</t>
  </si>
  <si>
    <t xml:space="preserve">04-25-201-002</t>
  </si>
  <si>
    <t xml:space="preserve">0425201002</t>
  </si>
  <si>
    <t xml:space="preserve">27W221 MACK RD</t>
  </si>
  <si>
    <t xml:space="preserve">WHEATON</t>
  </si>
  <si>
    <t xml:space="preserve">BAZALEV  MARK N</t>
  </si>
  <si>
    <t xml:space="preserve">04-27-203-011</t>
  </si>
  <si>
    <t xml:space="preserve">0427203011</t>
  </si>
  <si>
    <t xml:space="preserve">29W140 OAK LN</t>
  </si>
  <si>
    <t xml:space="preserve">DANIELE  MARIA C</t>
  </si>
  <si>
    <t xml:space="preserve">04-27-304-117</t>
  </si>
  <si>
    <t xml:space="preserve">0427304117</t>
  </si>
  <si>
    <t xml:space="preserve">29W721 STEVEN CT</t>
  </si>
  <si>
    <t xml:space="preserve">AYALA  TEZLA M</t>
  </si>
  <si>
    <t xml:space="preserve">04-28-407-087</t>
  </si>
  <si>
    <t xml:space="preserve">0428407087</t>
  </si>
  <si>
    <t xml:space="preserve">30W007 DANBURY DR</t>
  </si>
  <si>
    <t xml:space="preserve">ABBAS  ALAA MOHAMMAD</t>
  </si>
  <si>
    <t xml:space="preserve">04-31-311-006</t>
  </si>
  <si>
    <t xml:space="preserve">0431311006</t>
  </si>
  <si>
    <t xml:space="preserve">2290 SCOTT LN</t>
  </si>
  <si>
    <t xml:space="preserve">AURORA</t>
  </si>
  <si>
    <t xml:space="preserve">BREHM  JAMES M &amp; LUCI A</t>
  </si>
  <si>
    <t xml:space="preserve">04-34-119-065</t>
  </si>
  <si>
    <t xml:space="preserve">0434119065</t>
  </si>
  <si>
    <t xml:space="preserve">29W440 TANGLEWOOD LN</t>
  </si>
  <si>
    <t xml:space="preserve">BRUCATO  LORI &amp; JOSEPH</t>
  </si>
  <si>
    <t xml:space="preserve">04-34-124-062</t>
  </si>
  <si>
    <t xml:space="preserve">0434124062</t>
  </si>
  <si>
    <t xml:space="preserve">3S002 TIMBER DR</t>
  </si>
  <si>
    <t xml:space="preserve">ALDERSON  NICHOLAS &amp; KRISTINA BAZALEV</t>
  </si>
  <si>
    <t xml:space="preserve">04-34-300-017</t>
  </si>
  <si>
    <t xml:space="preserve">0434300017</t>
  </si>
  <si>
    <t xml:space="preserve">29W620 ALBRIGHT ST</t>
  </si>
  <si>
    <t xml:space="preserve">1N670 RIVER ROAD LLC</t>
  </si>
  <si>
    <t xml:space="preserve">05-01-101-005</t>
  </si>
  <si>
    <t xml:space="preserve">0501101005</t>
  </si>
  <si>
    <t xml:space="preserve">1N670 RIVER DR</t>
  </si>
  <si>
    <t xml:space="preserve">RESUDEK  STACY</t>
  </si>
  <si>
    <t xml:space="preserve">05-01-104-018</t>
  </si>
  <si>
    <t xml:space="preserve">0501104018</t>
  </si>
  <si>
    <t xml:space="preserve">1441 RIVER DR</t>
  </si>
  <si>
    <t xml:space="preserve">QURESHI  MAJIDAH A</t>
  </si>
  <si>
    <t xml:space="preserve">05-01-110-077</t>
  </si>
  <si>
    <t xml:space="preserve">0501110077</t>
  </si>
  <si>
    <t xml:space="preserve">21W581 NORTH AVE # 41</t>
  </si>
  <si>
    <t xml:space="preserve">KAUR  SHARANDEEP</t>
  </si>
  <si>
    <t xml:space="preserve">05-01-110-091</t>
  </si>
  <si>
    <t xml:space="preserve">0501110091</t>
  </si>
  <si>
    <t xml:space="preserve">21W581 NORTH AVE # 55</t>
  </si>
  <si>
    <t xml:space="preserve">RSS HOMES LLC</t>
  </si>
  <si>
    <t xml:space="preserve">05-01-114-011</t>
  </si>
  <si>
    <t xml:space="preserve">0501114011</t>
  </si>
  <si>
    <t xml:space="preserve">1044 SWIFT RD # 2E</t>
  </si>
  <si>
    <t xml:space="preserve">1061 VICTORIA LANE INC</t>
  </si>
  <si>
    <t xml:space="preserve">05-02-100-030</t>
  </si>
  <si>
    <t xml:space="preserve">0502100030</t>
  </si>
  <si>
    <t xml:space="preserve">1061 VICTORIA LN</t>
  </si>
  <si>
    <t xml:space="preserve">TAVAKILOV  SAIFIDDINKHUZH</t>
  </si>
  <si>
    <t xml:space="preserve">05-02-104-002</t>
  </si>
  <si>
    <t xml:space="preserve">0502104002</t>
  </si>
  <si>
    <t xml:space="preserve">413 2ND PL</t>
  </si>
  <si>
    <t xml:space="preserve">1025 GREENBRIAR DRIVE LLC</t>
  </si>
  <si>
    <t xml:space="preserve">05-02-104-031</t>
  </si>
  <si>
    <t xml:space="preserve">0502104031</t>
  </si>
  <si>
    <t xml:space="preserve">1025 GREENBRIAR DR</t>
  </si>
  <si>
    <t xml:space="preserve">PETROVIC  ZORAN &amp; DUSICA</t>
  </si>
  <si>
    <t xml:space="preserve">05-02-105-012</t>
  </si>
  <si>
    <t xml:space="preserve">0502105012</t>
  </si>
  <si>
    <t xml:space="preserve">1044 GREENBRIAR DR</t>
  </si>
  <si>
    <t xml:space="preserve">BADLA  ANAM</t>
  </si>
  <si>
    <t xml:space="preserve">05-02-107-051</t>
  </si>
  <si>
    <t xml:space="preserve">0502107051</t>
  </si>
  <si>
    <t xml:space="preserve">458 COVENTRY CIR</t>
  </si>
  <si>
    <t xml:space="preserve">RAHMAN  SHAHID</t>
  </si>
  <si>
    <t xml:space="preserve">05-02-107-057</t>
  </si>
  <si>
    <t xml:space="preserve">0502107057</t>
  </si>
  <si>
    <t xml:space="preserve">1148 COVENTRY CIR</t>
  </si>
  <si>
    <t xml:space="preserve">MASSARELLI  NICOLE M</t>
  </si>
  <si>
    <t xml:space="preserve">05-02-107-072</t>
  </si>
  <si>
    <t xml:space="preserve">0502107072</t>
  </si>
  <si>
    <t xml:space="preserve">1138 COVENTRY CIR</t>
  </si>
  <si>
    <t xml:space="preserve">WIDYK  ANDRZEJ &amp; M J</t>
  </si>
  <si>
    <t xml:space="preserve">05-02-204-004</t>
  </si>
  <si>
    <t xml:space="preserve">0502204004</t>
  </si>
  <si>
    <t xml:space="preserve">785 E NORTH AVE</t>
  </si>
  <si>
    <t xml:space="preserve">PEDROZA  ANTHONY</t>
  </si>
  <si>
    <t xml:space="preserve">05-02-206-011</t>
  </si>
  <si>
    <t xml:space="preserve">0502206011</t>
  </si>
  <si>
    <t xml:space="preserve">22W015 VALLEY VIEW DR</t>
  </si>
  <si>
    <t xml:space="preserve">POPOWYCZ  WOLODYMYR A</t>
  </si>
  <si>
    <t xml:space="preserve">05-02-209-016</t>
  </si>
  <si>
    <t xml:space="preserve">0502209016</t>
  </si>
  <si>
    <t xml:space="preserve">1N618 GOODRICH AVE</t>
  </si>
  <si>
    <t xml:space="preserve">KOWALCZYK  MAGDALENA</t>
  </si>
  <si>
    <t xml:space="preserve">05-03-104-052</t>
  </si>
  <si>
    <t xml:space="preserve">0503104052</t>
  </si>
  <si>
    <t xml:space="preserve">1159 HARBOR CT</t>
  </si>
  <si>
    <t xml:space="preserve">05-03-207-007</t>
  </si>
  <si>
    <t xml:space="preserve">0503207007</t>
  </si>
  <si>
    <t xml:space="preserve">1117-1 BLOOMINGDALE RD # 1-B</t>
  </si>
  <si>
    <t xml:space="preserve">HADI  FATIMA &amp; SAYED</t>
  </si>
  <si>
    <t xml:space="preserve">05-03-207-027</t>
  </si>
  <si>
    <t xml:space="preserve">0503207027</t>
  </si>
  <si>
    <t xml:space="preserve">208 SHOREWOOD DR # GB</t>
  </si>
  <si>
    <t xml:space="preserve">05-03-207-095</t>
  </si>
  <si>
    <t xml:space="preserve">0503207095</t>
  </si>
  <si>
    <t xml:space="preserve">242 SHOREWOOD DR # 2B</t>
  </si>
  <si>
    <t xml:space="preserve">AVALOS  RAUL</t>
  </si>
  <si>
    <t xml:space="preserve">05-03-207-123</t>
  </si>
  <si>
    <t xml:space="preserve">0503207123</t>
  </si>
  <si>
    <t xml:space="preserve">252 SHOREWOOD DR # 11-GB</t>
  </si>
  <si>
    <t xml:space="preserve">NGUYEN  MOLLY HO</t>
  </si>
  <si>
    <t xml:space="preserve">05-03-207-219</t>
  </si>
  <si>
    <t xml:space="preserve">0503207219</t>
  </si>
  <si>
    <t xml:space="preserve">271 SHOREWOOD DR # GB</t>
  </si>
  <si>
    <t xml:space="preserve">BADER  IFTEKHAR &amp; TASNEEM &amp; RIZWAN</t>
  </si>
  <si>
    <t xml:space="preserve">05-03-207-240</t>
  </si>
  <si>
    <t xml:space="preserve">0503207240</t>
  </si>
  <si>
    <t xml:space="preserve">277 SHOREWOOD DR # 2C</t>
  </si>
  <si>
    <t xml:space="preserve">VOLLMANN  CASSANDRA</t>
  </si>
  <si>
    <t xml:space="preserve">05-03-211-166</t>
  </si>
  <si>
    <t xml:space="preserve">0503211166</t>
  </si>
  <si>
    <t xml:space="preserve">1159 CEDAR ST # 2-B</t>
  </si>
  <si>
    <t xml:space="preserve">BRUNETTI  NICHOLAS</t>
  </si>
  <si>
    <t xml:space="preserve">05-03-305-001</t>
  </si>
  <si>
    <t xml:space="preserve">0503305001</t>
  </si>
  <si>
    <t xml:space="preserve">566 TIMBER RIDGE DR # 101</t>
  </si>
  <si>
    <t xml:space="preserve">TESFAI ABAY</t>
  </si>
  <si>
    <t xml:space="preserve">05-03-305-079</t>
  </si>
  <si>
    <t xml:space="preserve">0503305079</t>
  </si>
  <si>
    <t xml:space="preserve">513 TIMBER RIDGE DR # 107A</t>
  </si>
  <si>
    <t xml:space="preserve">MOHAMMED  NUSRATH</t>
  </si>
  <si>
    <t xml:space="preserve">05-05-414-007</t>
  </si>
  <si>
    <t xml:space="preserve">0505414007</t>
  </si>
  <si>
    <t xml:space="preserve">1N187 PAPWORTH ST</t>
  </si>
  <si>
    <t xml:space="preserve">WHITT  KANDIS</t>
  </si>
  <si>
    <t xml:space="preserve">05-06-303-030</t>
  </si>
  <si>
    <t xml:space="preserve">0506303030</t>
  </si>
  <si>
    <t xml:space="preserve">26W445 NATALIE CT</t>
  </si>
  <si>
    <t xml:space="preserve">ZOBEL  MARC</t>
  </si>
  <si>
    <t xml:space="preserve">05-06-305-009</t>
  </si>
  <si>
    <t xml:space="preserve">0506305009</t>
  </si>
  <si>
    <t xml:space="preserve">1N110 HARRIET ST</t>
  </si>
  <si>
    <t xml:space="preserve">LINDSLEY  BRETT &amp; ROSE</t>
  </si>
  <si>
    <t xml:space="preserve">05-07-219-006</t>
  </si>
  <si>
    <t xml:space="preserve">0507219006</t>
  </si>
  <si>
    <t xml:space="preserve">0N775 MORNING DOVE CT</t>
  </si>
  <si>
    <t xml:space="preserve">RUHULLAH  KHALID</t>
  </si>
  <si>
    <t xml:space="preserve">05-07-219-007</t>
  </si>
  <si>
    <t xml:space="preserve">0507219007</t>
  </si>
  <si>
    <t xml:space="preserve">0N765 MORNING DOVE CT</t>
  </si>
  <si>
    <t xml:space="preserve">VOGEL  JOAN TYLER</t>
  </si>
  <si>
    <t xml:space="preserve">05-07-300-014</t>
  </si>
  <si>
    <t xml:space="preserve">0507300014</t>
  </si>
  <si>
    <t xml:space="preserve">26W506 BLAIR ST</t>
  </si>
  <si>
    <t xml:space="preserve">HALL  GRETCHEN C</t>
  </si>
  <si>
    <t xml:space="preserve">05-07-404-006</t>
  </si>
  <si>
    <t xml:space="preserve">0507404006</t>
  </si>
  <si>
    <t xml:space="preserve">26W109 MAYFLOWER PL</t>
  </si>
  <si>
    <t xml:space="preserve">ANDERSON  ROBT &amp; STACEY</t>
  </si>
  <si>
    <t xml:space="preserve">05-07-418-001</t>
  </si>
  <si>
    <t xml:space="preserve">0507418001</t>
  </si>
  <si>
    <t xml:space="preserve">0N135 STANLEY ST</t>
  </si>
  <si>
    <t xml:space="preserve">WOODS  DEBORAH L</t>
  </si>
  <si>
    <t xml:space="preserve">05-08-116-031</t>
  </si>
  <si>
    <t xml:space="preserve">0508116031</t>
  </si>
  <si>
    <t xml:space="preserve">1118 ROYAL CT</t>
  </si>
  <si>
    <t xml:space="preserve">KHAMISI  AHMAD &amp; BEHNAZ ABAK</t>
  </si>
  <si>
    <t xml:space="preserve">05-08-117-003</t>
  </si>
  <si>
    <t xml:space="preserve">0508117003</t>
  </si>
  <si>
    <t xml:space="preserve">0N700 COVENTRY DR</t>
  </si>
  <si>
    <t xml:space="preserve">NIELSON  DANIEL &amp; LYNDEE</t>
  </si>
  <si>
    <t xml:space="preserve">05-08-217-016</t>
  </si>
  <si>
    <t xml:space="preserve">0508217016</t>
  </si>
  <si>
    <t xml:space="preserve">0N467 PAPWORTH ST</t>
  </si>
  <si>
    <t xml:space="preserve">CADOTTE  ANTHONY J</t>
  </si>
  <si>
    <t xml:space="preserve">05-08-401-003</t>
  </si>
  <si>
    <t xml:space="preserve">0508401003</t>
  </si>
  <si>
    <t xml:space="preserve">0N413 FANCHON ST</t>
  </si>
  <si>
    <t xml:space="preserve">NICKELL  KEVIN &amp; MELISSA</t>
  </si>
  <si>
    <t xml:space="preserve">05-09-308-024</t>
  </si>
  <si>
    <t xml:space="preserve">0509308024</t>
  </si>
  <si>
    <t xml:space="preserve">1303 N CROSS ST</t>
  </si>
  <si>
    <t xml:space="preserve">BLAUM  KRISTA M</t>
  </si>
  <si>
    <t xml:space="preserve">05-09-402-028</t>
  </si>
  <si>
    <t xml:space="preserve">0509402028</t>
  </si>
  <si>
    <t xml:space="preserve">537 WAKEMAN AVE</t>
  </si>
  <si>
    <t xml:space="preserve">CURTIS  CASEY &amp; GIANNA GIAMPAPA</t>
  </si>
  <si>
    <t xml:space="preserve">05-10-209-020</t>
  </si>
  <si>
    <t xml:space="preserve">0510209020</t>
  </si>
  <si>
    <t xml:space="preserve">353 MAPLE ST</t>
  </si>
  <si>
    <t xml:space="preserve">KREK  DAVID D</t>
  </si>
  <si>
    <t xml:space="preserve">05-10-312-027</t>
  </si>
  <si>
    <t xml:space="preserve">0510312027</t>
  </si>
  <si>
    <t xml:space="preserve">1203 E PRAIRIE AVE</t>
  </si>
  <si>
    <t xml:space="preserve">LONG TR  ANNA</t>
  </si>
  <si>
    <t xml:space="preserve">05-10-321-018</t>
  </si>
  <si>
    <t xml:space="preserve">0510321018</t>
  </si>
  <si>
    <t xml:space="preserve">1001 KINGSTON ST</t>
  </si>
  <si>
    <t xml:space="preserve">CREBEX LLC</t>
  </si>
  <si>
    <t xml:space="preserve">05-10-409-018</t>
  </si>
  <si>
    <t xml:space="preserve">0510409018</t>
  </si>
  <si>
    <t xml:space="preserve">504 NEWTON AVE</t>
  </si>
  <si>
    <t xml:space="preserve">MANUFACTURERS &amp; TRADERS TR CO</t>
  </si>
  <si>
    <t xml:space="preserve">05-11-204-029</t>
  </si>
  <si>
    <t xml:space="preserve">0511204029</t>
  </si>
  <si>
    <t xml:space="preserve">693 ELM ST</t>
  </si>
  <si>
    <t xml:space="preserve">MAHER  MICHAEL &amp; BRENDA</t>
  </si>
  <si>
    <t xml:space="preserve">05-11-308-001</t>
  </si>
  <si>
    <t xml:space="preserve">0511308001</t>
  </si>
  <si>
    <t xml:space="preserve">587 N PARK BLVD</t>
  </si>
  <si>
    <t xml:space="preserve">PUCCINI  JASON &amp; CARLA</t>
  </si>
  <si>
    <t xml:space="preserve">05-11-310-022</t>
  </si>
  <si>
    <t xml:space="preserve">0511310022</t>
  </si>
  <si>
    <t xml:space="preserve">467 ANTHONY ST</t>
  </si>
  <si>
    <t xml:space="preserve">CHINCHILLA  CRAIG &amp; D</t>
  </si>
  <si>
    <t xml:space="preserve">05-11-417-011</t>
  </si>
  <si>
    <t xml:space="preserve">0511417011</t>
  </si>
  <si>
    <t xml:space="preserve">526 BRYANT AVE</t>
  </si>
  <si>
    <t xml:space="preserve">GARBER  LAURA &amp; DAVID</t>
  </si>
  <si>
    <t xml:space="preserve">05-12-207-025</t>
  </si>
  <si>
    <t xml:space="preserve">0512207025</t>
  </si>
  <si>
    <t xml:space="preserve">21W270 WALNUT RD</t>
  </si>
  <si>
    <t xml:space="preserve">HAGGERTY  PAULA</t>
  </si>
  <si>
    <t xml:space="preserve">05-13-106-026</t>
  </si>
  <si>
    <t xml:space="preserve">0513106026</t>
  </si>
  <si>
    <t xml:space="preserve">840 HIGHVIEW AVE</t>
  </si>
  <si>
    <t xml:space="preserve">CHICAGO TITLE 8002372811</t>
  </si>
  <si>
    <t xml:space="preserve">05-13-333-173</t>
  </si>
  <si>
    <t xml:space="preserve">0513333173</t>
  </si>
  <si>
    <t xml:space="preserve">127 TANGLEWOOD DR</t>
  </si>
  <si>
    <t xml:space="preserve">MUHAMMAD  HAMEEDUDDIN</t>
  </si>
  <si>
    <t xml:space="preserve">05-13-414-003</t>
  </si>
  <si>
    <t xml:space="preserve">0513414003</t>
  </si>
  <si>
    <t xml:space="preserve">1125 LONDONBERRY LN</t>
  </si>
  <si>
    <t xml:space="preserve">ASHFAQ  MOHAMMED &amp; FARHAT</t>
  </si>
  <si>
    <t xml:space="preserve">05-13-416-023</t>
  </si>
  <si>
    <t xml:space="preserve">0513416023</t>
  </si>
  <si>
    <t xml:space="preserve">47 SURREY DR</t>
  </si>
  <si>
    <t xml:space="preserve">TABACK  SCOTT &amp; PENELOPE</t>
  </si>
  <si>
    <t xml:space="preserve">05-14-102-013</t>
  </si>
  <si>
    <t xml:space="preserve">0514102013</t>
  </si>
  <si>
    <t xml:space="preserve">378 N MAIN ST</t>
  </si>
  <si>
    <t xml:space="preserve">LASHINSKI  WILLIAM H</t>
  </si>
  <si>
    <t xml:space="preserve">05-14-204-007</t>
  </si>
  <si>
    <t xml:space="preserve">0514204007</t>
  </si>
  <si>
    <t xml:space="preserve">649 HILL AVE</t>
  </si>
  <si>
    <t xml:space="preserve">BLOOM  JASON J &amp; MELISSA</t>
  </si>
  <si>
    <t xml:space="preserve">05-14-206-001</t>
  </si>
  <si>
    <t xml:space="preserve">0514206001</t>
  </si>
  <si>
    <t xml:space="preserve">747 HILL AVE</t>
  </si>
  <si>
    <t xml:space="preserve">ROSELLI  MARY JEAN</t>
  </si>
  <si>
    <t xml:space="preserve">05-14-305-014</t>
  </si>
  <si>
    <t xml:space="preserve">0514305014</t>
  </si>
  <si>
    <t xml:space="preserve">74 SUNSET AVE</t>
  </si>
  <si>
    <t xml:space="preserve">KASAK  JULIE HELENE</t>
  </si>
  <si>
    <t xml:space="preserve">05-15-101-016</t>
  </si>
  <si>
    <t xml:space="preserve">0515101016</t>
  </si>
  <si>
    <t xml:space="preserve">806 N BLANCHARD ST</t>
  </si>
  <si>
    <t xml:space="preserve">THOMAS  DASHAN &amp; ERICA</t>
  </si>
  <si>
    <t xml:space="preserve">05-15-209-013</t>
  </si>
  <si>
    <t xml:space="preserve">0515209013</t>
  </si>
  <si>
    <t xml:space="preserve">318 N KENILWORTH AVE</t>
  </si>
  <si>
    <t xml:space="preserve">DORNBLASER  DAVID &amp; LYNN</t>
  </si>
  <si>
    <t xml:space="preserve">05-15-301-002</t>
  </si>
  <si>
    <t xml:space="preserve">0515301002</t>
  </si>
  <si>
    <t xml:space="preserve">107 S PRESIDENT ST</t>
  </si>
  <si>
    <t xml:space="preserve">BRACH  KEVIN &amp; CHERYL</t>
  </si>
  <si>
    <t xml:space="preserve">05-15-313-016</t>
  </si>
  <si>
    <t xml:space="preserve">0515313016</t>
  </si>
  <si>
    <t xml:space="preserve">216 S PROSPECT ST</t>
  </si>
  <si>
    <t xml:space="preserve">TAYLOR  KEVIN &amp; JENNIFER</t>
  </si>
  <si>
    <t xml:space="preserve">05-16-137-028</t>
  </si>
  <si>
    <t xml:space="preserve">0516137028</t>
  </si>
  <si>
    <t xml:space="preserve">360 W SEMINARY AVE # 503</t>
  </si>
  <si>
    <t xml:space="preserve">ELASS  KELLY &amp; STRIDER</t>
  </si>
  <si>
    <t xml:space="preserve">05-16-220-037</t>
  </si>
  <si>
    <t xml:space="preserve">0516220037</t>
  </si>
  <si>
    <t xml:space="preserve">909 COLLEGE AVE</t>
  </si>
  <si>
    <t xml:space="preserve">BECHT  JOHN &amp; VILLARD R</t>
  </si>
  <si>
    <t xml:space="preserve">05-16-401-021</t>
  </si>
  <si>
    <t xml:space="preserve">0516401021</t>
  </si>
  <si>
    <t xml:space="preserve">431 E LIBERTY DR</t>
  </si>
  <si>
    <t xml:space="preserve">SUNNYSIDE MANAGEMENT CO</t>
  </si>
  <si>
    <t xml:space="preserve">05-16-403-031</t>
  </si>
  <si>
    <t xml:space="preserve">0516403031</t>
  </si>
  <si>
    <t xml:space="preserve">925 E MICHIGAN ST</t>
  </si>
  <si>
    <t xml:space="preserve">ABAY  TESFAI &amp; BRHAN</t>
  </si>
  <si>
    <t xml:space="preserve">05-17-119-009</t>
  </si>
  <si>
    <t xml:space="preserve">0517119009</t>
  </si>
  <si>
    <t xml:space="preserve">215 N WOODLAWN ST</t>
  </si>
  <si>
    <t xml:space="preserve">WOODS TR  DENISE T</t>
  </si>
  <si>
    <t xml:space="preserve">05-17-214-007</t>
  </si>
  <si>
    <t xml:space="preserve">0517214007</t>
  </si>
  <si>
    <t xml:space="preserve">618 N WEST ST</t>
  </si>
  <si>
    <t xml:space="preserve">ROTTSOLK  RICHARD &amp; ELLEN</t>
  </si>
  <si>
    <t xml:space="preserve">05-17-222-005</t>
  </si>
  <si>
    <t xml:space="preserve">0517222005</t>
  </si>
  <si>
    <t xml:space="preserve">427 W FRANKLIN ST</t>
  </si>
  <si>
    <t xml:space="preserve">STORMS  DALE H</t>
  </si>
  <si>
    <t xml:space="preserve">05-17-306-002</t>
  </si>
  <si>
    <t xml:space="preserve">0517306002</t>
  </si>
  <si>
    <t xml:space="preserve">109-11 N GABLES BLVD</t>
  </si>
  <si>
    <t xml:space="preserve">SELBERT  PARKER &amp; SHANNON</t>
  </si>
  <si>
    <t xml:space="preserve">05-17-321-015</t>
  </si>
  <si>
    <t xml:space="preserve">0517321015</t>
  </si>
  <si>
    <t xml:space="preserve">418 S GABLES BLVD</t>
  </si>
  <si>
    <t xml:space="preserve">MUELLER  CHRISTOPHER</t>
  </si>
  <si>
    <t xml:space="preserve">05-17-419-060</t>
  </si>
  <si>
    <t xml:space="preserve">0517419060</t>
  </si>
  <si>
    <t xml:space="preserve">423 W EVERGREEN ST</t>
  </si>
  <si>
    <t xml:space="preserve">PERRY  FANNIE BEATRICE</t>
  </si>
  <si>
    <t xml:space="preserve">05-18-410-029</t>
  </si>
  <si>
    <t xml:space="preserve">0518410029</t>
  </si>
  <si>
    <t xml:space="preserve">318 SHIRLEY CT</t>
  </si>
  <si>
    <t xml:space="preserve">RADZEVICIUS  JEAN</t>
  </si>
  <si>
    <t xml:space="preserve">05-19-211-037</t>
  </si>
  <si>
    <t xml:space="preserve">0519211037</t>
  </si>
  <si>
    <t xml:space="preserve">1901 GRESHAM CIR # A</t>
  </si>
  <si>
    <t xml:space="preserve">KIRCHHOFF  JENNIFER</t>
  </si>
  <si>
    <t xml:space="preserve">05-19-411-047</t>
  </si>
  <si>
    <t xml:space="preserve">0519411047</t>
  </si>
  <si>
    <t xml:space="preserve">2075 CREEKSIDE DR # 2-4</t>
  </si>
  <si>
    <t xml:space="preserve">ALAM  KHWAJA &amp; YUSRA</t>
  </si>
  <si>
    <t xml:space="preserve">05-19-414-001</t>
  </si>
  <si>
    <t xml:space="preserve">0519414001</t>
  </si>
  <si>
    <t xml:space="preserve">1486 STONEBRIDGE CIR # A-1</t>
  </si>
  <si>
    <t xml:space="preserve">FENSKE  MARK W</t>
  </si>
  <si>
    <t xml:space="preserve">05-20-107-005</t>
  </si>
  <si>
    <t xml:space="preserve">0520107005</t>
  </si>
  <si>
    <t xml:space="preserve">705 S GABLES BLVD</t>
  </si>
  <si>
    <t xml:space="preserve">ZIELINSKI  BENJAMIN &amp; MICHELLE</t>
  </si>
  <si>
    <t xml:space="preserve">05-20-211-007</t>
  </si>
  <si>
    <t xml:space="preserve">0520211007</t>
  </si>
  <si>
    <t xml:space="preserve">1218 GREENWOOD RD</t>
  </si>
  <si>
    <t xml:space="preserve">BOODALA  SAMSON S</t>
  </si>
  <si>
    <t xml:space="preserve">05-21-408-002</t>
  </si>
  <si>
    <t xml:space="preserve">0521408002</t>
  </si>
  <si>
    <t xml:space="preserve">1439 CASTLEWOOD DR</t>
  </si>
  <si>
    <t xml:space="preserve">RIVERA  FRANCISCO</t>
  </si>
  <si>
    <t xml:space="preserve">05-21-411-019</t>
  </si>
  <si>
    <t xml:space="preserve">0521411019</t>
  </si>
  <si>
    <t xml:space="preserve">573 QUEENSWOOD LN</t>
  </si>
  <si>
    <t xml:space="preserve">MURGU  CORNEL &amp; D ASKA</t>
  </si>
  <si>
    <t xml:space="preserve">05-21-414-039</t>
  </si>
  <si>
    <t xml:space="preserve">0521414039</t>
  </si>
  <si>
    <t xml:space="preserve">841 QUEENSWOOD CT</t>
  </si>
  <si>
    <t xml:space="preserve">TOTTY  SHAWN</t>
  </si>
  <si>
    <t xml:space="preserve">05-22-301-006</t>
  </si>
  <si>
    <t xml:space="preserve">0522301006</t>
  </si>
  <si>
    <t xml:space="preserve">1527 DARWIN LN</t>
  </si>
  <si>
    <t xml:space="preserve">VADAKUMPADAM FAMILY TRUST</t>
  </si>
  <si>
    <t xml:space="preserve">05-22-307-009</t>
  </si>
  <si>
    <t xml:space="preserve">0522307009</t>
  </si>
  <si>
    <t xml:space="preserve">1612 WADHAM PL</t>
  </si>
  <si>
    <t xml:space="preserve">GIANPETRO  ANTHONY &amp; M</t>
  </si>
  <si>
    <t xml:space="preserve">05-22-318-004</t>
  </si>
  <si>
    <t xml:space="preserve">0522318004</t>
  </si>
  <si>
    <t xml:space="preserve">1501 BLACKBURN ST</t>
  </si>
  <si>
    <t xml:space="preserve">COFFEY  DALE E</t>
  </si>
  <si>
    <t xml:space="preserve">05-22-322-022</t>
  </si>
  <si>
    <t xml:space="preserve">0522322022</t>
  </si>
  <si>
    <t xml:space="preserve">1050 HEATHROW CT</t>
  </si>
  <si>
    <t xml:space="preserve">HEIDARI  AFSHIN &amp; L HAGHI</t>
  </si>
  <si>
    <t xml:space="preserve">05-22-422-193</t>
  </si>
  <si>
    <t xml:space="preserve">0522422193</t>
  </si>
  <si>
    <t xml:space="preserve">361 FARNSWORTH CT # 5</t>
  </si>
  <si>
    <t xml:space="preserve">WIEGMAN  ARTHUR L &amp; JOAN</t>
  </si>
  <si>
    <t xml:space="preserve">05-23-222-025</t>
  </si>
  <si>
    <t xml:space="preserve">0523222025</t>
  </si>
  <si>
    <t xml:space="preserve">698 SHEEHAN AVE</t>
  </si>
  <si>
    <t xml:space="preserve">QUINLIVAN  TIM &amp; LISA</t>
  </si>
  <si>
    <t xml:space="preserve">05-23-222-035</t>
  </si>
  <si>
    <t xml:space="preserve">0523222035</t>
  </si>
  <si>
    <t xml:space="preserve">118 S MONTCLAIR AVE</t>
  </si>
  <si>
    <t xml:space="preserve">KARONES  JOHN G</t>
  </si>
  <si>
    <t xml:space="preserve">05-23-311-007</t>
  </si>
  <si>
    <t xml:space="preserve">0523311007</t>
  </si>
  <si>
    <t xml:space="preserve">547 WILLIAMSBURGH RD</t>
  </si>
  <si>
    <t xml:space="preserve">MORAN  C &amp; J &amp; P REMIS</t>
  </si>
  <si>
    <t xml:space="preserve">05-23-314-013</t>
  </si>
  <si>
    <t xml:space="preserve">0523314013</t>
  </si>
  <si>
    <t xml:space="preserve">512 STAFFORD LN</t>
  </si>
  <si>
    <t xml:space="preserve">GUZMAN  GEORGE &amp; CECILIA</t>
  </si>
  <si>
    <t xml:space="preserve">05-23-321-176</t>
  </si>
  <si>
    <t xml:space="preserve">0523321176</t>
  </si>
  <si>
    <t xml:space="preserve">460 RAINTREE CT # 3B</t>
  </si>
  <si>
    <t xml:space="preserve">OLIVA  FRANK</t>
  </si>
  <si>
    <t xml:space="preserve">05-23-321-274</t>
  </si>
  <si>
    <t xml:space="preserve">0523321274</t>
  </si>
  <si>
    <t xml:space="preserve">470 RAINTREE CT # 3M</t>
  </si>
  <si>
    <t xml:space="preserve">CHUNG  BYEONG OK</t>
  </si>
  <si>
    <t xml:space="preserve">05-23-321-295</t>
  </si>
  <si>
    <t xml:space="preserve">0523321295</t>
  </si>
  <si>
    <t xml:space="preserve">475 RAINTREE CT # 1A</t>
  </si>
  <si>
    <t xml:space="preserve">VORUGANTI  S &amp; S SINGH</t>
  </si>
  <si>
    <t xml:space="preserve">05-23-323-046</t>
  </si>
  <si>
    <t xml:space="preserve">0523323046</t>
  </si>
  <si>
    <t xml:space="preserve">470 FAWELL BLVD # 316</t>
  </si>
  <si>
    <t xml:space="preserve">BOUTON  ROBERT</t>
  </si>
  <si>
    <t xml:space="preserve">05-23-412-030</t>
  </si>
  <si>
    <t xml:space="preserve">0523412030</t>
  </si>
  <si>
    <t xml:space="preserve">333 BIRCHBROOK CT</t>
  </si>
  <si>
    <t xml:space="preserve">ALI  TALHA</t>
  </si>
  <si>
    <t xml:space="preserve">05-24-112-011</t>
  </si>
  <si>
    <t xml:space="preserve">0524112011</t>
  </si>
  <si>
    <t xml:space="preserve">887 MARYKNOLL CIR</t>
  </si>
  <si>
    <t xml:space="preserve">IMAM  S &amp; S KHAN</t>
  </si>
  <si>
    <t xml:space="preserve">05-24-112-033</t>
  </si>
  <si>
    <t xml:space="preserve">0524112033</t>
  </si>
  <si>
    <t xml:space="preserve">904 MARYKNOLL CIR</t>
  </si>
  <si>
    <t xml:space="preserve">1S255 VALLEY ROAD LLC</t>
  </si>
  <si>
    <t xml:space="preserve">05-24-206-013</t>
  </si>
  <si>
    <t xml:space="preserve">0524206013</t>
  </si>
  <si>
    <t xml:space="preserve">1S255 VALLEY RD</t>
  </si>
  <si>
    <t xml:space="preserve">TITUS CONSTRUCTION LLC</t>
  </si>
  <si>
    <t xml:space="preserve">05-24-206-038</t>
  </si>
  <si>
    <t xml:space="preserve">0524206038</t>
  </si>
  <si>
    <t xml:space="preserve">1302 S LAWLER AVE</t>
  </si>
  <si>
    <t xml:space="preserve">MOHAMMED  RAHMATHULLAH</t>
  </si>
  <si>
    <t xml:space="preserve">05-24-207-008</t>
  </si>
  <si>
    <t xml:space="preserve">0524207008</t>
  </si>
  <si>
    <t xml:space="preserve">1273 S LAWLER AVE</t>
  </si>
  <si>
    <t xml:space="preserve">ABBA  MOHAMMED T</t>
  </si>
  <si>
    <t xml:space="preserve">05-24-300-115</t>
  </si>
  <si>
    <t xml:space="preserve">0524300115</t>
  </si>
  <si>
    <t xml:space="preserve">809 BROOK CT</t>
  </si>
  <si>
    <t xml:space="preserve">AVENDANO  ROMEO M</t>
  </si>
  <si>
    <t xml:space="preserve">05-24-403-042</t>
  </si>
  <si>
    <t xml:space="preserve">0524403042</t>
  </si>
  <si>
    <t xml:space="preserve">2041 DOWNING ST</t>
  </si>
  <si>
    <t xml:space="preserve">MARCANTONIO  JAMES</t>
  </si>
  <si>
    <t xml:space="preserve">05-25-103-025</t>
  </si>
  <si>
    <t xml:space="preserve">0525103025</t>
  </si>
  <si>
    <t xml:space="preserve">21W533 MONTICELLO RD</t>
  </si>
  <si>
    <t xml:space="preserve">AYERS  RICHARD D</t>
  </si>
  <si>
    <t xml:space="preserve">05-25-107-032</t>
  </si>
  <si>
    <t xml:space="preserve">0525107032</t>
  </si>
  <si>
    <t xml:space="preserve">21W610 GLEN PARK RD</t>
  </si>
  <si>
    <t xml:space="preserve">SKRYD  BARBARA A</t>
  </si>
  <si>
    <t xml:space="preserve">05-26-401-008</t>
  </si>
  <si>
    <t xml:space="preserve">0526401008</t>
  </si>
  <si>
    <t xml:space="preserve">600 AHLSTRAND RD</t>
  </si>
  <si>
    <t xml:space="preserve">SCHMIDT  GUY</t>
  </si>
  <si>
    <t xml:space="preserve">05-27-106-101</t>
  </si>
  <si>
    <t xml:space="preserve">0527106101</t>
  </si>
  <si>
    <t xml:space="preserve">1653 VALLEY FORGE CT # 101</t>
  </si>
  <si>
    <t xml:space="preserve">POPOVICH  ERIC</t>
  </si>
  <si>
    <t xml:space="preserve">05-27-106-229</t>
  </si>
  <si>
    <t xml:space="preserve">0527106229</t>
  </si>
  <si>
    <t xml:space="preserve">1200 BUNKER HILL CT # C</t>
  </si>
  <si>
    <t xml:space="preserve">SKRYD  JOHN A</t>
  </si>
  <si>
    <t xml:space="preserve">05-27-107-161</t>
  </si>
  <si>
    <t xml:space="preserve">0527107161</t>
  </si>
  <si>
    <t xml:space="preserve">1751 PLYMOUTH CT # B</t>
  </si>
  <si>
    <t xml:space="preserve">PATEWOODS LLC</t>
  </si>
  <si>
    <t xml:space="preserve">05-27-107-279</t>
  </si>
  <si>
    <t xml:space="preserve">0527107279</t>
  </si>
  <si>
    <t xml:space="preserve">1661 DOVER CT # B</t>
  </si>
  <si>
    <t xml:space="preserve">NAREL  CHARLES &amp; MONIKA</t>
  </si>
  <si>
    <t xml:space="preserve">05-27-107-312</t>
  </si>
  <si>
    <t xml:space="preserve">0527107312</t>
  </si>
  <si>
    <t xml:space="preserve">1720 LAKECLIFFE DR # A</t>
  </si>
  <si>
    <t xml:space="preserve">MASOOD  SHIRINE</t>
  </si>
  <si>
    <t xml:space="preserve">05-27-404-014</t>
  </si>
  <si>
    <t xml:space="preserve">0527404014</t>
  </si>
  <si>
    <t xml:space="preserve">2S681 ASHLEY DR</t>
  </si>
  <si>
    <t xml:space="preserve">MC GREGOR  JOHN M</t>
  </si>
  <si>
    <t xml:space="preserve">05-27-409-018</t>
  </si>
  <si>
    <t xml:space="preserve">0527409018</t>
  </si>
  <si>
    <t xml:space="preserve">2S472 BANCROFT CT</t>
  </si>
  <si>
    <t xml:space="preserve">LIBUSZOWSKI  WILLIAM</t>
  </si>
  <si>
    <t xml:space="preserve">05-29-301-035</t>
  </si>
  <si>
    <t xml:space="preserve">0529301035</t>
  </si>
  <si>
    <t xml:space="preserve">25W757 WHITE BIRCH LN</t>
  </si>
  <si>
    <t xml:space="preserve">SUNNYSIDE MANAGEMENT</t>
  </si>
  <si>
    <t xml:space="preserve">05-29-306-008</t>
  </si>
  <si>
    <t xml:space="preserve">0529306008</t>
  </si>
  <si>
    <t xml:space="preserve">2S715 SUMMERFIELD CT</t>
  </si>
  <si>
    <t xml:space="preserve">POTENS FAMILY FOUNDATION</t>
  </si>
  <si>
    <t xml:space="preserve">05-29-413-002</t>
  </si>
  <si>
    <t xml:space="preserve">0529413002</t>
  </si>
  <si>
    <t xml:space="preserve">2007 GLADSTONE DR</t>
  </si>
  <si>
    <t xml:space="preserve">MOHAMMED  ANSARUDDIN &amp; ADIBA HUSSAIN</t>
  </si>
  <si>
    <t xml:space="preserve">05-32-301-007</t>
  </si>
  <si>
    <t xml:space="preserve">0532301007</t>
  </si>
  <si>
    <t xml:space="preserve">2544 WEATHERBEE LN</t>
  </si>
  <si>
    <t xml:space="preserve">NAPERVILLE</t>
  </si>
  <si>
    <t xml:space="preserve">PIZZIO  GEORGETTE</t>
  </si>
  <si>
    <t xml:space="preserve">05-34-109-005</t>
  </si>
  <si>
    <t xml:space="preserve">0534109005</t>
  </si>
  <si>
    <t xml:space="preserve">1350 E HULL DR</t>
  </si>
  <si>
    <t xml:space="preserve">KOCHER  EVERETT J</t>
  </si>
  <si>
    <t xml:space="preserve">05-34-109-027</t>
  </si>
  <si>
    <t xml:space="preserve">0534109027</t>
  </si>
  <si>
    <t xml:space="preserve">1311 CULHAM CT</t>
  </si>
  <si>
    <t xml:space="preserve">PETROVIC  DANNY &amp; ZORICA</t>
  </si>
  <si>
    <t xml:space="preserve">05-35-107-009</t>
  </si>
  <si>
    <t xml:space="preserve">0535107009</t>
  </si>
  <si>
    <t xml:space="preserve">3S107 PARK BLVD</t>
  </si>
  <si>
    <t xml:space="preserve">MC CRERY  X &amp; J HEINZINGER</t>
  </si>
  <si>
    <t xml:space="preserve">05-35-107-016</t>
  </si>
  <si>
    <t xml:space="preserve">0535107016</t>
  </si>
  <si>
    <t xml:space="preserve">3S211 PARK BLVD</t>
  </si>
  <si>
    <t xml:space="preserve">MORTEN  ANDREW</t>
  </si>
  <si>
    <t xml:space="preserve">05-35-200-011</t>
  </si>
  <si>
    <t xml:space="preserve">0535200011</t>
  </si>
  <si>
    <t xml:space="preserve">22W246 HACKBERRY DR</t>
  </si>
  <si>
    <t xml:space="preserve">VOVK  ANDRII &amp; DENYS</t>
  </si>
  <si>
    <t xml:space="preserve">05-35-304-004</t>
  </si>
  <si>
    <t xml:space="preserve">0535304004</t>
  </si>
  <si>
    <t xml:space="preserve">22W633 BURR OAK DR</t>
  </si>
  <si>
    <t xml:space="preserve">VPES FUND 1 LLC</t>
  </si>
  <si>
    <t xml:space="preserve">05-35-306-013</t>
  </si>
  <si>
    <t xml:space="preserve">0535306013</t>
  </si>
  <si>
    <t xml:space="preserve">22W425 ARBOR LN</t>
  </si>
  <si>
    <t xml:space="preserve">YARLAGADDA  SHRIKANT &amp; A</t>
  </si>
  <si>
    <t xml:space="preserve">06-01-103-019</t>
  </si>
  <si>
    <t xml:space="preserve">0601103019</t>
  </si>
  <si>
    <t xml:space="preserve">288 WILLOW RD</t>
  </si>
  <si>
    <t xml:space="preserve">DIETZ  THOMAS E</t>
  </si>
  <si>
    <t xml:space="preserve">06-01-122-024</t>
  </si>
  <si>
    <t xml:space="preserve">0601122024</t>
  </si>
  <si>
    <t xml:space="preserve">110 PINE ST</t>
  </si>
  <si>
    <t xml:space="preserve">O HAGAN  WESTON J</t>
  </si>
  <si>
    <t xml:space="preserve">06-01-128-001</t>
  </si>
  <si>
    <t xml:space="preserve">0601128001</t>
  </si>
  <si>
    <t xml:space="preserve">105 ARLINGTON AVE # 101</t>
  </si>
  <si>
    <t xml:space="preserve">MARISCO  CARL J &amp; K</t>
  </si>
  <si>
    <t xml:space="preserve">06-01-406-045</t>
  </si>
  <si>
    <t xml:space="preserve">0601406045</t>
  </si>
  <si>
    <t xml:space="preserve">425 ATWATER AVE</t>
  </si>
  <si>
    <t xml:space="preserve">CONG  N &amp; H HUYNH</t>
  </si>
  <si>
    <t xml:space="preserve">06-01-412-051</t>
  </si>
  <si>
    <t xml:space="preserve">0601412051</t>
  </si>
  <si>
    <t xml:space="preserve">565 PARK AVE</t>
  </si>
  <si>
    <t xml:space="preserve">MOSKWA  T &amp; M DUMIN</t>
  </si>
  <si>
    <t xml:space="preserve">06-02-101-022</t>
  </si>
  <si>
    <t xml:space="preserve">0602101022</t>
  </si>
  <si>
    <t xml:space="preserve">240 N HIGHVIEW AVE</t>
  </si>
  <si>
    <t xml:space="preserve">BIANCHI  PATRICIA &amp; F</t>
  </si>
  <si>
    <t xml:space="preserve">06-02-203-016</t>
  </si>
  <si>
    <t xml:space="preserve">0602203016</t>
  </si>
  <si>
    <t xml:space="preserve">260 N MAPLE AVE</t>
  </si>
  <si>
    <t xml:space="preserve">SABALLUS  GERALD</t>
  </si>
  <si>
    <t xml:space="preserve">06-02-234-002</t>
  </si>
  <si>
    <t xml:space="preserve">0602234002</t>
  </si>
  <si>
    <t xml:space="preserve">210 N ADDISON AVE # 2B</t>
  </si>
  <si>
    <t xml:space="preserve">JIMENEZ  BRIAN &amp; SHARON</t>
  </si>
  <si>
    <t xml:space="preserve">06-02-315-008</t>
  </si>
  <si>
    <t xml:space="preserve">0602315008</t>
  </si>
  <si>
    <t xml:space="preserve">217 S GRACE AVE</t>
  </si>
  <si>
    <t xml:space="preserve">HA  THANH</t>
  </si>
  <si>
    <t xml:space="preserve">06-02-322-027</t>
  </si>
  <si>
    <t xml:space="preserve">0602322027</t>
  </si>
  <si>
    <t xml:space="preserve">255 S WEST AVE # 107</t>
  </si>
  <si>
    <t xml:space="preserve">OKRAY  NICHOLAS B</t>
  </si>
  <si>
    <t xml:space="preserve">06-03-105-014</t>
  </si>
  <si>
    <t xml:space="preserve">0603105014</t>
  </si>
  <si>
    <t xml:space="preserve">17W449 HILL ST</t>
  </si>
  <si>
    <t xml:space="preserve">VILLA PARK</t>
  </si>
  <si>
    <t xml:space="preserve">PUCKETT  LINTON &amp; ERIN</t>
  </si>
  <si>
    <t xml:space="preserve">06-03-112-006</t>
  </si>
  <si>
    <t xml:space="preserve">0603112006</t>
  </si>
  <si>
    <t xml:space="preserve">505 N ELLSWORTH AVE</t>
  </si>
  <si>
    <t xml:space="preserve">NEILAN  STEVEN W</t>
  </si>
  <si>
    <t xml:space="preserve">06-03-128-011</t>
  </si>
  <si>
    <t xml:space="preserve">0603128011</t>
  </si>
  <si>
    <t xml:space="preserve">407 N GERARD AVE</t>
  </si>
  <si>
    <t xml:space="preserve">TURNER  KAYLA</t>
  </si>
  <si>
    <t xml:space="preserve">06-03-207-018</t>
  </si>
  <si>
    <t xml:space="preserve">0603207018</t>
  </si>
  <si>
    <t xml:space="preserve">1N641 VILLA AVE</t>
  </si>
  <si>
    <t xml:space="preserve">ARRIAGA  JAIME &amp; MARIA</t>
  </si>
  <si>
    <t xml:space="preserve">06-03-307-020</t>
  </si>
  <si>
    <t xml:space="preserve">0603307020</t>
  </si>
  <si>
    <t xml:space="preserve">207 E DIVISION ST</t>
  </si>
  <si>
    <t xml:space="preserve">HINZ JR  DANIEL L</t>
  </si>
  <si>
    <t xml:space="preserve">06-03-307-029</t>
  </si>
  <si>
    <t xml:space="preserve">0603307029</t>
  </si>
  <si>
    <t xml:space="preserve">108 E OAK ST</t>
  </si>
  <si>
    <t xml:space="preserve">SIMBERG  CAROL</t>
  </si>
  <si>
    <t xml:space="preserve">06-03-409-035</t>
  </si>
  <si>
    <t xml:space="preserve">0603409035</t>
  </si>
  <si>
    <t xml:space="preserve">109 S OAKLAND GROVE AV</t>
  </si>
  <si>
    <t xml:space="preserve">CROWE  DANIEL C &amp; ANN R</t>
  </si>
  <si>
    <t xml:space="preserve">06-04-106-017</t>
  </si>
  <si>
    <t xml:space="preserve">0604106017</t>
  </si>
  <si>
    <t xml:space="preserve">611 W SUNSET DR</t>
  </si>
  <si>
    <t xml:space="preserve">PITASSI  MATTHEW J</t>
  </si>
  <si>
    <t xml:space="preserve">06-04-110-026</t>
  </si>
  <si>
    <t xml:space="preserve">0604110026</t>
  </si>
  <si>
    <t xml:space="preserve">718 W PLEASANT AVE</t>
  </si>
  <si>
    <t xml:space="preserve">FOUTCH  JOSHUA ALAN</t>
  </si>
  <si>
    <t xml:space="preserve">06-04-129-002</t>
  </si>
  <si>
    <t xml:space="preserve">0604129002</t>
  </si>
  <si>
    <t xml:space="preserve">413 N 2ND AVE</t>
  </si>
  <si>
    <t xml:space="preserve">ANDREEVA  ZUMBULA</t>
  </si>
  <si>
    <t xml:space="preserve">06-04-219-014</t>
  </si>
  <si>
    <t xml:space="preserve">0604219014</t>
  </si>
  <si>
    <t xml:space="preserve">600 N IOWA AVE</t>
  </si>
  <si>
    <t xml:space="preserve">06-04-222-015</t>
  </si>
  <si>
    <t xml:space="preserve">0604222015</t>
  </si>
  <si>
    <t xml:space="preserve">534 N HARVARD AVE</t>
  </si>
  <si>
    <t xml:space="preserve">CORREA  ISRAEL &amp; J</t>
  </si>
  <si>
    <t xml:space="preserve">06-04-223-005</t>
  </si>
  <si>
    <t xml:space="preserve">0604223005</t>
  </si>
  <si>
    <t xml:space="preserve">531 N HARVARD AVE</t>
  </si>
  <si>
    <t xml:space="preserve">444 N WISCONSIN AVE LLC</t>
  </si>
  <si>
    <t xml:space="preserve">06-04-227-023</t>
  </si>
  <si>
    <t xml:space="preserve">0604227023</t>
  </si>
  <si>
    <t xml:space="preserve">444 N WISCONSIN AVE</t>
  </si>
  <si>
    <t xml:space="preserve">GHANI  GHULAM S</t>
  </si>
  <si>
    <t xml:space="preserve">06-04-235-004</t>
  </si>
  <si>
    <t xml:space="preserve">0604235004</t>
  </si>
  <si>
    <t xml:space="preserve">411-13 N HARVARD AVE</t>
  </si>
  <si>
    <t xml:space="preserve">AZIZ  RUKHSANA</t>
  </si>
  <si>
    <t xml:space="preserve">06-04-308-008</t>
  </si>
  <si>
    <t xml:space="preserve">0604308008</t>
  </si>
  <si>
    <t xml:space="preserve">509 W TERRACE ST</t>
  </si>
  <si>
    <t xml:space="preserve">PLOCINSKI  EDWARD WILLIAM</t>
  </si>
  <si>
    <t xml:space="preserve">06-04-320-019</t>
  </si>
  <si>
    <t xml:space="preserve">0604320019</t>
  </si>
  <si>
    <t xml:space="preserve">406 HOLLY CT</t>
  </si>
  <si>
    <t xml:space="preserve">CALDERONE  JOYCE</t>
  </si>
  <si>
    <t xml:space="preserve">06-05-104-016</t>
  </si>
  <si>
    <t xml:space="preserve">0605104016</t>
  </si>
  <si>
    <t xml:space="preserve">234 E GOEBEL DR</t>
  </si>
  <si>
    <t xml:space="preserve">CHICAGO TITLE LAND TR CO</t>
  </si>
  <si>
    <t xml:space="preserve">06-05-201-062</t>
  </si>
  <si>
    <t xml:space="preserve">0605201062</t>
  </si>
  <si>
    <t xml:space="preserve">945 W NORTH AVE # B</t>
  </si>
  <si>
    <t xml:space="preserve">06-05-201-065</t>
  </si>
  <si>
    <t xml:space="preserve">0605201065</t>
  </si>
  <si>
    <t xml:space="preserve">945 W NORTH AVE # E</t>
  </si>
  <si>
    <t xml:space="preserve">CTLTC TR #9002346920</t>
  </si>
  <si>
    <t xml:space="preserve">06-05-201-072</t>
  </si>
  <si>
    <t xml:space="preserve">0605201072</t>
  </si>
  <si>
    <t xml:space="preserve">941 W NORTH AVE # F</t>
  </si>
  <si>
    <t xml:space="preserve">06-05-201-184</t>
  </si>
  <si>
    <t xml:space="preserve">0605201184</t>
  </si>
  <si>
    <t xml:space="preserve">893 W NORTH AVE # F</t>
  </si>
  <si>
    <t xml:space="preserve">RAJA  A &amp; S KANWAL</t>
  </si>
  <si>
    <t xml:space="preserve">06-05-219-016</t>
  </si>
  <si>
    <t xml:space="preserve">0605219016</t>
  </si>
  <si>
    <t xml:space="preserve">444 N JOYCE AVE</t>
  </si>
  <si>
    <t xml:space="preserve">DREAM TEAM INVESTMENTS LLC</t>
  </si>
  <si>
    <t xml:space="preserve">06-05-308-034</t>
  </si>
  <si>
    <t xml:space="preserve">0605308034</t>
  </si>
  <si>
    <t xml:space="preserve">212 N GARFIELD ST</t>
  </si>
  <si>
    <t xml:space="preserve">GALLO  ANTHONY</t>
  </si>
  <si>
    <t xml:space="preserve">06-05-420-032</t>
  </si>
  <si>
    <t xml:space="preserve">0605420032</t>
  </si>
  <si>
    <t xml:space="preserve">635 E PRAIRIE AVE</t>
  </si>
  <si>
    <t xml:space="preserve">KAMRATH  JENNIE L</t>
  </si>
  <si>
    <t xml:space="preserve">06-05-429-035</t>
  </si>
  <si>
    <t xml:space="preserve">0605429035</t>
  </si>
  <si>
    <t xml:space="preserve">500 E ST CHARLES RD # 505</t>
  </si>
  <si>
    <t xml:space="preserve">GATTER  RAYMOND &amp; KAREN</t>
  </si>
  <si>
    <t xml:space="preserve">06-06-101-021</t>
  </si>
  <si>
    <t xml:space="preserve">0606101021</t>
  </si>
  <si>
    <t xml:space="preserve">666 WEST RD</t>
  </si>
  <si>
    <t xml:space="preserve">LUCADO  MARIE A</t>
  </si>
  <si>
    <t xml:space="preserve">06-06-103-027</t>
  </si>
  <si>
    <t xml:space="preserve">0606103027</t>
  </si>
  <si>
    <t xml:space="preserve">510 WEST RD</t>
  </si>
  <si>
    <t xml:space="preserve">CZERWIEN  VALERIE</t>
  </si>
  <si>
    <t xml:space="preserve">06-06-221-002</t>
  </si>
  <si>
    <t xml:space="preserve">0606221002</t>
  </si>
  <si>
    <t xml:space="preserve">337 W GOEBEL DR</t>
  </si>
  <si>
    <t xml:space="preserve">IRON GATE HOLDINGS LLC</t>
  </si>
  <si>
    <t xml:space="preserve">06-07-403-010</t>
  </si>
  <si>
    <t xml:space="preserve">0607403010</t>
  </si>
  <si>
    <t xml:space="preserve">124 W WILLOW ST</t>
  </si>
  <si>
    <t xml:space="preserve">508 BREWSTER LLC</t>
  </si>
  <si>
    <t xml:space="preserve">06-07-406-027</t>
  </si>
  <si>
    <t xml:space="preserve">0607406027</t>
  </si>
  <si>
    <t xml:space="preserve">508 S BREWSTER AVE</t>
  </si>
  <si>
    <t xml:space="preserve">PYTEL  MARK</t>
  </si>
  <si>
    <t xml:space="preserve">06-08-131-049</t>
  </si>
  <si>
    <t xml:space="preserve">0608131049</t>
  </si>
  <si>
    <t xml:space="preserve">33 N MAIN ST # 6A</t>
  </si>
  <si>
    <t xml:space="preserve">CARDENAS  ANA A</t>
  </si>
  <si>
    <t xml:space="preserve">06-08-131-120</t>
  </si>
  <si>
    <t xml:space="preserve">0608131120</t>
  </si>
  <si>
    <t xml:space="preserve">33 N MAIN ST # 11M</t>
  </si>
  <si>
    <t xml:space="preserve">MCDONAGH  BAILEY</t>
  </si>
  <si>
    <t xml:space="preserve">06-08-132-003</t>
  </si>
  <si>
    <t xml:space="preserve">0608132003</t>
  </si>
  <si>
    <t xml:space="preserve">17 N CHARLOTTE ST # 1C</t>
  </si>
  <si>
    <t xml:space="preserve">NAPORA  TRACEY</t>
  </si>
  <si>
    <t xml:space="preserve">06-08-209-018</t>
  </si>
  <si>
    <t xml:space="preserve">0608209018</t>
  </si>
  <si>
    <t xml:space="preserve">134 S LODGE AVE</t>
  </si>
  <si>
    <t xml:space="preserve">KHAN  A &amp; B SHAIKH</t>
  </si>
  <si>
    <t xml:space="preserve">06-08-309-001</t>
  </si>
  <si>
    <t xml:space="preserve">0608309001</t>
  </si>
  <si>
    <t xml:space="preserve">401 S CRAIG PL</t>
  </si>
  <si>
    <t xml:space="preserve">SMITH  RICHARD</t>
  </si>
  <si>
    <t xml:space="preserve">06-08-401-064</t>
  </si>
  <si>
    <t xml:space="preserve">0608401064</t>
  </si>
  <si>
    <t xml:space="preserve">332 S FAIRFIELD AVE</t>
  </si>
  <si>
    <t xml:space="preserve">HANSON  KARLA</t>
  </si>
  <si>
    <t xml:space="preserve">06-08-403-038</t>
  </si>
  <si>
    <t xml:space="preserve">0608403038</t>
  </si>
  <si>
    <t xml:space="preserve">404 S LEWIS AVE</t>
  </si>
  <si>
    <t xml:space="preserve">ZAKARAUSKAS  ALEKSANDRAS</t>
  </si>
  <si>
    <t xml:space="preserve">06-09-103-031</t>
  </si>
  <si>
    <t xml:space="preserve">0609103031</t>
  </si>
  <si>
    <t xml:space="preserve">134 S HIGHLAND AVE</t>
  </si>
  <si>
    <t xml:space="preserve">THOMAS  DOUGLAS E</t>
  </si>
  <si>
    <t xml:space="preserve">06-09-108-020</t>
  </si>
  <si>
    <t xml:space="preserve">0609108020</t>
  </si>
  <si>
    <t xml:space="preserve">53 S 2ND AVE</t>
  </si>
  <si>
    <t xml:space="preserve">ROMERO  ISRAEL</t>
  </si>
  <si>
    <t xml:space="preserve">06-09-301-031</t>
  </si>
  <si>
    <t xml:space="preserve">0609301031</t>
  </si>
  <si>
    <t xml:space="preserve">757 E SOUTH BROADWAY # B</t>
  </si>
  <si>
    <t xml:space="preserve">NGUYEN  ANNA</t>
  </si>
  <si>
    <t xml:space="preserve">06-09-308-016</t>
  </si>
  <si>
    <t xml:space="preserve">0609308016</t>
  </si>
  <si>
    <t xml:space="preserve">439 S SCHOOL ST</t>
  </si>
  <si>
    <t xml:space="preserve">SCHMITZ  BRETT</t>
  </si>
  <si>
    <t xml:space="preserve">06-09-309-047</t>
  </si>
  <si>
    <t xml:space="preserve">0609309047</t>
  </si>
  <si>
    <t xml:space="preserve">340 S ADDISON AVE</t>
  </si>
  <si>
    <t xml:space="preserve">CORRAL  CLAUDIA B</t>
  </si>
  <si>
    <t xml:space="preserve">06-09-411-027</t>
  </si>
  <si>
    <t xml:space="preserve">0609411027</t>
  </si>
  <si>
    <t xml:space="preserve">614 S HARVARD AVE</t>
  </si>
  <si>
    <t xml:space="preserve">KALEEV  YANKO</t>
  </si>
  <si>
    <t xml:space="preserve">06-10-201-012</t>
  </si>
  <si>
    <t xml:space="preserve">0610201012</t>
  </si>
  <si>
    <t xml:space="preserve">6 S MONTEREY AVE</t>
  </si>
  <si>
    <t xml:space="preserve">TRCKA  LAURA</t>
  </si>
  <si>
    <t xml:space="preserve">06-10-303-024</t>
  </si>
  <si>
    <t xml:space="preserve">0610303024</t>
  </si>
  <si>
    <t xml:space="preserve">200 E WASHINGTON ST</t>
  </si>
  <si>
    <t xml:space="preserve">KINGJI  JESSICA &amp; XHAFER</t>
  </si>
  <si>
    <t xml:space="preserve">06-10-306-014</t>
  </si>
  <si>
    <t xml:space="preserve">0610306014</t>
  </si>
  <si>
    <t xml:space="preserve">705 S CORNELL AVE</t>
  </si>
  <si>
    <t xml:space="preserve">ERSKINE  M &amp; D GREEN</t>
  </si>
  <si>
    <t xml:space="preserve">06-10-402-029</t>
  </si>
  <si>
    <t xml:space="preserve">0610402029</t>
  </si>
  <si>
    <t xml:space="preserve">422 S RIVERSIDE DR</t>
  </si>
  <si>
    <t xml:space="preserve">NERO HOME INSPECTIONS INC</t>
  </si>
  <si>
    <t xml:space="preserve">06-10-409-006</t>
  </si>
  <si>
    <t xml:space="preserve">0610409006</t>
  </si>
  <si>
    <t xml:space="preserve">633 S MONTEREY AVE</t>
  </si>
  <si>
    <t xml:space="preserve">VLADOFF  ALEXANDER J</t>
  </si>
  <si>
    <t xml:space="preserve">06-11-206-015</t>
  </si>
  <si>
    <t xml:space="preserve">0611206015</t>
  </si>
  <si>
    <t xml:space="preserve">425 MITCHELL AVE</t>
  </si>
  <si>
    <t xml:space="preserve">KEAN JR  KEVIN J &amp; MEGHAN</t>
  </si>
  <si>
    <t xml:space="preserve">06-11-406-008</t>
  </si>
  <si>
    <t xml:space="preserve">0611406008</t>
  </si>
  <si>
    <t xml:space="preserve">611 S SAYLOR AVE</t>
  </si>
  <si>
    <t xml:space="preserve">CAREY  EILISH J</t>
  </si>
  <si>
    <t xml:space="preserve">06-11-415-019</t>
  </si>
  <si>
    <t xml:space="preserve">0611415019</t>
  </si>
  <si>
    <t xml:space="preserve">639 S PARKSIDE AVE</t>
  </si>
  <si>
    <t xml:space="preserve">VANGEL  DOROTHY</t>
  </si>
  <si>
    <t xml:space="preserve">06-11-422-002</t>
  </si>
  <si>
    <t xml:space="preserve">0611422002</t>
  </si>
  <si>
    <t xml:space="preserve">731 S SPRING RD</t>
  </si>
  <si>
    <t xml:space="preserve">BELMONTE  ANTOINETTE M</t>
  </si>
  <si>
    <t xml:space="preserve">06-12-106-003</t>
  </si>
  <si>
    <t xml:space="preserve">0612106003</t>
  </si>
  <si>
    <t xml:space="preserve">383 S YORK RD</t>
  </si>
  <si>
    <t xml:space="preserve">LTC PNB 31739</t>
  </si>
  <si>
    <t xml:space="preserve">06-12-114-014</t>
  </si>
  <si>
    <t xml:space="preserve">0612114014</t>
  </si>
  <si>
    <t xml:space="preserve">480 S KENILWORTH AVE</t>
  </si>
  <si>
    <t xml:space="preserve">RYAN  EDWARD &amp; ANNA MARIA</t>
  </si>
  <si>
    <t xml:space="preserve">06-12-116-003</t>
  </si>
  <si>
    <t xml:space="preserve">0612116003</t>
  </si>
  <si>
    <t xml:space="preserve">481 S ARLINGTON AVE</t>
  </si>
  <si>
    <t xml:space="preserve">NAIMAN  SANDRA</t>
  </si>
  <si>
    <t xml:space="preserve">06-12-219-011</t>
  </si>
  <si>
    <t xml:space="preserve">0612219011</t>
  </si>
  <si>
    <t xml:space="preserve">488 PARKVIEW AVE</t>
  </si>
  <si>
    <t xml:space="preserve">AUVIL  TOM &amp; LISA</t>
  </si>
  <si>
    <t xml:space="preserve">06-12-225-005</t>
  </si>
  <si>
    <t xml:space="preserve">0612225005</t>
  </si>
  <si>
    <t xml:space="preserve">474 E SOUTH ST</t>
  </si>
  <si>
    <t xml:space="preserve">MARTINEZ  ANTHONY M</t>
  </si>
  <si>
    <t xml:space="preserve">06-12-314-030</t>
  </si>
  <si>
    <t xml:space="preserve">0612314030</t>
  </si>
  <si>
    <t xml:space="preserve">269 CAYUGA AVE</t>
  </si>
  <si>
    <t xml:space="preserve">JESNEY LLC</t>
  </si>
  <si>
    <t xml:space="preserve">06-12-322-006</t>
  </si>
  <si>
    <t xml:space="preserve">0612322006</t>
  </si>
  <si>
    <t xml:space="preserve">286 E WILSON ST</t>
  </si>
  <si>
    <t xml:space="preserve">GEORGE  ERIK &amp; AMINA</t>
  </si>
  <si>
    <t xml:space="preserve">06-12-328-010</t>
  </si>
  <si>
    <t xml:space="preserve">0612328010</t>
  </si>
  <si>
    <t xml:space="preserve">600 S YORK ST # 2E</t>
  </si>
  <si>
    <t xml:space="preserve">NELSON  JUDITH S</t>
  </si>
  <si>
    <t xml:space="preserve">06-13-100-019</t>
  </si>
  <si>
    <t xml:space="preserve">0613100019</t>
  </si>
  <si>
    <t xml:space="preserve">804 S KENT AVE</t>
  </si>
  <si>
    <t xml:space="preserve">CCC REAL ESTATE LLC</t>
  </si>
  <si>
    <t xml:space="preserve">06-13-128-010</t>
  </si>
  <si>
    <t xml:space="preserve">0613128010</t>
  </si>
  <si>
    <t xml:space="preserve">913 S COLFAX AVE</t>
  </si>
  <si>
    <t xml:space="preserve">MONTANA  JOANNE K</t>
  </si>
  <si>
    <t xml:space="preserve">06-13-207-006</t>
  </si>
  <si>
    <t xml:space="preserve">0613207006</t>
  </si>
  <si>
    <t xml:space="preserve">441 E ADAMS ST</t>
  </si>
  <si>
    <t xml:space="preserve">FITZGERALD  DENNIS J &amp; N</t>
  </si>
  <si>
    <t xml:space="preserve">06-13-300-039</t>
  </si>
  <si>
    <t xml:space="preserve">0613300039</t>
  </si>
  <si>
    <t xml:space="preserve">152 KNIGHTON PL</t>
  </si>
  <si>
    <t xml:space="preserve">PBL INVEMENTS LLC</t>
  </si>
  <si>
    <t xml:space="preserve">06-13-312-002</t>
  </si>
  <si>
    <t xml:space="preserve">0613312002</t>
  </si>
  <si>
    <t xml:space="preserve">0S634 OLD YORK RD</t>
  </si>
  <si>
    <t xml:space="preserve">MAJOR INVESTMENT GROUP LLC</t>
  </si>
  <si>
    <t xml:space="preserve">06-13-401-011</t>
  </si>
  <si>
    <t xml:space="preserve">0613401011</t>
  </si>
  <si>
    <t xml:space="preserve">0S424 CADWELL AVE</t>
  </si>
  <si>
    <t xml:space="preserve">OGLETREE PROPERTIES LLC</t>
  </si>
  <si>
    <t xml:space="preserve">06-14-105-023</t>
  </si>
  <si>
    <t xml:space="preserve">0614105023</t>
  </si>
  <si>
    <t xml:space="preserve">822 FAIRFIELD AVE</t>
  </si>
  <si>
    <t xml:space="preserve">MAZEIKA  ROLANDAS</t>
  </si>
  <si>
    <t xml:space="preserve">06-14-122-023</t>
  </si>
  <si>
    <t xml:space="preserve">0614122023</t>
  </si>
  <si>
    <t xml:space="preserve">980 S SPRING RD</t>
  </si>
  <si>
    <t xml:space="preserve">BROWN  DOROTHY</t>
  </si>
  <si>
    <t xml:space="preserve">06-14-203-009</t>
  </si>
  <si>
    <t xml:space="preserve">0614203009</t>
  </si>
  <si>
    <t xml:space="preserve">815 MITCHELL AVE</t>
  </si>
  <si>
    <t xml:space="preserve">ESE HOLDINGS LLC</t>
  </si>
  <si>
    <t xml:space="preserve">06-14-221-010</t>
  </si>
  <si>
    <t xml:space="preserve">0614221010</t>
  </si>
  <si>
    <t xml:space="preserve">907 PARKSIDE AVE</t>
  </si>
  <si>
    <t xml:space="preserve">RIA CONSTRUCTION</t>
  </si>
  <si>
    <t xml:space="preserve">06-14-226-014</t>
  </si>
  <si>
    <t xml:space="preserve">0614226014</t>
  </si>
  <si>
    <t xml:space="preserve">936 S MITCHELL AVE</t>
  </si>
  <si>
    <t xml:space="preserve">ABRIGNANI  MARIA</t>
  </si>
  <si>
    <t xml:space="preserve">06-14-410-059</t>
  </si>
  <si>
    <t xml:space="preserve">0614410059</t>
  </si>
  <si>
    <t xml:space="preserve">7 BIRCH TREE CT</t>
  </si>
  <si>
    <t xml:space="preserve">MULLER  NICHOLAS A</t>
  </si>
  <si>
    <t xml:space="preserve">06-15-103-025</t>
  </si>
  <si>
    <t xml:space="preserve">0615103025</t>
  </si>
  <si>
    <t xml:space="preserve">42 E VAN BUREN ST</t>
  </si>
  <si>
    <t xml:space="preserve">TARIQ  ABIDA</t>
  </si>
  <si>
    <t xml:space="preserve">06-15-103-027</t>
  </si>
  <si>
    <t xml:space="preserve">0615103027</t>
  </si>
  <si>
    <t xml:space="preserve">50 E VAN BUREN ST</t>
  </si>
  <si>
    <t xml:space="preserve">IMAM  SYED I</t>
  </si>
  <si>
    <t xml:space="preserve">06-15-118-005</t>
  </si>
  <si>
    <t xml:space="preserve">0615118005</t>
  </si>
  <si>
    <t xml:space="preserve">265 E TERRY LN</t>
  </si>
  <si>
    <t xml:space="preserve">MARLLO CONSTRUCTION LLC</t>
  </si>
  <si>
    <t xml:space="preserve">06-15-201-031</t>
  </si>
  <si>
    <t xml:space="preserve">0615201031</t>
  </si>
  <si>
    <t xml:space="preserve">1046 E VAN BUREN ST</t>
  </si>
  <si>
    <t xml:space="preserve">FURLONG  WILLIAM &amp; DEBRA</t>
  </si>
  <si>
    <t xml:space="preserve">06-15-302-022</t>
  </si>
  <si>
    <t xml:space="preserve">0615302022</t>
  </si>
  <si>
    <t xml:space="preserve">0S526 S EUCLID AVE</t>
  </si>
  <si>
    <t xml:space="preserve">AHMADI  MOHEBULLAH &amp; DIWA SAFI</t>
  </si>
  <si>
    <t xml:space="preserve">06-15-305-006</t>
  </si>
  <si>
    <t xml:space="preserve">0615305006</t>
  </si>
  <si>
    <t xml:space="preserve">0S717 CORNELL AVE</t>
  </si>
  <si>
    <t xml:space="preserve">BAEZ  GERARDO</t>
  </si>
  <si>
    <t xml:space="preserve">06-16-103-008</t>
  </si>
  <si>
    <t xml:space="preserve">0616103008</t>
  </si>
  <si>
    <t xml:space="preserve">705 S AHRENS AVE</t>
  </si>
  <si>
    <t xml:space="preserve">IQBAL  ZAHID</t>
  </si>
  <si>
    <t xml:space="preserve">06-16-107-024</t>
  </si>
  <si>
    <t xml:space="preserve">0616107024</t>
  </si>
  <si>
    <t xml:space="preserve">812 S SCHOOL ST</t>
  </si>
  <si>
    <t xml:space="preserve">CICERO ENTERPRISE LLC</t>
  </si>
  <si>
    <t xml:space="preserve">06-16-119-115</t>
  </si>
  <si>
    <t xml:space="preserve">0616119115</t>
  </si>
  <si>
    <t xml:space="preserve">859 S ADDISON AVE</t>
  </si>
  <si>
    <t xml:space="preserve">NAZAROV  ZAFAR</t>
  </si>
  <si>
    <t xml:space="preserve">06-16-119-155</t>
  </si>
  <si>
    <t xml:space="preserve">0616119155</t>
  </si>
  <si>
    <t xml:space="preserve">1135 E WILSON AVE</t>
  </si>
  <si>
    <t xml:space="preserve">KHARIUK  STEPAN &amp; KHRYSTYNA KOGUT</t>
  </si>
  <si>
    <t xml:space="preserve">06-16-119-237</t>
  </si>
  <si>
    <t xml:space="preserve">0616119237</t>
  </si>
  <si>
    <t xml:space="preserve">1123 S CAMBRIA LN</t>
  </si>
  <si>
    <t xml:space="preserve">CHANDEL  KAUSHLESH</t>
  </si>
  <si>
    <t xml:space="preserve">06-16-119-275</t>
  </si>
  <si>
    <t xml:space="preserve">0616119275</t>
  </si>
  <si>
    <t xml:space="preserve">1139 N CAMBRIA LN</t>
  </si>
  <si>
    <t xml:space="preserve">KUBA  MARK C</t>
  </si>
  <si>
    <t xml:space="preserve">06-16-200-013</t>
  </si>
  <si>
    <t xml:space="preserve">0616200013</t>
  </si>
  <si>
    <t xml:space="preserve">835 S ADDISON AVE</t>
  </si>
  <si>
    <t xml:space="preserve">ROBY  MICHAEL L &amp; LYNN M</t>
  </si>
  <si>
    <t xml:space="preserve">06-16-302-016</t>
  </si>
  <si>
    <t xml:space="preserve">0616302016</t>
  </si>
  <si>
    <t xml:space="preserve">1032 S SCHOOL ST</t>
  </si>
  <si>
    <t xml:space="preserve">MORAN  MICHAEL</t>
  </si>
  <si>
    <t xml:space="preserve">06-17-110-008</t>
  </si>
  <si>
    <t xml:space="preserve">0617110008</t>
  </si>
  <si>
    <t xml:space="preserve">734 S STEWART AVE</t>
  </si>
  <si>
    <t xml:space="preserve">HUELSTER  FRED &amp; DIANE</t>
  </si>
  <si>
    <t xml:space="preserve">06-17-301-010</t>
  </si>
  <si>
    <t xml:space="preserve">0617301010</t>
  </si>
  <si>
    <t xml:space="preserve">1053 S CHARLOTTE ST</t>
  </si>
  <si>
    <t xml:space="preserve">MOHAMMED  A &amp; T ISMATH</t>
  </si>
  <si>
    <t xml:space="preserve">06-17-404-051</t>
  </si>
  <si>
    <t xml:space="preserve">0617404051</t>
  </si>
  <si>
    <t xml:space="preserve">1131 S FAIRFIELD AVE</t>
  </si>
  <si>
    <t xml:space="preserve">MORAN  BRIAN P</t>
  </si>
  <si>
    <t xml:space="preserve">06-17-410-001</t>
  </si>
  <si>
    <t xml:space="preserve">0617410001</t>
  </si>
  <si>
    <t xml:space="preserve">605 E WILSON RD</t>
  </si>
  <si>
    <t xml:space="preserve">IBARRA  RODOLFO</t>
  </si>
  <si>
    <t xml:space="preserve">06-18-202-018</t>
  </si>
  <si>
    <t xml:space="preserve">0618202018</t>
  </si>
  <si>
    <t xml:space="preserve">140 W PARK DR</t>
  </si>
  <si>
    <t xml:space="preserve">MOREY  SCOTT</t>
  </si>
  <si>
    <t xml:space="preserve">06-18-302-005</t>
  </si>
  <si>
    <t xml:space="preserve">0618302005</t>
  </si>
  <si>
    <t xml:space="preserve">1007 HIGHMOOR RD</t>
  </si>
  <si>
    <t xml:space="preserve">HOYT  EARLE O</t>
  </si>
  <si>
    <t xml:space="preserve">06-18-401-005</t>
  </si>
  <si>
    <t xml:space="preserve">0618401005</t>
  </si>
  <si>
    <t xml:space="preserve">1033 S EDSON AVE</t>
  </si>
  <si>
    <t xml:space="preserve">HANG  KHEN ZA</t>
  </si>
  <si>
    <t xml:space="preserve">06-19-101-015</t>
  </si>
  <si>
    <t xml:space="preserve">0619101015</t>
  </si>
  <si>
    <t xml:space="preserve">822 ASPEN DR</t>
  </si>
  <si>
    <t xml:space="preserve">AZIZ  RASHIDA</t>
  </si>
  <si>
    <t xml:space="preserve">06-19-103-007</t>
  </si>
  <si>
    <t xml:space="preserve">0619103007</t>
  </si>
  <si>
    <t xml:space="preserve">861 PINEBROOK DR</t>
  </si>
  <si>
    <t xml:space="preserve">CASAS  ROBERTO &amp; ROSARIO</t>
  </si>
  <si>
    <t xml:space="preserve">06-19-203-111</t>
  </si>
  <si>
    <t xml:space="preserve">0619203111</t>
  </si>
  <si>
    <t xml:space="preserve">212A COLLEN # 118</t>
  </si>
  <si>
    <t xml:space="preserve">AMERICAN DESIGN &amp; RENOVATION LLC</t>
  </si>
  <si>
    <t xml:space="preserve">06-19-212-039</t>
  </si>
  <si>
    <t xml:space="preserve">0619212039</t>
  </si>
  <si>
    <t xml:space="preserve">1301 S FINLEY RD # 221</t>
  </si>
  <si>
    <t xml:space="preserve">RIBANDO  PATRICEANN</t>
  </si>
  <si>
    <t xml:space="preserve">06-19-213-054</t>
  </si>
  <si>
    <t xml:space="preserve">0619213054</t>
  </si>
  <si>
    <t xml:space="preserve">1311 S FINLEY RD # 314</t>
  </si>
  <si>
    <t xml:space="preserve">HAMBURG  MARIAE &amp; THOMAS</t>
  </si>
  <si>
    <t xml:space="preserve">06-19-214-034</t>
  </si>
  <si>
    <t xml:space="preserve">0619214034</t>
  </si>
  <si>
    <t xml:space="preserve">1321 S FINLEY RD # 215</t>
  </si>
  <si>
    <t xml:space="preserve">ARNOUK  CECELIA M</t>
  </si>
  <si>
    <t xml:space="preserve">06-19-214-066</t>
  </si>
  <si>
    <t xml:space="preserve">0619214066</t>
  </si>
  <si>
    <t xml:space="preserve">1321 S FINLEY RD # 403</t>
  </si>
  <si>
    <t xml:space="preserve">MUJAHID  SHAHEEN &amp; KHAN</t>
  </si>
  <si>
    <t xml:space="preserve">06-19-214-078</t>
  </si>
  <si>
    <t xml:space="preserve">0619214078</t>
  </si>
  <si>
    <t xml:space="preserve">1321 S FINLEY RD # 415</t>
  </si>
  <si>
    <t xml:space="preserve">WALSH  VINCENT</t>
  </si>
  <si>
    <t xml:space="preserve">06-19-400-170</t>
  </si>
  <si>
    <t xml:space="preserve">0619400170</t>
  </si>
  <si>
    <t xml:space="preserve">499 WOODMOOR DR</t>
  </si>
  <si>
    <t xml:space="preserve">KANG  ANNY</t>
  </si>
  <si>
    <t xml:space="preserve">06-19-404-017</t>
  </si>
  <si>
    <t xml:space="preserve">0619404017</t>
  </si>
  <si>
    <t xml:space="preserve">2005 S FINLEY RD # 205</t>
  </si>
  <si>
    <t xml:space="preserve">FREEMAN  ROBERT G</t>
  </si>
  <si>
    <t xml:space="preserve">06-19-405-150</t>
  </si>
  <si>
    <t xml:space="preserve">0619405150</t>
  </si>
  <si>
    <t xml:space="preserve">2015 S FINLEY RD # 1207</t>
  </si>
  <si>
    <t xml:space="preserve">WEINER  MARY ANN</t>
  </si>
  <si>
    <t xml:space="preserve">06-19-406-016</t>
  </si>
  <si>
    <t xml:space="preserve">0619406016</t>
  </si>
  <si>
    <t xml:space="preserve">1866 S LINCOLN ST</t>
  </si>
  <si>
    <t xml:space="preserve">MURTAZA  MUHAMMED</t>
  </si>
  <si>
    <t xml:space="preserve">06-19-412-103</t>
  </si>
  <si>
    <t xml:space="preserve">0619412103</t>
  </si>
  <si>
    <t xml:space="preserve">293 W 20TH ST</t>
  </si>
  <si>
    <t xml:space="preserve">RAMOS  ISMAEL</t>
  </si>
  <si>
    <t xml:space="preserve">06-20-104-029</t>
  </si>
  <si>
    <t xml:space="preserve">0620104029</t>
  </si>
  <si>
    <t xml:space="preserve">1460 S HIGHLAND AVE</t>
  </si>
  <si>
    <t xml:space="preserve">FAZAL  NADEEM &amp; S KAUSAR</t>
  </si>
  <si>
    <t xml:space="preserve">06-20-107-015</t>
  </si>
  <si>
    <t xml:space="preserve">0620107015</t>
  </si>
  <si>
    <t xml:space="preserve">1509 S HIGHLAND AVE</t>
  </si>
  <si>
    <t xml:space="preserve">MULLEN  DANUTA</t>
  </si>
  <si>
    <t xml:space="preserve">06-20-207-007</t>
  </si>
  <si>
    <t xml:space="preserve">0620207007</t>
  </si>
  <si>
    <t xml:space="preserve">1512 S FAIRFIELD AVE # 7A</t>
  </si>
  <si>
    <t xml:space="preserve">CTLTC TR #8002392238</t>
  </si>
  <si>
    <t xml:space="preserve">06-20-209-007</t>
  </si>
  <si>
    <t xml:space="preserve">0620209007</t>
  </si>
  <si>
    <t xml:space="preserve">1S348 PINE VIEW ST</t>
  </si>
  <si>
    <t xml:space="preserve">SYED  ASMA &amp; ERUM</t>
  </si>
  <si>
    <t xml:space="preserve">06-20-301-050</t>
  </si>
  <si>
    <t xml:space="preserve">0620301050</t>
  </si>
  <si>
    <t xml:space="preserve">12 BRACKEN CT</t>
  </si>
  <si>
    <t xml:space="preserve">YOUNG  KARRY L &amp; TOBEY</t>
  </si>
  <si>
    <t xml:space="preserve">06-20-303-025</t>
  </si>
  <si>
    <t xml:space="preserve">0620303025</t>
  </si>
  <si>
    <t xml:space="preserve">19W551 COUNTRY LN</t>
  </si>
  <si>
    <t xml:space="preserve">CALLAHAN  JASON &amp; JOAN</t>
  </si>
  <si>
    <t xml:space="preserve">06-20-402-002</t>
  </si>
  <si>
    <t xml:space="preserve">0620402002</t>
  </si>
  <si>
    <t xml:space="preserve">1S425 CHASE AVE</t>
  </si>
  <si>
    <t xml:space="preserve">MC NAMARA  GLORIA</t>
  </si>
  <si>
    <t xml:space="preserve">06-20-404-047</t>
  </si>
  <si>
    <t xml:space="preserve">0620404047</t>
  </si>
  <si>
    <t xml:space="preserve">524 ROSEBUD DR NORTH</t>
  </si>
  <si>
    <t xml:space="preserve">DOMINGUEZ  ALFONSO &amp; K</t>
  </si>
  <si>
    <t xml:space="preserve">06-21-101-015</t>
  </si>
  <si>
    <t xml:space="preserve">0621101015</t>
  </si>
  <si>
    <t xml:space="preserve">1S154 SCHOOL ST</t>
  </si>
  <si>
    <t xml:space="preserve">HUSSAIN  SYED</t>
  </si>
  <si>
    <t xml:space="preserve">06-21-108-005</t>
  </si>
  <si>
    <t xml:space="preserve">0621108005</t>
  </si>
  <si>
    <t xml:space="preserve">1302 S LUTHER AVE</t>
  </si>
  <si>
    <t xml:space="preserve">RATSEL INTERNATIONAL LLC</t>
  </si>
  <si>
    <t xml:space="preserve">06-21-109-013</t>
  </si>
  <si>
    <t xml:space="preserve">0621109013</t>
  </si>
  <si>
    <t xml:space="preserve">1308 S 3RD ST</t>
  </si>
  <si>
    <t xml:space="preserve">AGUILERA  MARIANA &amp;JAVIER</t>
  </si>
  <si>
    <t xml:space="preserve">06-21-113-010</t>
  </si>
  <si>
    <t xml:space="preserve">0621113010</t>
  </si>
  <si>
    <t xml:space="preserve">1414 LUTHER ST</t>
  </si>
  <si>
    <t xml:space="preserve">ULLAH  WAHEED</t>
  </si>
  <si>
    <t xml:space="preserve">06-21-202-008</t>
  </si>
  <si>
    <t xml:space="preserve">0621202008</t>
  </si>
  <si>
    <t xml:space="preserve">1417 S ADDISON AVE</t>
  </si>
  <si>
    <t xml:space="preserve">SABELLA  GUY &amp; DOLORENE</t>
  </si>
  <si>
    <t xml:space="preserve">06-21-203-021</t>
  </si>
  <si>
    <t xml:space="preserve">0621203021</t>
  </si>
  <si>
    <t xml:space="preserve">1206 S MICHIGAN AVE</t>
  </si>
  <si>
    <t xml:space="preserve">NEWTON  AUDREY R</t>
  </si>
  <si>
    <t xml:space="preserve">06-21-210-116</t>
  </si>
  <si>
    <t xml:space="preserve">0621210116</t>
  </si>
  <si>
    <t xml:space="preserve">1S265 STRATFORD LN</t>
  </si>
  <si>
    <t xml:space="preserve">BENNETTE  KATIE J</t>
  </si>
  <si>
    <t xml:space="preserve">06-21-210-125</t>
  </si>
  <si>
    <t xml:space="preserve">0621210125</t>
  </si>
  <si>
    <t xml:space="preserve">1S238 HOLYOKE LN</t>
  </si>
  <si>
    <t xml:space="preserve">ZIA  ABIDA</t>
  </si>
  <si>
    <t xml:space="preserve">06-21-211-078</t>
  </si>
  <si>
    <t xml:space="preserve">0621211078</t>
  </si>
  <si>
    <t xml:space="preserve">1S255 DILLON LN</t>
  </si>
  <si>
    <t xml:space="preserve">CHAVIRA  SEVERIANO P</t>
  </si>
  <si>
    <t xml:space="preserve">06-21-212-012</t>
  </si>
  <si>
    <t xml:space="preserve">0621212012</t>
  </si>
  <si>
    <t xml:space="preserve">1S155 INGERSOLL LN</t>
  </si>
  <si>
    <t xml:space="preserve">HERNANDEZ  NICOLAS</t>
  </si>
  <si>
    <t xml:space="preserve">06-21-214-063</t>
  </si>
  <si>
    <t xml:space="preserve">0621214063</t>
  </si>
  <si>
    <t xml:space="preserve">18W222 16TH ST</t>
  </si>
  <si>
    <t xml:space="preserve">HARBOUGH  JUDITH</t>
  </si>
  <si>
    <t xml:space="preserve">06-21-214-069</t>
  </si>
  <si>
    <t xml:space="preserve">0621214069</t>
  </si>
  <si>
    <t xml:space="preserve">18W233 BUCKINGHAM LN</t>
  </si>
  <si>
    <t xml:space="preserve">GENESIS HOMES 2020 LLC</t>
  </si>
  <si>
    <t xml:space="preserve">06-21-216-067</t>
  </si>
  <si>
    <t xml:space="preserve">0621216067</t>
  </si>
  <si>
    <t xml:space="preserve">18W152 16TH ST</t>
  </si>
  <si>
    <t xml:space="preserve">BAHAMOU  BRAHIM</t>
  </si>
  <si>
    <t xml:space="preserve">06-21-305-024</t>
  </si>
  <si>
    <t xml:space="preserve">0621305024</t>
  </si>
  <si>
    <t xml:space="preserve">1S744 WESTVIEW AVE</t>
  </si>
  <si>
    <t xml:space="preserve">HINOJOSA  G &amp; C LLANOS</t>
  </si>
  <si>
    <t xml:space="preserve">06-22-101-040</t>
  </si>
  <si>
    <t xml:space="preserve">0622101040</t>
  </si>
  <si>
    <t xml:space="preserve">1S127 ELIOT LN</t>
  </si>
  <si>
    <t xml:space="preserve">MARRERO APONTE  CARLOS A</t>
  </si>
  <si>
    <t xml:space="preserve">06-22-101-066</t>
  </si>
  <si>
    <t xml:space="preserve">0622101066</t>
  </si>
  <si>
    <t xml:space="preserve">17W741 KIRKLAND LN</t>
  </si>
  <si>
    <t xml:space="preserve">LUNDGREN  WM</t>
  </si>
  <si>
    <t xml:space="preserve">06-22-101-069</t>
  </si>
  <si>
    <t xml:space="preserve">0622101069</t>
  </si>
  <si>
    <t xml:space="preserve">17W733 KIRKLAND LN</t>
  </si>
  <si>
    <t xml:space="preserve">ALI  MOHAMMED M</t>
  </si>
  <si>
    <t xml:space="preserve">06-22-109-013</t>
  </si>
  <si>
    <t xml:space="preserve">0622109013</t>
  </si>
  <si>
    <t xml:space="preserve">1S260 EUCLID AVE</t>
  </si>
  <si>
    <t xml:space="preserve">CERNY  ANTON J</t>
  </si>
  <si>
    <t xml:space="preserve">06-22-110-015</t>
  </si>
  <si>
    <t xml:space="preserve">0622110015</t>
  </si>
  <si>
    <t xml:space="preserve">1S334 MYRTLE AVE</t>
  </si>
  <si>
    <t xml:space="preserve">BASIT  S &amp; S KHAN</t>
  </si>
  <si>
    <t xml:space="preserve">06-22-309-003</t>
  </si>
  <si>
    <t xml:space="preserve">0622309003</t>
  </si>
  <si>
    <t xml:space="preserve">17W466 KARBAN ST</t>
  </si>
  <si>
    <t xml:space="preserve">OAKBROOK TERR</t>
  </si>
  <si>
    <t xml:space="preserve">SABELLA  GUY</t>
  </si>
  <si>
    <t xml:space="preserve">06-22-406-017</t>
  </si>
  <si>
    <t xml:space="preserve">0622406017</t>
  </si>
  <si>
    <t xml:space="preserve">1S484 LEAHY RD</t>
  </si>
  <si>
    <t xml:space="preserve">ALIMCHANDANI  ISHWAR &amp; P</t>
  </si>
  <si>
    <t xml:space="preserve">06-22-408-003</t>
  </si>
  <si>
    <t xml:space="preserve">0622408003</t>
  </si>
  <si>
    <t xml:space="preserve">17W121 16TH ST</t>
  </si>
  <si>
    <t xml:space="preserve">ROBINETTE  CLYDA J</t>
  </si>
  <si>
    <t xml:space="preserve">06-22-415-002</t>
  </si>
  <si>
    <t xml:space="preserve">0622415002</t>
  </si>
  <si>
    <t xml:space="preserve">1S721 MAC ARTHUR DR</t>
  </si>
  <si>
    <t xml:space="preserve">DAHM PUJALS  MARY T</t>
  </si>
  <si>
    <t xml:space="preserve">06-23-106-051</t>
  </si>
  <si>
    <t xml:space="preserve">0623106051</t>
  </si>
  <si>
    <t xml:space="preserve">2 OAK BROOK CLUB DR # 209-B</t>
  </si>
  <si>
    <t xml:space="preserve">OAK BROOK</t>
  </si>
  <si>
    <t xml:space="preserve">CASAZZA  ANITA</t>
  </si>
  <si>
    <t xml:space="preserve">06-23-107-013</t>
  </si>
  <si>
    <t xml:space="preserve">0623107013</t>
  </si>
  <si>
    <t xml:space="preserve">3 OAK BROOK CLUB UNIT D-205</t>
  </si>
  <si>
    <t xml:space="preserve">COLLINS  TODD M</t>
  </si>
  <si>
    <t xml:space="preserve">06-23-110-007</t>
  </si>
  <si>
    <t xml:space="preserve">0623110007</t>
  </si>
  <si>
    <t xml:space="preserve">1S095 SPRING RD # 2B</t>
  </si>
  <si>
    <t xml:space="preserve">LAKHANI  MARIAM &amp; HUSSAIN</t>
  </si>
  <si>
    <t xml:space="preserve">06-23-110-028</t>
  </si>
  <si>
    <t xml:space="preserve">0623110028</t>
  </si>
  <si>
    <t xml:space="preserve">1S085 SPRING RD # 1-C</t>
  </si>
  <si>
    <t xml:space="preserve">CHICAGO TITLE</t>
  </si>
  <si>
    <t xml:space="preserve">06-24-104-002</t>
  </si>
  <si>
    <t xml:space="preserve">0624104002</t>
  </si>
  <si>
    <t xml:space="preserve">44 YORKSHIRE WOODS</t>
  </si>
  <si>
    <t xml:space="preserve">STAPLETON  EROL</t>
  </si>
  <si>
    <t xml:space="preserve">06-24-105-021</t>
  </si>
  <si>
    <t xml:space="preserve">0624105021</t>
  </si>
  <si>
    <t xml:space="preserve">19 TUSCAN CT</t>
  </si>
  <si>
    <t xml:space="preserve">06-24-208-026</t>
  </si>
  <si>
    <t xml:space="preserve">0624208026</t>
  </si>
  <si>
    <t xml:space="preserve">227 WOOD GLEN LN</t>
  </si>
  <si>
    <t xml:space="preserve">BATH  MANBIE S</t>
  </si>
  <si>
    <t xml:space="preserve">06-24-401-002</t>
  </si>
  <si>
    <t xml:space="preserve">0624401002</t>
  </si>
  <si>
    <t xml:space="preserve">11 WOODRIDGE DR</t>
  </si>
  <si>
    <t xml:space="preserve">LIS  LAWRENCE T</t>
  </si>
  <si>
    <t xml:space="preserve">06-25-208-003</t>
  </si>
  <si>
    <t xml:space="preserve">0625208003</t>
  </si>
  <si>
    <t xml:space="preserve">45 SHEFFIELD LN</t>
  </si>
  <si>
    <t xml:space="preserve">CHICAGO TITLE 8002388251</t>
  </si>
  <si>
    <t xml:space="preserve">06-25-401-010</t>
  </si>
  <si>
    <t xml:space="preserve">0625401010</t>
  </si>
  <si>
    <t xml:space="preserve">48 BRADFORD LN</t>
  </si>
  <si>
    <t xml:space="preserve">PATRINOS  JASON LEWIS</t>
  </si>
  <si>
    <t xml:space="preserve">06-25-405-036</t>
  </si>
  <si>
    <t xml:space="preserve">0625405036</t>
  </si>
  <si>
    <t xml:space="preserve">27 BRADFORD LN</t>
  </si>
  <si>
    <t xml:space="preserve">MOSCOSO  VICTORIA</t>
  </si>
  <si>
    <t xml:space="preserve">06-26-301-083</t>
  </si>
  <si>
    <t xml:space="preserve">0626301083</t>
  </si>
  <si>
    <t xml:space="preserve">41 FOREST GATE CIR</t>
  </si>
  <si>
    <t xml:space="preserve">AHMED  MOHAMMED</t>
  </si>
  <si>
    <t xml:space="preserve">06-27-104-009</t>
  </si>
  <si>
    <t xml:space="preserve">0627104009</t>
  </si>
  <si>
    <t xml:space="preserve">11 PEMBROKE LN</t>
  </si>
  <si>
    <t xml:space="preserve">AKHTAR  SAMEENA</t>
  </si>
  <si>
    <t xml:space="preserve">06-27-204-002</t>
  </si>
  <si>
    <t xml:space="preserve">0627204002</t>
  </si>
  <si>
    <t xml:space="preserve">59 REGENT DR</t>
  </si>
  <si>
    <t xml:space="preserve">A&amp;E LUXURY BUILDERS INC</t>
  </si>
  <si>
    <t xml:space="preserve">06-27-402-009</t>
  </si>
  <si>
    <t xml:space="preserve">0627402009</t>
  </si>
  <si>
    <t xml:space="preserve">23 CONCORD DR</t>
  </si>
  <si>
    <t xml:space="preserve">JUNEJO  TARIQ &amp; AFSHAN</t>
  </si>
  <si>
    <t xml:space="preserve">06-27-403-027</t>
  </si>
  <si>
    <t xml:space="preserve">0627403027</t>
  </si>
  <si>
    <t xml:space="preserve">2 HEATHER LN</t>
  </si>
  <si>
    <t xml:space="preserve">FLORIO  MARIO &amp; ROSA</t>
  </si>
  <si>
    <t xml:space="preserve">06-27-404-002</t>
  </si>
  <si>
    <t xml:space="preserve">0627404002</t>
  </si>
  <si>
    <t xml:space="preserve">4 CAMBRIDGE DR</t>
  </si>
  <si>
    <t xml:space="preserve">CAPITOL BANK &amp; TR</t>
  </si>
  <si>
    <t xml:space="preserve">06-28-106-001</t>
  </si>
  <si>
    <t xml:space="preserve">0628106001</t>
  </si>
  <si>
    <t xml:space="preserve">35 ROYAL VALE DR</t>
  </si>
  <si>
    <t xml:space="preserve">GUIDO  NINA</t>
  </si>
  <si>
    <t xml:space="preserve">06-28-107-125</t>
  </si>
  <si>
    <t xml:space="preserve">0628107125</t>
  </si>
  <si>
    <t xml:space="preserve">20 N TOWER RD # 8E</t>
  </si>
  <si>
    <t xml:space="preserve">WHITE  GARY &amp; ELIZABETH</t>
  </si>
  <si>
    <t xml:space="preserve">06-28-107-137</t>
  </si>
  <si>
    <t xml:space="preserve">0628107137</t>
  </si>
  <si>
    <t xml:space="preserve">40 N TOWER RD # 8F</t>
  </si>
  <si>
    <t xml:space="preserve">CHRISTMAS  ANTHONY</t>
  </si>
  <si>
    <t xml:space="preserve">06-28-107-148</t>
  </si>
  <si>
    <t xml:space="preserve">0628107148</t>
  </si>
  <si>
    <t xml:space="preserve">20 N TOWER RD # 4F</t>
  </si>
  <si>
    <t xml:space="preserve">JANKUNAS  AINA</t>
  </si>
  <si>
    <t xml:space="preserve">06-28-107-221</t>
  </si>
  <si>
    <t xml:space="preserve">0628107221</t>
  </si>
  <si>
    <t xml:space="preserve">40 N TOWER RD # 15J</t>
  </si>
  <si>
    <t xml:space="preserve">KORNFIELD  AARON &amp; GARRETT REED</t>
  </si>
  <si>
    <t xml:space="preserve">06-28-107-247</t>
  </si>
  <si>
    <t xml:space="preserve">0628107247</t>
  </si>
  <si>
    <t xml:space="preserve">40 N TOWER RD # 15K</t>
  </si>
  <si>
    <t xml:space="preserve">DIMITROVA  RADOSTINA</t>
  </si>
  <si>
    <t xml:space="preserve">06-28-107-267</t>
  </si>
  <si>
    <t xml:space="preserve">0628107267</t>
  </si>
  <si>
    <t xml:space="preserve">40 N TOWER RD # 7L</t>
  </si>
  <si>
    <t xml:space="preserve">TLC CONSULTANTS INC</t>
  </si>
  <si>
    <t xml:space="preserve">06-28-107-319</t>
  </si>
  <si>
    <t xml:space="preserve">0628107319</t>
  </si>
  <si>
    <t xml:space="preserve">40 N TOWER RD # 5N</t>
  </si>
  <si>
    <t xml:space="preserve">YUNEZ  SAMIRA</t>
  </si>
  <si>
    <t xml:space="preserve">06-28-108-002</t>
  </si>
  <si>
    <t xml:space="preserve">0628108002</t>
  </si>
  <si>
    <t xml:space="preserve">4 N TOWER RD</t>
  </si>
  <si>
    <t xml:space="preserve">LEE  YOUNMOO &amp; SUYEON PARK</t>
  </si>
  <si>
    <t xml:space="preserve">06-28-303-007</t>
  </si>
  <si>
    <t xml:space="preserve">0628303007</t>
  </si>
  <si>
    <t xml:space="preserve">2819 MEYERS RD</t>
  </si>
  <si>
    <t xml:space="preserve">2823 MEYERS LLC</t>
  </si>
  <si>
    <t xml:space="preserve">06-28-303-008</t>
  </si>
  <si>
    <t xml:space="preserve">0628303008</t>
  </si>
  <si>
    <t xml:space="preserve">2823 MEYERS RD</t>
  </si>
  <si>
    <t xml:space="preserve">KOMOVA  IRENA &amp; AMINA BAYRAMUKOVA</t>
  </si>
  <si>
    <t xml:space="preserve">06-29-101-123</t>
  </si>
  <si>
    <t xml:space="preserve">0629101123</t>
  </si>
  <si>
    <t xml:space="preserve">325 SUMMIT CIR</t>
  </si>
  <si>
    <t xml:space="preserve">PISZ  DOROTA</t>
  </si>
  <si>
    <t xml:space="preserve">06-29-103-011</t>
  </si>
  <si>
    <t xml:space="preserve">0629103011</t>
  </si>
  <si>
    <t xml:space="preserve">108 MAJESTIC DR</t>
  </si>
  <si>
    <t xml:space="preserve">HALL  SANDRA</t>
  </si>
  <si>
    <t xml:space="preserve">06-29-106-097</t>
  </si>
  <si>
    <t xml:space="preserve">0629106097</t>
  </si>
  <si>
    <t xml:space="preserve">2320 WOODBRIDGE WAY # 1A</t>
  </si>
  <si>
    <t xml:space="preserve">FAVELA  YESENIA</t>
  </si>
  <si>
    <t xml:space="preserve">06-29-106-178</t>
  </si>
  <si>
    <t xml:space="preserve">0629106178</t>
  </si>
  <si>
    <t xml:space="preserve">220 E FOUNTAINVIEW LN # 2B</t>
  </si>
  <si>
    <t xml:space="preserve">VALDEZ ALEMAN  NORMA L</t>
  </si>
  <si>
    <t xml:space="preserve">06-29-107-018</t>
  </si>
  <si>
    <t xml:space="preserve">0629107018</t>
  </si>
  <si>
    <t xml:space="preserve">2201 S HIGHLAND AVE # 2H</t>
  </si>
  <si>
    <t xml:space="preserve">KHAMISI  OMID</t>
  </si>
  <si>
    <t xml:space="preserve">06-29-107-057</t>
  </si>
  <si>
    <t xml:space="preserve">0629107057</t>
  </si>
  <si>
    <t xml:space="preserve">2201 S HIGHLAND AVE # 5L</t>
  </si>
  <si>
    <t xml:space="preserve">SMITH  ZACHARY</t>
  </si>
  <si>
    <t xml:space="preserve">06-29-107-099</t>
  </si>
  <si>
    <t xml:space="preserve">0629107099</t>
  </si>
  <si>
    <t xml:space="preserve">2200 S STEWART AVE # 3-E</t>
  </si>
  <si>
    <t xml:space="preserve">KUQO  GENCIAN</t>
  </si>
  <si>
    <t xml:space="preserve">06-29-107-144</t>
  </si>
  <si>
    <t xml:space="preserve">0629107144</t>
  </si>
  <si>
    <t xml:space="preserve">2222 S STEWART AVE # 2B</t>
  </si>
  <si>
    <t xml:space="preserve">KOLAR  NATHAN</t>
  </si>
  <si>
    <t xml:space="preserve">06-29-107-246</t>
  </si>
  <si>
    <t xml:space="preserve">0629107246</t>
  </si>
  <si>
    <t xml:space="preserve">2201 S STEWART AVE # 5H</t>
  </si>
  <si>
    <t xml:space="preserve">AIMAEC LLC</t>
  </si>
  <si>
    <t xml:space="preserve">06-29-109-030</t>
  </si>
  <si>
    <t xml:space="preserve">0629109030</t>
  </si>
  <si>
    <t xml:space="preserve">150 OAKTON DR</t>
  </si>
  <si>
    <t xml:space="preserve">KOLA  MALVINA &amp; ALFREDI ABDULAJ</t>
  </si>
  <si>
    <t xml:space="preserve">06-29-202-001</t>
  </si>
  <si>
    <t xml:space="preserve">0629202001</t>
  </si>
  <si>
    <t xml:space="preserve">2201 S GRACE ST # 100</t>
  </si>
  <si>
    <t xml:space="preserve">STECHYSHYN  IVAN</t>
  </si>
  <si>
    <t xml:space="preserve">06-29-411-037</t>
  </si>
  <si>
    <t xml:space="preserve">0629411037</t>
  </si>
  <si>
    <t xml:space="preserve">2S757 THERESA CT</t>
  </si>
  <si>
    <t xml:space="preserve">06-29-412-077</t>
  </si>
  <si>
    <t xml:space="preserve">0629412077</t>
  </si>
  <si>
    <t xml:space="preserve">19W220 OLD TAVERN RD</t>
  </si>
  <si>
    <t xml:space="preserve">ROBINS  MICHAEL J</t>
  </si>
  <si>
    <t xml:space="preserve">06-29-412-108</t>
  </si>
  <si>
    <t xml:space="preserve">0629412108</t>
  </si>
  <si>
    <t xml:space="preserve">19W214 NEWPORT LN # 106</t>
  </si>
  <si>
    <t xml:space="preserve">CHAGANI  SOHALL &amp; HUMAIRA</t>
  </si>
  <si>
    <t xml:space="preserve">06-30-207-023</t>
  </si>
  <si>
    <t xml:space="preserve">0630207023</t>
  </si>
  <si>
    <t xml:space="preserve">234 GAZEBO LN # 27</t>
  </si>
  <si>
    <t xml:space="preserve">MUNIR  SHAWN</t>
  </si>
  <si>
    <t xml:space="preserve">06-30-207-133</t>
  </si>
  <si>
    <t xml:space="preserve">0630207133</t>
  </si>
  <si>
    <t xml:space="preserve">286 ARBORETUM DR</t>
  </si>
  <si>
    <t xml:space="preserve">VOGEL  JEAN</t>
  </si>
  <si>
    <t xml:space="preserve">06-30-207-218</t>
  </si>
  <si>
    <t xml:space="preserve">0630207218</t>
  </si>
  <si>
    <t xml:space="preserve">236 ARBORETUM DR</t>
  </si>
  <si>
    <t xml:space="preserve">SHERRY  HELEN C</t>
  </si>
  <si>
    <t xml:space="preserve">06-31-405-007</t>
  </si>
  <si>
    <t xml:space="preserve">0631405007</t>
  </si>
  <si>
    <t xml:space="preserve">3673 SARATOGA AVE</t>
  </si>
  <si>
    <t xml:space="preserve">DOWNERS GROVE</t>
  </si>
  <si>
    <t xml:space="preserve">AIM INVESTMENT PROPERTIES LLC</t>
  </si>
  <si>
    <t xml:space="preserve">06-31-411-003</t>
  </si>
  <si>
    <t xml:space="preserve">0631411003</t>
  </si>
  <si>
    <t xml:space="preserve">3601 BUCKTHORN LN</t>
  </si>
  <si>
    <t xml:space="preserve">ALBA DEVELOPMENT LLC</t>
  </si>
  <si>
    <t xml:space="preserve">06-32-406-013</t>
  </si>
  <si>
    <t xml:space="preserve">0632406013</t>
  </si>
  <si>
    <t xml:space="preserve">3648 DOUGLAS RD</t>
  </si>
  <si>
    <t xml:space="preserve">MADHA  AHMED &amp; HINA</t>
  </si>
  <si>
    <t xml:space="preserve">06-32-410-009</t>
  </si>
  <si>
    <t xml:space="preserve">0632410009</t>
  </si>
  <si>
    <t xml:space="preserve">3708 DOUGLAS RD</t>
  </si>
  <si>
    <t xml:space="preserve">BORSELLINO  JOSEPH &amp; T</t>
  </si>
  <si>
    <t xml:space="preserve">06-33-104-009</t>
  </si>
  <si>
    <t xml:space="preserve">0633104009</t>
  </si>
  <si>
    <t xml:space="preserve">401 ASCOT LN</t>
  </si>
  <si>
    <t xml:space="preserve">SHAH  MANZOOR</t>
  </si>
  <si>
    <t xml:space="preserve">06-33-104-017</t>
  </si>
  <si>
    <t xml:space="preserve">0633104017</t>
  </si>
  <si>
    <t xml:space="preserve">709 MIDWEST CLUB</t>
  </si>
  <si>
    <t xml:space="preserve">KUMAR  AKSHYA &amp; SHALINI</t>
  </si>
  <si>
    <t xml:space="preserve">06-33-205-007</t>
  </si>
  <si>
    <t xml:space="preserve">0633205007</t>
  </si>
  <si>
    <t xml:space="preserve">1902 MIDWEST CLUB</t>
  </si>
  <si>
    <t xml:space="preserve">MICELI  ROSE MARY</t>
  </si>
  <si>
    <t xml:space="preserve">06-33-411-026</t>
  </si>
  <si>
    <t xml:space="preserve">0633411026</t>
  </si>
  <si>
    <t xml:space="preserve">124 WHITE BIRCH LN</t>
  </si>
  <si>
    <t xml:space="preserve">WESTMONT</t>
  </si>
  <si>
    <t xml:space="preserve">RENELLI  LOUIS C</t>
  </si>
  <si>
    <t xml:space="preserve">06-33-414-026</t>
  </si>
  <si>
    <t xml:space="preserve">0633414026</t>
  </si>
  <si>
    <t xml:space="preserve">15 INDIAN TRAIL</t>
  </si>
  <si>
    <t xml:space="preserve">SCHMIDT  JOHN &amp; DIANE</t>
  </si>
  <si>
    <t xml:space="preserve">06-33-415-035</t>
  </si>
  <si>
    <t xml:space="preserve">0633415035</t>
  </si>
  <si>
    <t xml:space="preserve">3525 CASS CT # 506</t>
  </si>
  <si>
    <t xml:space="preserve">BHATT  RIFFAT</t>
  </si>
  <si>
    <t xml:space="preserve">06-34-106-014</t>
  </si>
  <si>
    <t xml:space="preserve">0634106014</t>
  </si>
  <si>
    <t xml:space="preserve">374 TRINITY LN</t>
  </si>
  <si>
    <t xml:space="preserve">HLEPAS  PETER TR</t>
  </si>
  <si>
    <t xml:space="preserve">06-34-204-008</t>
  </si>
  <si>
    <t xml:space="preserve">0634204008</t>
  </si>
  <si>
    <t xml:space="preserve">804 ST STEPHENS GRN</t>
  </si>
  <si>
    <t xml:space="preserve">AZIZ  RASHID &amp; RASHIDA</t>
  </si>
  <si>
    <t xml:space="preserve">06-35-102-006</t>
  </si>
  <si>
    <t xml:space="preserve">0635102006</t>
  </si>
  <si>
    <t xml:space="preserve">210 INDIAN TRAIL RD</t>
  </si>
  <si>
    <t xml:space="preserve">YEN  HUI-HSIEN &amp; SU MEI</t>
  </si>
  <si>
    <t xml:space="preserve">06-35-200-018</t>
  </si>
  <si>
    <t xml:space="preserve">0635200018</t>
  </si>
  <si>
    <t xml:space="preserve">3406 ADAMS RD</t>
  </si>
  <si>
    <t xml:space="preserve">USMAN  PERVAIZ</t>
  </si>
  <si>
    <t xml:space="preserve">06-36-202-023</t>
  </si>
  <si>
    <t xml:space="preserve">0636202023</t>
  </si>
  <si>
    <t xml:space="preserve">10 YORK LAKE CT</t>
  </si>
  <si>
    <t xml:space="preserve">YORK REAL ESTATE LLC</t>
  </si>
  <si>
    <t xml:space="preserve">06-36-400-010</t>
  </si>
  <si>
    <t xml:space="preserve">0636400010</t>
  </si>
  <si>
    <t xml:space="preserve">3608 YORK RD</t>
  </si>
  <si>
    <t xml:space="preserve">06-36-400-011</t>
  </si>
  <si>
    <t xml:space="preserve">0636400011</t>
  </si>
  <si>
    <t xml:space="preserve">3610 YORK RD</t>
  </si>
  <si>
    <t xml:space="preserve">SALHANI  ALEXANDER</t>
  </si>
  <si>
    <t xml:space="preserve">06-36-404-045</t>
  </si>
  <si>
    <t xml:space="preserve">0636404045</t>
  </si>
  <si>
    <t xml:space="preserve">7 YORK LAKE CT</t>
  </si>
  <si>
    <t xml:space="preserve">ABDELHADY  K &amp; S AWAD</t>
  </si>
  <si>
    <t xml:space="preserve">06-36-404-059</t>
  </si>
  <si>
    <t xml:space="preserve">0636404059</t>
  </si>
  <si>
    <t xml:space="preserve">1 OAK CT</t>
  </si>
  <si>
    <t xml:space="preserve">CIRELLI  MICHAEL &amp; JACLYN</t>
  </si>
  <si>
    <t xml:space="preserve">07-02-101-011</t>
  </si>
  <si>
    <t xml:space="preserve">0702101011</t>
  </si>
  <si>
    <t xml:space="preserve">28W780 WOODLAND CT</t>
  </si>
  <si>
    <t xml:space="preserve">STREETER  MYRON M</t>
  </si>
  <si>
    <t xml:space="preserve">07-06-204-004</t>
  </si>
  <si>
    <t xml:space="preserve">0706204004</t>
  </si>
  <si>
    <t xml:space="preserve">2645 WHEATFIELD CT</t>
  </si>
  <si>
    <t xml:space="preserve">LTC A7706883102</t>
  </si>
  <si>
    <t xml:space="preserve">07-06-204-014</t>
  </si>
  <si>
    <t xml:space="preserve">0706204014</t>
  </si>
  <si>
    <t xml:space="preserve">2650 WHEATFIELD CT</t>
  </si>
  <si>
    <t xml:space="preserve">LE  M &amp; L KHUC</t>
  </si>
  <si>
    <t xml:space="preserve">07-06-208-022</t>
  </si>
  <si>
    <t xml:space="preserve">0706208022</t>
  </si>
  <si>
    <t xml:space="preserve">2652 COUNTRY OAKS CT</t>
  </si>
  <si>
    <t xml:space="preserve">NAM  PETER &amp; HYE</t>
  </si>
  <si>
    <t xml:space="preserve">07-06-210-133</t>
  </si>
  <si>
    <t xml:space="preserve">0706210133</t>
  </si>
  <si>
    <t xml:space="preserve">2734 PRESTON CT</t>
  </si>
  <si>
    <t xml:space="preserve">CONSIGLIO  LEONARD</t>
  </si>
  <si>
    <t xml:space="preserve">07-06-215-011</t>
  </si>
  <si>
    <t xml:space="preserve">0706215011</t>
  </si>
  <si>
    <t xml:space="preserve">2411 WILTON LN</t>
  </si>
  <si>
    <t xml:space="preserve">LE  MAN &amp; LINH KHUC</t>
  </si>
  <si>
    <t xml:space="preserve">07-06-404-008</t>
  </si>
  <si>
    <t xml:space="preserve">0706404008</t>
  </si>
  <si>
    <t xml:space="preserve">2436 DEVONSHIRE CT</t>
  </si>
  <si>
    <t xml:space="preserve">BALLARI  NAVEEN &amp;PRANITHA</t>
  </si>
  <si>
    <t xml:space="preserve">07-08-305-001</t>
  </si>
  <si>
    <t xml:space="preserve">0708305001</t>
  </si>
  <si>
    <t xml:space="preserve">1289 ESTLING CT</t>
  </si>
  <si>
    <t xml:space="preserve">RAKESH  VIJAY R</t>
  </si>
  <si>
    <t xml:space="preserve">07-08-310-004</t>
  </si>
  <si>
    <t xml:space="preserve">0708310004</t>
  </si>
  <si>
    <t xml:space="preserve">3107 BENNETT PL</t>
  </si>
  <si>
    <t xml:space="preserve">KAUR  GURPREET</t>
  </si>
  <si>
    <t xml:space="preserve">07-09-310-376</t>
  </si>
  <si>
    <t xml:space="preserve">0709310376</t>
  </si>
  <si>
    <t xml:space="preserve">2568 GOLF RIDGE CIR</t>
  </si>
  <si>
    <t xml:space="preserve">EGIZIO  TINA</t>
  </si>
  <si>
    <t xml:space="preserve">07-09-417-008</t>
  </si>
  <si>
    <t xml:space="preserve">0709417008</t>
  </si>
  <si>
    <t xml:space="preserve">1008 BRADFORD DR</t>
  </si>
  <si>
    <t xml:space="preserve">DICHTL  JOHN &amp; JOSEPH</t>
  </si>
  <si>
    <t xml:space="preserve">07-10-200-002</t>
  </si>
  <si>
    <t xml:space="preserve">0710200002</t>
  </si>
  <si>
    <t xml:space="preserve">5S022 RAYMOND DR</t>
  </si>
  <si>
    <t xml:space="preserve">PRIOLA  VICTORIA C</t>
  </si>
  <si>
    <t xml:space="preserve">07-10-213-031</t>
  </si>
  <si>
    <t xml:space="preserve">0710213031</t>
  </si>
  <si>
    <t xml:space="preserve">1513 RAYMOND DR # 203</t>
  </si>
  <si>
    <t xml:space="preserve">WILSON  LYNN</t>
  </si>
  <si>
    <t xml:space="preserve">07-10-309-081</t>
  </si>
  <si>
    <t xml:space="preserve">0710309081</t>
  </si>
  <si>
    <t xml:space="preserve">883 NELLI CT # 101</t>
  </si>
  <si>
    <t xml:space="preserve">WADZINSKI  JAMES K</t>
  </si>
  <si>
    <t xml:space="preserve">07-10-311-038</t>
  </si>
  <si>
    <t xml:space="preserve">0710311038</t>
  </si>
  <si>
    <t xml:space="preserve">977 SHERIDAN CIR</t>
  </si>
  <si>
    <t xml:space="preserve">KALE  DIPTEE SACHIN</t>
  </si>
  <si>
    <t xml:space="preserve">07-10-311-074</t>
  </si>
  <si>
    <t xml:space="preserve">0710311074</t>
  </si>
  <si>
    <t xml:space="preserve">2907 DEARBORN CT</t>
  </si>
  <si>
    <t xml:space="preserve">GALEWSKI  K &amp; N MC CONNELL</t>
  </si>
  <si>
    <t xml:space="preserve">07-10-311-200</t>
  </si>
  <si>
    <t xml:space="preserve">0710311200</t>
  </si>
  <si>
    <t xml:space="preserve">2724 SHERIDAN CT</t>
  </si>
  <si>
    <t xml:space="preserve">REDEVELOPED PROPERTIES LLC</t>
  </si>
  <si>
    <t xml:space="preserve">07-11-214-018</t>
  </si>
  <si>
    <t xml:space="preserve">0711214018</t>
  </si>
  <si>
    <t xml:space="preserve">1268 W BAUER RD</t>
  </si>
  <si>
    <t xml:space="preserve">WEIGHT  G JEFFREY &amp; ELIZABETH L</t>
  </si>
  <si>
    <t xml:space="preserve">07-11-409-152</t>
  </si>
  <si>
    <t xml:space="preserve">0711409152</t>
  </si>
  <si>
    <t xml:space="preserve">1053 W OGDEN AVE # 3-350</t>
  </si>
  <si>
    <t xml:space="preserve">HERNANDEZ  JUAN</t>
  </si>
  <si>
    <t xml:space="preserve">07-11-409-188</t>
  </si>
  <si>
    <t xml:space="preserve">0711409188</t>
  </si>
  <si>
    <t xml:space="preserve">1121 OGDEN AVE # 352</t>
  </si>
  <si>
    <t xml:space="preserve">HAUSPAL LLC</t>
  </si>
  <si>
    <t xml:space="preserve">07-12-105-018</t>
  </si>
  <si>
    <t xml:space="preserve">0712105018</t>
  </si>
  <si>
    <t xml:space="preserve">1405 N WEST ST</t>
  </si>
  <si>
    <t xml:space="preserve">YU  IL YOL &amp; KWI JUNG</t>
  </si>
  <si>
    <t xml:space="preserve">07-12-109-015</t>
  </si>
  <si>
    <t xml:space="preserve">0712109015</t>
  </si>
  <si>
    <t xml:space="preserve">759 CENTURY FARM LN</t>
  </si>
  <si>
    <t xml:space="preserve">MASOOD  FAISAL &amp; SHIRINE</t>
  </si>
  <si>
    <t xml:space="preserve">07-12-112-007</t>
  </si>
  <si>
    <t xml:space="preserve">0712112007</t>
  </si>
  <si>
    <t xml:space="preserve">755 SIGMUND RD</t>
  </si>
  <si>
    <t xml:space="preserve">MILL &amp; BAUER LLC</t>
  </si>
  <si>
    <t xml:space="preserve">07-12-209-023</t>
  </si>
  <si>
    <t xml:space="preserve">0712209023</t>
  </si>
  <si>
    <t xml:space="preserve">27W280 BAUER RD</t>
  </si>
  <si>
    <t xml:space="preserve">FADNESS  AMANDA A</t>
  </si>
  <si>
    <t xml:space="preserve">07-12-211-024</t>
  </si>
  <si>
    <t xml:space="preserve">0712211024</t>
  </si>
  <si>
    <t xml:space="preserve">115 HOPI CT</t>
  </si>
  <si>
    <t xml:space="preserve">DOAN  MICHAEL &amp; KELLY MEISSGEIER</t>
  </si>
  <si>
    <t xml:space="preserve">07-12-211-040</t>
  </si>
  <si>
    <t xml:space="preserve">0712211040</t>
  </si>
  <si>
    <t xml:space="preserve">223 W BAUER RD</t>
  </si>
  <si>
    <t xml:space="preserve">MC COY  JORIE &amp; WM</t>
  </si>
  <si>
    <t xml:space="preserve">07-12-303-067</t>
  </si>
  <si>
    <t xml:space="preserve">0712303067</t>
  </si>
  <si>
    <t xml:space="preserve">900 CARLSON CT</t>
  </si>
  <si>
    <t xml:space="preserve">D&amp;D RENTAL LLC</t>
  </si>
  <si>
    <t xml:space="preserve">07-12-309-040</t>
  </si>
  <si>
    <t xml:space="preserve">0712309040</t>
  </si>
  <si>
    <t xml:space="preserve">1125 ROYAL ST GEORGE # 108</t>
  </si>
  <si>
    <t xml:space="preserve">MILLS  JUNG &amp; TIMOTHY</t>
  </si>
  <si>
    <t xml:space="preserve">07-12-311-011</t>
  </si>
  <si>
    <t xml:space="preserve">0712311011</t>
  </si>
  <si>
    <t xml:space="preserve">638 ZAININGER AVE # C</t>
  </si>
  <si>
    <t xml:space="preserve">CARRILLO JR  MARIO</t>
  </si>
  <si>
    <t xml:space="preserve">07-14-215-018</t>
  </si>
  <si>
    <t xml:space="preserve">0714215018</t>
  </si>
  <si>
    <t xml:space="preserve">468 VALLEY DR # 301</t>
  </si>
  <si>
    <t xml:space="preserve">CHICAGO TITLE LAND TRUST</t>
  </si>
  <si>
    <t xml:space="preserve">07-14-403-001</t>
  </si>
  <si>
    <t xml:space="preserve">0714403001</t>
  </si>
  <si>
    <t xml:space="preserve">202 PEPPERIDGE RD</t>
  </si>
  <si>
    <t xml:space="preserve">HALDIMANN  IAN &amp; ALISON</t>
  </si>
  <si>
    <t xml:space="preserve">07-14-412-023</t>
  </si>
  <si>
    <t xml:space="preserve">0714412023</t>
  </si>
  <si>
    <t xml:space="preserve">85 CLAREMONT DR</t>
  </si>
  <si>
    <t xml:space="preserve">APEX REALTY INVESTMENTS I LLC</t>
  </si>
  <si>
    <t xml:space="preserve">07-15-107-094</t>
  </si>
  <si>
    <t xml:space="preserve">0715107094</t>
  </si>
  <si>
    <t xml:space="preserve">1935 GOLDEN GATE LN</t>
  </si>
  <si>
    <t xml:space="preserve">CULLEN  RICHARD</t>
  </si>
  <si>
    <t xml:space="preserve">07-15-109-032</t>
  </si>
  <si>
    <t xml:space="preserve">0715109032</t>
  </si>
  <si>
    <t xml:space="preserve">2866 BOND CIR</t>
  </si>
  <si>
    <t xml:space="preserve">SENGUPTA  A &amp; T DAS</t>
  </si>
  <si>
    <t xml:space="preserve">07-15-206-026</t>
  </si>
  <si>
    <t xml:space="preserve">0715206026</t>
  </si>
  <si>
    <t xml:space="preserve">1630 HINTERLONG LN</t>
  </si>
  <si>
    <t xml:space="preserve">REDDY  RAJASEKHARA C</t>
  </si>
  <si>
    <t xml:space="preserve">07-15-211-094</t>
  </si>
  <si>
    <t xml:space="preserve">0715211094</t>
  </si>
  <si>
    <t xml:space="preserve">1605 WINDWARD AVE</t>
  </si>
  <si>
    <t xml:space="preserve">KASILINGAM  MURUGESH</t>
  </si>
  <si>
    <t xml:space="preserve">07-16-201-029</t>
  </si>
  <si>
    <t xml:space="preserve">0716201029</t>
  </si>
  <si>
    <t xml:space="preserve">522 FAIRWAY DR</t>
  </si>
  <si>
    <t xml:space="preserve">DUNCAN JR  R &amp; J JONES</t>
  </si>
  <si>
    <t xml:space="preserve">07-17-105-019</t>
  </si>
  <si>
    <t xml:space="preserve">0717105019</t>
  </si>
  <si>
    <t xml:space="preserve">1130 OLD ELOA RD</t>
  </si>
  <si>
    <t xml:space="preserve">KELLER  OLIVIA L</t>
  </si>
  <si>
    <t xml:space="preserve">07-17-105-020</t>
  </si>
  <si>
    <t xml:space="preserve">0717105020</t>
  </si>
  <si>
    <t xml:space="preserve">6S244 EOLA RD</t>
  </si>
  <si>
    <t xml:space="preserve">EOLA</t>
  </si>
  <si>
    <t xml:space="preserve">ANVARBEKOVA &amp; DORONBEKOV</t>
  </si>
  <si>
    <t xml:space="preserve">07-18-105-010</t>
  </si>
  <si>
    <t xml:space="preserve">0718105010</t>
  </si>
  <si>
    <t xml:space="preserve">970 WATERSIDE CT</t>
  </si>
  <si>
    <t xml:space="preserve">BROWN  LARRY &amp; SHANNON</t>
  </si>
  <si>
    <t xml:space="preserve">07-18-305-009</t>
  </si>
  <si>
    <t xml:space="preserve">0718305009</t>
  </si>
  <si>
    <t xml:space="preserve">2244 TREMONT AVE</t>
  </si>
  <si>
    <t xml:space="preserve">SRIRANGAN  ANUPAMA</t>
  </si>
  <si>
    <t xml:space="preserve">07-18-413-110</t>
  </si>
  <si>
    <t xml:space="preserve">0718413110</t>
  </si>
  <si>
    <t xml:space="preserve">1047 WOODVIEW CT</t>
  </si>
  <si>
    <t xml:space="preserve">KATYAL  PARAS</t>
  </si>
  <si>
    <t xml:space="preserve">07-19-104-202</t>
  </si>
  <si>
    <t xml:space="preserve">0719104202</t>
  </si>
  <si>
    <t xml:space="preserve">2258 REFLECTIONS DR</t>
  </si>
  <si>
    <t xml:space="preserve">ERGESHOV  MURAT</t>
  </si>
  <si>
    <t xml:space="preserve">07-19-316-023</t>
  </si>
  <si>
    <t xml:space="preserve">0719316023</t>
  </si>
  <si>
    <t xml:space="preserve">2345 STOUGHTON CIR</t>
  </si>
  <si>
    <t xml:space="preserve">MAHER  RONDA &amp; DOUGLAS</t>
  </si>
  <si>
    <t xml:space="preserve">07-20-313-017</t>
  </si>
  <si>
    <t xml:space="preserve">0720313017</t>
  </si>
  <si>
    <t xml:space="preserve">3010 WATERS EDGE CIR</t>
  </si>
  <si>
    <t xml:space="preserve">JUAREZ  MARIO</t>
  </si>
  <si>
    <t xml:space="preserve">07-20-314-069</t>
  </si>
  <si>
    <t xml:space="preserve">0720314069</t>
  </si>
  <si>
    <t xml:space="preserve">170 HEATHER GLEN DR</t>
  </si>
  <si>
    <t xml:space="preserve">1417 E 87TH LLC</t>
  </si>
  <si>
    <t xml:space="preserve">07-20-406-042</t>
  </si>
  <si>
    <t xml:space="preserve">0720406042</t>
  </si>
  <si>
    <t xml:space="preserve">360 SPRINGLAKE LN # B</t>
  </si>
  <si>
    <t xml:space="preserve">HORVATH  CHARLES</t>
  </si>
  <si>
    <t xml:space="preserve">07-20-410-046</t>
  </si>
  <si>
    <t xml:space="preserve">0720410046</t>
  </si>
  <si>
    <t xml:space="preserve">435 SOMERSET CT # B</t>
  </si>
  <si>
    <t xml:space="preserve">ARSHAD  AHMAD &amp; S YAWARI</t>
  </si>
  <si>
    <t xml:space="preserve">07-20-411-014</t>
  </si>
  <si>
    <t xml:space="preserve">0720411014</t>
  </si>
  <si>
    <t xml:space="preserve">305 JONQUIL CT</t>
  </si>
  <si>
    <t xml:space="preserve">DOCTOR YE LLC</t>
  </si>
  <si>
    <t xml:space="preserve">07-20-416-006</t>
  </si>
  <si>
    <t xml:space="preserve">0720416006</t>
  </si>
  <si>
    <t xml:space="preserve">327 SHADYBROOK LN</t>
  </si>
  <si>
    <t xml:space="preserve">URZHANOV  SALAMAT &amp; B KALMAKOVA</t>
  </si>
  <si>
    <t xml:space="preserve">07-20-423-010</t>
  </si>
  <si>
    <t xml:space="preserve">0720423010</t>
  </si>
  <si>
    <t xml:space="preserve">353 N COMMERCE ST</t>
  </si>
  <si>
    <t xml:space="preserve">MEKAPATI  PATTABHI R</t>
  </si>
  <si>
    <t xml:space="preserve">07-21-101-028</t>
  </si>
  <si>
    <t xml:space="preserve">0721101028</t>
  </si>
  <si>
    <t xml:space="preserve">462 GROSVENOR LN</t>
  </si>
  <si>
    <t xml:space="preserve">HO  G &amp; S CHUNG</t>
  </si>
  <si>
    <t xml:space="preserve">07-21-211-109</t>
  </si>
  <si>
    <t xml:space="preserve">0721211109</t>
  </si>
  <si>
    <t xml:space="preserve">797 LEWISBURG LN</t>
  </si>
  <si>
    <t xml:space="preserve">PITTU  JAYA SANKARA REDDY</t>
  </si>
  <si>
    <t xml:space="preserve">07-21-211-192</t>
  </si>
  <si>
    <t xml:space="preserve">0721211192</t>
  </si>
  <si>
    <t xml:space="preserve">807 BRODHEAD DR</t>
  </si>
  <si>
    <t xml:space="preserve">07-21-306-212</t>
  </si>
  <si>
    <t xml:space="preserve">0721306212</t>
  </si>
  <si>
    <t xml:space="preserve">121 GREGORY ST # 8</t>
  </si>
  <si>
    <t xml:space="preserve">WINFIELD  ELBA</t>
  </si>
  <si>
    <t xml:space="preserve">07-21-306-221</t>
  </si>
  <si>
    <t xml:space="preserve">0721306221</t>
  </si>
  <si>
    <t xml:space="preserve">129 N GREGORY ST # 16-17</t>
  </si>
  <si>
    <t xml:space="preserve">DE DIOS CASTELLANOS  JUAN</t>
  </si>
  <si>
    <t xml:space="preserve">07-21-308-025</t>
  </si>
  <si>
    <t xml:space="preserve">0721308025</t>
  </si>
  <si>
    <t xml:space="preserve">109 GREGORY ST # 13</t>
  </si>
  <si>
    <t xml:space="preserve">LI  SHOUJU &amp; CHI LAW</t>
  </si>
  <si>
    <t xml:space="preserve">07-21-310-016</t>
  </si>
  <si>
    <t xml:space="preserve">0721310016</t>
  </si>
  <si>
    <t xml:space="preserve">337 PEPPERTREE LN</t>
  </si>
  <si>
    <t xml:space="preserve">PUSCHKAR  KARI L</t>
  </si>
  <si>
    <t xml:space="preserve">07-21-311-043</t>
  </si>
  <si>
    <t xml:space="preserve">0721311043</t>
  </si>
  <si>
    <t xml:space="preserve">212 RAINTREE CT</t>
  </si>
  <si>
    <t xml:space="preserve">CHEN  CHEN JU</t>
  </si>
  <si>
    <t xml:space="preserve">07-22-311-019</t>
  </si>
  <si>
    <t xml:space="preserve">0722311019</t>
  </si>
  <si>
    <t xml:space="preserve">2520 ARCADIA CIR</t>
  </si>
  <si>
    <t xml:space="preserve">KIM  DONGCHEOL</t>
  </si>
  <si>
    <t xml:space="preserve">07-22-311-032</t>
  </si>
  <si>
    <t xml:space="preserve">0722311032</t>
  </si>
  <si>
    <t xml:space="preserve">2561 ARCADIA CIR</t>
  </si>
  <si>
    <t xml:space="preserve">BEUTLER  ROGER &amp; CAROL</t>
  </si>
  <si>
    <t xml:space="preserve">07-22-311-047</t>
  </si>
  <si>
    <t xml:space="preserve">0722311047</t>
  </si>
  <si>
    <t xml:space="preserve">2560 ARCADIA CIR # 121</t>
  </si>
  <si>
    <t xml:space="preserve">DIAZ DE LEON  MARSHA</t>
  </si>
  <si>
    <t xml:space="preserve">07-22-311-130</t>
  </si>
  <si>
    <t xml:space="preserve">0722311130</t>
  </si>
  <si>
    <t xml:space="preserve">2526 BORDEAUX LN</t>
  </si>
  <si>
    <t xml:space="preserve">DURANTE  S &amp; J BUZZELLI</t>
  </si>
  <si>
    <t xml:space="preserve">07-23-114-061</t>
  </si>
  <si>
    <t xml:space="preserve">0723114061</t>
  </si>
  <si>
    <t xml:space="preserve">1516 GEORGIA CT # A</t>
  </si>
  <si>
    <t xml:space="preserve">ZHANG  WEI</t>
  </si>
  <si>
    <t xml:space="preserve">07-23-303-014</t>
  </si>
  <si>
    <t xml:space="preserve">0723303014</t>
  </si>
  <si>
    <t xml:space="preserve">1412 AMBLESIDE CIR</t>
  </si>
  <si>
    <t xml:space="preserve">SPEARMAN  JEROME &amp; BETTY</t>
  </si>
  <si>
    <t xml:space="preserve">07-23-305-008</t>
  </si>
  <si>
    <t xml:space="preserve">0723305008</t>
  </si>
  <si>
    <t xml:space="preserve">1401 GREENLEE CT</t>
  </si>
  <si>
    <t xml:space="preserve">BUCHINGER  WILLIAM &amp; E A</t>
  </si>
  <si>
    <t xml:space="preserve">07-23-305-019</t>
  </si>
  <si>
    <t xml:space="preserve">0723305019</t>
  </si>
  <si>
    <t xml:space="preserve">654 OAKHURST DR</t>
  </si>
  <si>
    <t xml:space="preserve">MADDEN  MIRANDA</t>
  </si>
  <si>
    <t xml:space="preserve">07-23-403-022</t>
  </si>
  <si>
    <t xml:space="preserve">0723403022</t>
  </si>
  <si>
    <t xml:space="preserve">742 S RIVER RD</t>
  </si>
  <si>
    <t xml:space="preserve">TETTI  PAUL</t>
  </si>
  <si>
    <t xml:space="preserve">07-23-405-059</t>
  </si>
  <si>
    <t xml:space="preserve">0723405059</t>
  </si>
  <si>
    <t xml:space="preserve">1158 PALMETTO CT</t>
  </si>
  <si>
    <t xml:space="preserve">GORMAN  ALLYSON</t>
  </si>
  <si>
    <t xml:space="preserve">07-24-109-006</t>
  </si>
  <si>
    <t xml:space="preserve">0724109006</t>
  </si>
  <si>
    <t xml:space="preserve">323 CLAREMONT CT</t>
  </si>
  <si>
    <t xml:space="preserve">AYANGBILE  CYRIL &amp; CAROL</t>
  </si>
  <si>
    <t xml:space="preserve">07-24-411-022</t>
  </si>
  <si>
    <t xml:space="preserve">0724411022</t>
  </si>
  <si>
    <t xml:space="preserve">315 REDBUD DR</t>
  </si>
  <si>
    <t xml:space="preserve">THEIS  ROGER A</t>
  </si>
  <si>
    <t xml:space="preserve">07-24-413-006</t>
  </si>
  <si>
    <t xml:space="preserve">0724413006</t>
  </si>
  <si>
    <t xml:space="preserve">128 ROBIN HILL DR</t>
  </si>
  <si>
    <t xml:space="preserve">HIGGINS  GREGORY</t>
  </si>
  <si>
    <t xml:space="preserve">07-25-110-009</t>
  </si>
  <si>
    <t xml:space="preserve">0725110009</t>
  </si>
  <si>
    <t xml:space="preserve">932 MERRIMAC CIR</t>
  </si>
  <si>
    <t xml:space="preserve">ROYALS JR  THOMAS</t>
  </si>
  <si>
    <t xml:space="preserve">07-25-400-065</t>
  </si>
  <si>
    <t xml:space="preserve">0725400065</t>
  </si>
  <si>
    <t xml:space="preserve">1383 RENNET DR</t>
  </si>
  <si>
    <t xml:space="preserve">KWILOSZ  BRIAN &amp; N</t>
  </si>
  <si>
    <t xml:space="preserve">07-25-406-046</t>
  </si>
  <si>
    <t xml:space="preserve">0725406046</t>
  </si>
  <si>
    <t xml:space="preserve">1443 BALDWIN DR</t>
  </si>
  <si>
    <t xml:space="preserve">HAMIK  WILLIAM</t>
  </si>
  <si>
    <t xml:space="preserve">07-26-206-093</t>
  </si>
  <si>
    <t xml:space="preserve">0726206093</t>
  </si>
  <si>
    <t xml:space="preserve">1305 RHODES LN</t>
  </si>
  <si>
    <t xml:space="preserve">KAPOOR  LOVE</t>
  </si>
  <si>
    <t xml:space="preserve">07-27-101-086</t>
  </si>
  <si>
    <t xml:space="preserve">0727101086</t>
  </si>
  <si>
    <t xml:space="preserve">2977 HENLEY LN</t>
  </si>
  <si>
    <t xml:space="preserve">CHUA  K &amp; W WEI</t>
  </si>
  <si>
    <t xml:space="preserve">07-27-101-225</t>
  </si>
  <si>
    <t xml:space="preserve">0727101225</t>
  </si>
  <si>
    <t xml:space="preserve">809 PAISLEY CT</t>
  </si>
  <si>
    <t xml:space="preserve">LIU  PEITONG</t>
  </si>
  <si>
    <t xml:space="preserve">07-27-107-111</t>
  </si>
  <si>
    <t xml:space="preserve">0727107111</t>
  </si>
  <si>
    <t xml:space="preserve">2543 DUNRAVEN AVE</t>
  </si>
  <si>
    <t xml:space="preserve">PENG  JUI KUN</t>
  </si>
  <si>
    <t xml:space="preserve">07-27-205-001</t>
  </si>
  <si>
    <t xml:space="preserve">0727205001</t>
  </si>
  <si>
    <t xml:space="preserve">1087 SELMA LN</t>
  </si>
  <si>
    <t xml:space="preserve">NAGARAJAN  S &amp; T SUDHAGAR</t>
  </si>
  <si>
    <t xml:space="preserve">07-28-404-010</t>
  </si>
  <si>
    <t xml:space="preserve">0728404010</t>
  </si>
  <si>
    <t xml:space="preserve">4156 IRVING RD</t>
  </si>
  <si>
    <t xml:space="preserve">KODIROV  D &amp; N MURODOVA</t>
  </si>
  <si>
    <t xml:space="preserve">07-28-404-029</t>
  </si>
  <si>
    <t xml:space="preserve">0728404029</t>
  </si>
  <si>
    <t xml:space="preserve">4168 IRVING RD</t>
  </si>
  <si>
    <t xml:space="preserve">PATEL  HIREN M</t>
  </si>
  <si>
    <t xml:space="preserve">07-28-406-022</t>
  </si>
  <si>
    <t xml:space="preserve">0728406022</t>
  </si>
  <si>
    <t xml:space="preserve">840 FINLEY DR</t>
  </si>
  <si>
    <t xml:space="preserve">DEVGON  BHASKAR</t>
  </si>
  <si>
    <t xml:space="preserve">07-28-406-026</t>
  </si>
  <si>
    <t xml:space="preserve">0728406026</t>
  </si>
  <si>
    <t xml:space="preserve">856 FINLEY DR</t>
  </si>
  <si>
    <t xml:space="preserve">WORKMAN  RODNEY</t>
  </si>
  <si>
    <t xml:space="preserve">07-29-111-010</t>
  </si>
  <si>
    <t xml:space="preserve">0729111010</t>
  </si>
  <si>
    <t xml:space="preserve">336 NEWPORT LN</t>
  </si>
  <si>
    <t xml:space="preserve">RIGAS  TED &amp; CONSTANTINE</t>
  </si>
  <si>
    <t xml:space="preserve">07-29-123-041</t>
  </si>
  <si>
    <t xml:space="preserve">0729123041</t>
  </si>
  <si>
    <t xml:space="preserve">3027 ANTON DR</t>
  </si>
  <si>
    <t xml:space="preserve">REHMAN  RAJA H</t>
  </si>
  <si>
    <t xml:space="preserve">07-29-216-013</t>
  </si>
  <si>
    <t xml:space="preserve">0729216013</t>
  </si>
  <si>
    <t xml:space="preserve">422 PARK RIDGE LN # 2-E</t>
  </si>
  <si>
    <t xml:space="preserve">FERGUSON  ANNA</t>
  </si>
  <si>
    <t xml:space="preserve">07-29-419-124</t>
  </si>
  <si>
    <t xml:space="preserve">0729419124</t>
  </si>
  <si>
    <t xml:space="preserve">3357 RAVINIA CIR</t>
  </si>
  <si>
    <t xml:space="preserve">NING  JIE</t>
  </si>
  <si>
    <t xml:space="preserve">07-30-412-005</t>
  </si>
  <si>
    <t xml:space="preserve">0730412005</t>
  </si>
  <si>
    <t xml:space="preserve">2748 SHELLY LN</t>
  </si>
  <si>
    <t xml:space="preserve">DEXTER THORNTON  CATHY</t>
  </si>
  <si>
    <t xml:space="preserve">07-31-110-030</t>
  </si>
  <si>
    <t xml:space="preserve">0731110030</t>
  </si>
  <si>
    <t xml:space="preserve">2460 HARBOR CT</t>
  </si>
  <si>
    <t xml:space="preserve">YEATES  TODD ANDREW</t>
  </si>
  <si>
    <t xml:space="preserve">07-31-303-061</t>
  </si>
  <si>
    <t xml:space="preserve">0731303061</t>
  </si>
  <si>
    <t xml:space="preserve">2499 BROOK LN</t>
  </si>
  <si>
    <t xml:space="preserve">DAVIS  DEMETRIUS L</t>
  </si>
  <si>
    <t xml:space="preserve">07-31-312-012</t>
  </si>
  <si>
    <t xml:space="preserve">0731312012</t>
  </si>
  <si>
    <t xml:space="preserve">2291 BANNISTER LN</t>
  </si>
  <si>
    <t xml:space="preserve">RUSSELL  LEWIS &amp; MARJORIE</t>
  </si>
  <si>
    <t xml:space="preserve">07-31-313-001</t>
  </si>
  <si>
    <t xml:space="preserve">0731313001</t>
  </si>
  <si>
    <t xml:space="preserve">1650 KAUTZ RD</t>
  </si>
  <si>
    <t xml:space="preserve">JANSA  MARY TREACY</t>
  </si>
  <si>
    <t xml:space="preserve">07-31-315-036</t>
  </si>
  <si>
    <t xml:space="preserve">0731315036</t>
  </si>
  <si>
    <t xml:space="preserve">2445 BRISTOL CT</t>
  </si>
  <si>
    <t xml:space="preserve">VYAS  NIPAM &amp; JIGNASABEN</t>
  </si>
  <si>
    <t xml:space="preserve">07-31-402-009</t>
  </si>
  <si>
    <t xml:space="preserve">0731402009</t>
  </si>
  <si>
    <t xml:space="preserve">2504 BROOK LN</t>
  </si>
  <si>
    <t xml:space="preserve">GRAY  ROBERT M &amp; KARLA L</t>
  </si>
  <si>
    <t xml:space="preserve">07-32-202-023</t>
  </si>
  <si>
    <t xml:space="preserve">0732202023</t>
  </si>
  <si>
    <t xml:space="preserve">963 MEADOWRIDGE DR</t>
  </si>
  <si>
    <t xml:space="preserve">MUKHERJEE  D &amp; P CHAKRABORTY</t>
  </si>
  <si>
    <t xml:space="preserve">07-32-207-017</t>
  </si>
  <si>
    <t xml:space="preserve">0732207017</t>
  </si>
  <si>
    <t xml:space="preserve">3401 CHARLEMAINE DR</t>
  </si>
  <si>
    <t xml:space="preserve">MANNING  BARRETT &amp; P</t>
  </si>
  <si>
    <t xml:space="preserve">07-32-302-023</t>
  </si>
  <si>
    <t xml:space="preserve">0732302023</t>
  </si>
  <si>
    <t xml:space="preserve">3068 QUINCY LN</t>
  </si>
  <si>
    <t xml:space="preserve">MALDONADO  MARIA</t>
  </si>
  <si>
    <t xml:space="preserve">07-32-313-011</t>
  </si>
  <si>
    <t xml:space="preserve">0732313011</t>
  </si>
  <si>
    <t xml:space="preserve">3120 JOHNSBURY LN</t>
  </si>
  <si>
    <t xml:space="preserve">DEVULAPALLI  SRINIVAS</t>
  </si>
  <si>
    <t xml:space="preserve">07-33-204-010</t>
  </si>
  <si>
    <t xml:space="preserve">0733204010</t>
  </si>
  <si>
    <t xml:space="preserve">1288 STONEHAVEN CIR</t>
  </si>
  <si>
    <t xml:space="preserve">STAWSKI  STANLEY</t>
  </si>
  <si>
    <t xml:space="preserve">08-01-407-010</t>
  </si>
  <si>
    <t xml:space="preserve">0801407010</t>
  </si>
  <si>
    <t xml:space="preserve">4421 WILSON AVE</t>
  </si>
  <si>
    <t xml:space="preserve">HEDDEN  SEAN &amp; MICHELE</t>
  </si>
  <si>
    <t xml:space="preserve">08-01-415-036</t>
  </si>
  <si>
    <t xml:space="preserve">0801415036</t>
  </si>
  <si>
    <t xml:space="preserve">4407 S PERSHING AVE # 3S</t>
  </si>
  <si>
    <t xml:space="preserve">KLAMA  MARK</t>
  </si>
  <si>
    <t xml:space="preserve">08-03-419-009</t>
  </si>
  <si>
    <t xml:space="preserve">0803419009</t>
  </si>
  <si>
    <t xml:space="preserve">1107 SOUTHPORT AVE</t>
  </si>
  <si>
    <t xml:space="preserve">LISLE</t>
  </si>
  <si>
    <t xml:space="preserve">LISLE PROPERTIES LTD</t>
  </si>
  <si>
    <t xml:space="preserve">08-04-200-090</t>
  </si>
  <si>
    <t xml:space="preserve">0804200090</t>
  </si>
  <si>
    <t xml:space="preserve">2165 LILLIAN LN</t>
  </si>
  <si>
    <t xml:space="preserve">CTLTC # 8002380668</t>
  </si>
  <si>
    <t xml:space="preserve">08-04-210-022</t>
  </si>
  <si>
    <t xml:space="preserve">0804210022</t>
  </si>
  <si>
    <t xml:space="preserve">1999 FIONA LN</t>
  </si>
  <si>
    <t xml:space="preserve">JANOVICS  DIANA B &amp;ANDREW</t>
  </si>
  <si>
    <t xml:space="preserve">08-04-303-007</t>
  </si>
  <si>
    <t xml:space="preserve">0804303007</t>
  </si>
  <si>
    <t xml:space="preserve">4523 FENDER RD</t>
  </si>
  <si>
    <t xml:space="preserve">HAIDLEY  MICHAEL&amp;CHARLENE</t>
  </si>
  <si>
    <t xml:space="preserve">08-04-304-024</t>
  </si>
  <si>
    <t xml:space="preserve">0804304024</t>
  </si>
  <si>
    <t xml:space="preserve">4452 BURGUNDY PL</t>
  </si>
  <si>
    <t xml:space="preserve">HUERTA  ROBERTO</t>
  </si>
  <si>
    <t xml:space="preserve">08-04-412-005</t>
  </si>
  <si>
    <t xml:space="preserve">0804412005</t>
  </si>
  <si>
    <t xml:space="preserve">2301 BEAU MONDE BLVD # 105</t>
  </si>
  <si>
    <t xml:space="preserve">LISLE PLACE CONDO ASSOC</t>
  </si>
  <si>
    <t xml:space="preserve">08-04-412-180</t>
  </si>
  <si>
    <t xml:space="preserve">0804412180</t>
  </si>
  <si>
    <t xml:space="preserve">2300 BEAU MONDE TER # 211</t>
  </si>
  <si>
    <t xml:space="preserve">LUGO  VERONICA A</t>
  </si>
  <si>
    <t xml:space="preserve">08-04-412-238</t>
  </si>
  <si>
    <t xml:space="preserve">0804412238</t>
  </si>
  <si>
    <t xml:space="preserve">4518 BEAU MONDE DR # 201</t>
  </si>
  <si>
    <t xml:space="preserve">VALIKA  ALI &amp; SAKINA</t>
  </si>
  <si>
    <t xml:space="preserve">08-06-403-032</t>
  </si>
  <si>
    <t xml:space="preserve">0806403032</t>
  </si>
  <si>
    <t xml:space="preserve">541 BRAEMAR AVE</t>
  </si>
  <si>
    <t xml:space="preserve">FUSSEL  RYAN W</t>
  </si>
  <si>
    <t xml:space="preserve">08-07-306-004</t>
  </si>
  <si>
    <t xml:space="preserve">0807306004</t>
  </si>
  <si>
    <t xml:space="preserve">1112 N BRAINARD ST</t>
  </si>
  <si>
    <t xml:space="preserve">LENERT  P &amp; K DALTON</t>
  </si>
  <si>
    <t xml:space="preserve">08-07-313-002</t>
  </si>
  <si>
    <t xml:space="preserve">0807313002</t>
  </si>
  <si>
    <t xml:space="preserve">822 N WASHINGTON ST</t>
  </si>
  <si>
    <t xml:space="preserve">GUTIERREZ  ADELINA</t>
  </si>
  <si>
    <t xml:space="preserve">08-09-209-033</t>
  </si>
  <si>
    <t xml:space="preserve">0809209033</t>
  </si>
  <si>
    <t xml:space="preserve">2004 BURLINGTON AVE</t>
  </si>
  <si>
    <t xml:space="preserve">WROBEL  JEROME R</t>
  </si>
  <si>
    <t xml:space="preserve">08-09-213-006</t>
  </si>
  <si>
    <t xml:space="preserve">0809213006</t>
  </si>
  <si>
    <t xml:space="preserve">4735 YENDER AVE # 6</t>
  </si>
  <si>
    <t xml:space="preserve">SHENG  CHENGHONG</t>
  </si>
  <si>
    <t xml:space="preserve">08-09-312-012</t>
  </si>
  <si>
    <t xml:space="preserve">0809312012</t>
  </si>
  <si>
    <t xml:space="preserve">5S752 MALIBU LN</t>
  </si>
  <si>
    <t xml:space="preserve">GUERRO GONZALEZ  ALVARO &amp; JOSE</t>
  </si>
  <si>
    <t xml:space="preserve">08-10-105-017</t>
  </si>
  <si>
    <t xml:space="preserve">0810105017</t>
  </si>
  <si>
    <t xml:space="preserve">4727 RIVER DR</t>
  </si>
  <si>
    <t xml:space="preserve">UDDIN  M &amp; A FAHEEM</t>
  </si>
  <si>
    <t xml:space="preserve">08-10-203-006</t>
  </si>
  <si>
    <t xml:space="preserve">0810203006</t>
  </si>
  <si>
    <t xml:space="preserve">4715 MC KINLEY AVE</t>
  </si>
  <si>
    <t xml:space="preserve">HASS  MARGARET</t>
  </si>
  <si>
    <t xml:space="preserve">08-10-226-005</t>
  </si>
  <si>
    <t xml:space="preserve">0810226005</t>
  </si>
  <si>
    <t xml:space="preserve">4916 MAIN ST # 5</t>
  </si>
  <si>
    <t xml:space="preserve">L&amp;L NORTHWEST RESIDENTIAL LLC</t>
  </si>
  <si>
    <t xml:space="preserve">08-11-304-009</t>
  </si>
  <si>
    <t xml:space="preserve">0811304009</t>
  </si>
  <si>
    <t xml:space="preserve">752 ROLLING DR</t>
  </si>
  <si>
    <t xml:space="preserve">ANG  MICHAEL &amp; JESSICA</t>
  </si>
  <si>
    <t xml:space="preserve">08-11-411-042</t>
  </si>
  <si>
    <t xml:space="preserve">0811411042</t>
  </si>
  <si>
    <t xml:space="preserve">5300 S WALNUT AVE # 18-B</t>
  </si>
  <si>
    <t xml:space="preserve">HOUILLON  ABIGAIL</t>
  </si>
  <si>
    <t xml:space="preserve">08-13-103-006</t>
  </si>
  <si>
    <t xml:space="preserve">0813103006</t>
  </si>
  <si>
    <t xml:space="preserve">5555 ELINOR AVE</t>
  </si>
  <si>
    <t xml:space="preserve">FREEMAN  NATHANIAL &amp; NATALIE</t>
  </si>
  <si>
    <t xml:space="preserve">08-13-106-004</t>
  </si>
  <si>
    <t xml:space="preserve">0813106004</t>
  </si>
  <si>
    <t xml:space="preserve">2417 MAPLE AVE</t>
  </si>
  <si>
    <t xml:space="preserve">MIDWEST MGMT HOLDINGS LLC</t>
  </si>
  <si>
    <t xml:space="preserve">08-13-208-005</t>
  </si>
  <si>
    <t xml:space="preserve">0813208005</t>
  </si>
  <si>
    <t xml:space="preserve">2017 MAPLE AVE</t>
  </si>
  <si>
    <t xml:space="preserve">EMINI  EMIN</t>
  </si>
  <si>
    <t xml:space="preserve">08-13-406-043</t>
  </si>
  <si>
    <t xml:space="preserve">0813406043</t>
  </si>
  <si>
    <t xml:space="preserve">59TH ST</t>
  </si>
  <si>
    <t xml:space="preserve">08-13-419-037</t>
  </si>
  <si>
    <t xml:space="preserve">0813419037</t>
  </si>
  <si>
    <t xml:space="preserve">21W070 63RD ST</t>
  </si>
  <si>
    <t xml:space="preserve">DLKC LLC</t>
  </si>
  <si>
    <t xml:space="preserve">08-15-105-122</t>
  </si>
  <si>
    <t xml:space="preserve">0815105122</t>
  </si>
  <si>
    <t xml:space="preserve">5522 E LAKE DR # B</t>
  </si>
  <si>
    <t xml:space="preserve">MC DONAGH  BAILEY</t>
  </si>
  <si>
    <t xml:space="preserve">08-15-108-147</t>
  </si>
  <si>
    <t xml:space="preserve">0815108147</t>
  </si>
  <si>
    <t xml:space="preserve">5820 OAKWOOD DR # 3C</t>
  </si>
  <si>
    <t xml:space="preserve">JACKSON  MARY ANN</t>
  </si>
  <si>
    <t xml:space="preserve">08-15-301-045</t>
  </si>
  <si>
    <t xml:space="preserve">0815301045</t>
  </si>
  <si>
    <t xml:space="preserve">1726 DIXON DR</t>
  </si>
  <si>
    <t xml:space="preserve">SEKOWSKI  JOHN B</t>
  </si>
  <si>
    <t xml:space="preserve">08-15-312-056</t>
  </si>
  <si>
    <t xml:space="preserve">0815312056</t>
  </si>
  <si>
    <t xml:space="preserve">5938 GREENVIEW RD</t>
  </si>
  <si>
    <t xml:space="preserve">CZAPKA  KRZYSZTOF &amp; EWA</t>
  </si>
  <si>
    <t xml:space="preserve">08-15-313-016</t>
  </si>
  <si>
    <t xml:space="preserve">0815313016</t>
  </si>
  <si>
    <t xml:space="preserve">5931 OAKWOOD DR # 142-A</t>
  </si>
  <si>
    <t xml:space="preserve">SOSA  JOSE</t>
  </si>
  <si>
    <t xml:space="preserve">08-15-319-262</t>
  </si>
  <si>
    <t xml:space="preserve">0815319262</t>
  </si>
  <si>
    <t xml:space="preserve">5950 OAKWOOD DR # 5K</t>
  </si>
  <si>
    <t xml:space="preserve">PFEIFER  MICHAEL &amp; JANET</t>
  </si>
  <si>
    <t xml:space="preserve">08-16-101-047</t>
  </si>
  <si>
    <t xml:space="preserve">0816101047</t>
  </si>
  <si>
    <t xml:space="preserve">6S651 AVON CT</t>
  </si>
  <si>
    <t xml:space="preserve">URIBE  JOSE</t>
  </si>
  <si>
    <t xml:space="preserve">08-17-108-007</t>
  </si>
  <si>
    <t xml:space="preserve">0817108007</t>
  </si>
  <si>
    <t xml:space="preserve">1133 ANDOVER CT</t>
  </si>
  <si>
    <t xml:space="preserve">BAKER  JOHN T &amp; HELEN M</t>
  </si>
  <si>
    <t xml:space="preserve">08-17-204-003</t>
  </si>
  <si>
    <t xml:space="preserve">0817204003</t>
  </si>
  <si>
    <t xml:space="preserve">6S252 COHASSET RD</t>
  </si>
  <si>
    <t xml:space="preserve">SYNNOTT  J BRUCE &amp; P A</t>
  </si>
  <si>
    <t xml:space="preserve">08-17-209-009</t>
  </si>
  <si>
    <t xml:space="preserve">0817209009</t>
  </si>
  <si>
    <t xml:space="preserve">25W150 BRANDYWINE CT</t>
  </si>
  <si>
    <t xml:space="preserve">MAITLAND  ANNA</t>
  </si>
  <si>
    <t xml:space="preserve">08-17-315-015</t>
  </si>
  <si>
    <t xml:space="preserve">0817315015</t>
  </si>
  <si>
    <t xml:space="preserve">107 OLESEN DR # 3E</t>
  </si>
  <si>
    <t xml:space="preserve">FREDERICK  GREGORY &amp; K</t>
  </si>
  <si>
    <t xml:space="preserve">08-18-204-009</t>
  </si>
  <si>
    <t xml:space="preserve">0818204009</t>
  </si>
  <si>
    <t xml:space="preserve">631 NORTH AVE</t>
  </si>
  <si>
    <t xml:space="preserve">GIESE  RUSSELL J</t>
  </si>
  <si>
    <t xml:space="preserve">08-18-402-008</t>
  </si>
  <si>
    <t xml:space="preserve">0818402008</t>
  </si>
  <si>
    <t xml:space="preserve">104 N HUFFMAN ST</t>
  </si>
  <si>
    <t xml:space="preserve">FLYNN  THOMAS F</t>
  </si>
  <si>
    <t xml:space="preserve">08-18-408-006</t>
  </si>
  <si>
    <t xml:space="preserve">0818408006</t>
  </si>
  <si>
    <t xml:space="preserve">730 E BENTON AVE</t>
  </si>
  <si>
    <t xml:space="preserve">CAPOUCH TRUSTEE  ERNEST J</t>
  </si>
  <si>
    <t xml:space="preserve">08-19-216-010</t>
  </si>
  <si>
    <t xml:space="preserve">0819216010</t>
  </si>
  <si>
    <t xml:space="preserve">735 PARKSIDE RD</t>
  </si>
  <si>
    <t xml:space="preserve">TAYLOR  CHAD &amp; DENISE</t>
  </si>
  <si>
    <t xml:space="preserve">08-19-404-021</t>
  </si>
  <si>
    <t xml:space="preserve">0819404021</t>
  </si>
  <si>
    <t xml:space="preserve">699 CAVALCADE CIR</t>
  </si>
  <si>
    <t xml:space="preserve">DROGOSZ  DONALD &amp; ELSIE</t>
  </si>
  <si>
    <t xml:space="preserve">08-20-307-007</t>
  </si>
  <si>
    <t xml:space="preserve">0820307007</t>
  </si>
  <si>
    <t xml:space="preserve">1136 CHATEAUGAY AVE</t>
  </si>
  <si>
    <t xml:space="preserve">KANNRY  BRUCE P &amp; NANCY</t>
  </si>
  <si>
    <t xml:space="preserve">08-20-307-017</t>
  </si>
  <si>
    <t xml:space="preserve">0820307017</t>
  </si>
  <si>
    <t xml:space="preserve">1206 CHATEAUGAY AVE</t>
  </si>
  <si>
    <t xml:space="preserve">WESTERGREN  SANDRA J</t>
  </si>
  <si>
    <t xml:space="preserve">08-21-112-014</t>
  </si>
  <si>
    <t xml:space="preserve">0821112014</t>
  </si>
  <si>
    <t xml:space="preserve">6604 FERNWOOD DR</t>
  </si>
  <si>
    <t xml:space="preserve">MC CORMICK  CORBETT G</t>
  </si>
  <si>
    <t xml:space="preserve">08-21-115-015</t>
  </si>
  <si>
    <t xml:space="preserve">0821115015</t>
  </si>
  <si>
    <t xml:space="preserve">2774 GREENFIELD DR</t>
  </si>
  <si>
    <t xml:space="preserve">LIU  TIAN</t>
  </si>
  <si>
    <t xml:space="preserve">08-21-205-013</t>
  </si>
  <si>
    <t xml:space="preserve">0821205013</t>
  </si>
  <si>
    <t xml:space="preserve">2445 TANGLEWOOD DR</t>
  </si>
  <si>
    <t xml:space="preserve">FREHSE  GALE A    TRUST</t>
  </si>
  <si>
    <t xml:space="preserve">08-21-207-008</t>
  </si>
  <si>
    <t xml:space="preserve">0821207008</t>
  </si>
  <si>
    <t xml:space="preserve">6404 WOODSBRIAR CT</t>
  </si>
  <si>
    <t xml:space="preserve">AZBELL  BRADLEY</t>
  </si>
  <si>
    <t xml:space="preserve">08-21-308-018</t>
  </si>
  <si>
    <t xml:space="preserve">0821308018</t>
  </si>
  <si>
    <t xml:space="preserve">2736 SUN VALLEY RD</t>
  </si>
  <si>
    <t xml:space="preserve">LI  MIN CHAO &amp; S HUANG</t>
  </si>
  <si>
    <t xml:space="preserve">08-22-112-006</t>
  </si>
  <si>
    <t xml:space="preserve">0822112006</t>
  </si>
  <si>
    <t xml:space="preserve">7S356 BALTUSROL LN</t>
  </si>
  <si>
    <t xml:space="preserve">HUANG  LISHA</t>
  </si>
  <si>
    <t xml:space="preserve">08-22-207-036</t>
  </si>
  <si>
    <t xml:space="preserve">0822207036</t>
  </si>
  <si>
    <t xml:space="preserve">6420 DOUBLE EAGLE DR # 508</t>
  </si>
  <si>
    <t xml:space="preserve">WOODRIDGE</t>
  </si>
  <si>
    <t xml:space="preserve">PETERSEN  ELEANOR</t>
  </si>
  <si>
    <t xml:space="preserve">08-23-401-038</t>
  </si>
  <si>
    <t xml:space="preserve">0823401038</t>
  </si>
  <si>
    <t xml:space="preserve">3104 ROBERTS DR # 5-6</t>
  </si>
  <si>
    <t xml:space="preserve">TEQUIMILA  ALEX &amp; KARLA CORTEZ</t>
  </si>
  <si>
    <t xml:space="preserve">08-23-401-066</t>
  </si>
  <si>
    <t xml:space="preserve">0823401066</t>
  </si>
  <si>
    <t xml:space="preserve">3018 ROBERTS DR # 9-2</t>
  </si>
  <si>
    <t xml:space="preserve">VODAK  MARCELINE</t>
  </si>
  <si>
    <t xml:space="preserve">08-24-101-004</t>
  </si>
  <si>
    <t xml:space="preserve">0824101004</t>
  </si>
  <si>
    <t xml:space="preserve">2659 HOBSON RD</t>
  </si>
  <si>
    <t xml:space="preserve">GRAF  RONALD W</t>
  </si>
  <si>
    <t xml:space="preserve">08-24-103-005</t>
  </si>
  <si>
    <t xml:space="preserve">0824103005</t>
  </si>
  <si>
    <t xml:space="preserve">2651 SOUTHCREST DR</t>
  </si>
  <si>
    <t xml:space="preserve">CAMPBELL  WALTER &amp; K</t>
  </si>
  <si>
    <t xml:space="preserve">08-24-315-019</t>
  </si>
  <si>
    <t xml:space="preserve">0824315019</t>
  </si>
  <si>
    <t xml:space="preserve">2597 YELLOW STAR ST</t>
  </si>
  <si>
    <t xml:space="preserve">FRANKLIN  JEFFREY &amp; DIXIE</t>
  </si>
  <si>
    <t xml:space="preserve">08-24-318-007</t>
  </si>
  <si>
    <t xml:space="preserve">0824318007</t>
  </si>
  <si>
    <t xml:space="preserve">6701 AUDUBON AVE</t>
  </si>
  <si>
    <t xml:space="preserve">PATEL  HARSHAD &amp; RASMIKA</t>
  </si>
  <si>
    <t xml:space="preserve">08-24-323-005</t>
  </si>
  <si>
    <t xml:space="preserve">0824323005</t>
  </si>
  <si>
    <t xml:space="preserve">2425 MANCHESTER CT # 31-A</t>
  </si>
  <si>
    <t xml:space="preserve">ALLARD  CHRISTINE M</t>
  </si>
  <si>
    <t xml:space="preserve">08-24-410-015</t>
  </si>
  <si>
    <t xml:space="preserve">0824410015</t>
  </si>
  <si>
    <t xml:space="preserve">2056 WHEELER ST</t>
  </si>
  <si>
    <t xml:space="preserve">YOUNG  SHEILA M</t>
  </si>
  <si>
    <t xml:space="preserve">08-24-423-001</t>
  </si>
  <si>
    <t xml:space="preserve">0824423001</t>
  </si>
  <si>
    <t xml:space="preserve">7000 DOVER CT # 101</t>
  </si>
  <si>
    <t xml:space="preserve">QUALKINBUSH  JOHN M</t>
  </si>
  <si>
    <t xml:space="preserve">08-24-423-087</t>
  </si>
  <si>
    <t xml:space="preserve">0824423087</t>
  </si>
  <si>
    <t xml:space="preserve">7010 BRIGHTON CT # 203</t>
  </si>
  <si>
    <t xml:space="preserve">08-24-423-110</t>
  </si>
  <si>
    <t xml:space="preserve">0824423110</t>
  </si>
  <si>
    <t xml:space="preserve">7020 BARRINGTON CT # 102</t>
  </si>
  <si>
    <t xml:space="preserve">HARRY  PHYLLIS</t>
  </si>
  <si>
    <t xml:space="preserve">08-25-105-013</t>
  </si>
  <si>
    <t xml:space="preserve">0825105013</t>
  </si>
  <si>
    <t xml:space="preserve">7207 CATALPA AVE</t>
  </si>
  <si>
    <t xml:space="preserve">CHICAGO TITLE TR</t>
  </si>
  <si>
    <t xml:space="preserve">08-25-300-054</t>
  </si>
  <si>
    <t xml:space="preserve">0825300054</t>
  </si>
  <si>
    <t xml:space="preserve">7530 LARCHWOOD LN</t>
  </si>
  <si>
    <t xml:space="preserve">ALI  RAFIA</t>
  </si>
  <si>
    <t xml:space="preserve">08-25-303-004</t>
  </si>
  <si>
    <t xml:space="preserve">0825303004</t>
  </si>
  <si>
    <t xml:space="preserve">2713 FOREST GLEN PKWY</t>
  </si>
  <si>
    <t xml:space="preserve">KUBICK  GUDELIA</t>
  </si>
  <si>
    <t xml:space="preserve">08-25-304-020</t>
  </si>
  <si>
    <t xml:space="preserve">0825304020</t>
  </si>
  <si>
    <t xml:space="preserve">7656 WILLOW AVE</t>
  </si>
  <si>
    <t xml:space="preserve">WALTER  JOHN M &amp; GAIL A</t>
  </si>
  <si>
    <t xml:space="preserve">08-25-310-004</t>
  </si>
  <si>
    <t xml:space="preserve">0825310004</t>
  </si>
  <si>
    <t xml:space="preserve">2747 JONQUIL LN</t>
  </si>
  <si>
    <t xml:space="preserve">MMT SERVICES LLC</t>
  </si>
  <si>
    <t xml:space="preserve">08-25-417-054</t>
  </si>
  <si>
    <t xml:space="preserve">0825417054</t>
  </si>
  <si>
    <t xml:space="preserve">7804 WOODWARD AVE</t>
  </si>
  <si>
    <t xml:space="preserve">RANCIK  JOHN &amp; K OAKLEY</t>
  </si>
  <si>
    <t xml:space="preserve">08-25-420-064</t>
  </si>
  <si>
    <t xml:space="preserve">0825420064</t>
  </si>
  <si>
    <t xml:space="preserve">2028 COUNTRY CLUB DR # 8G</t>
  </si>
  <si>
    <t xml:space="preserve">MONAGHAN  COLEEN</t>
  </si>
  <si>
    <t xml:space="preserve">08-25-422-018</t>
  </si>
  <si>
    <t xml:space="preserve">0825422018</t>
  </si>
  <si>
    <t xml:space="preserve">2263 COUNTRY CLUB DR</t>
  </si>
  <si>
    <t xml:space="preserve">COBBINS  PAULA</t>
  </si>
  <si>
    <t xml:space="preserve">08-25-422-064</t>
  </si>
  <si>
    <t xml:space="preserve">0825422064</t>
  </si>
  <si>
    <t xml:space="preserve">2013 COUNTRY CLUB DR # 14</t>
  </si>
  <si>
    <t xml:space="preserve">RUIZ  JOEL</t>
  </si>
  <si>
    <t xml:space="preserve">08-26-302-023</t>
  </si>
  <si>
    <t xml:space="preserve">0826302023</t>
  </si>
  <si>
    <t xml:space="preserve">7835 ROUTE 53</t>
  </si>
  <si>
    <t xml:space="preserve">UNDERWOOD  W &amp; J PLUTA</t>
  </si>
  <si>
    <t xml:space="preserve">08-26-405-024</t>
  </si>
  <si>
    <t xml:space="preserve">0826405024</t>
  </si>
  <si>
    <t xml:space="preserve">7636 WOODVIEW DR</t>
  </si>
  <si>
    <t xml:space="preserve">HAAS 27508  THOMAS R</t>
  </si>
  <si>
    <t xml:space="preserve">08-26-410-021</t>
  </si>
  <si>
    <t xml:space="preserve">0826410021</t>
  </si>
  <si>
    <t xml:space="preserve">7712 BUTTERNUT CT</t>
  </si>
  <si>
    <t xml:space="preserve">SCHNEIDER  LOUISE A</t>
  </si>
  <si>
    <t xml:space="preserve">08-26-413-018</t>
  </si>
  <si>
    <t xml:space="preserve">0826413018</t>
  </si>
  <si>
    <t xml:space="preserve">2920 EVERGLADE AVE</t>
  </si>
  <si>
    <t xml:space="preserve">ZHANG  Y &amp; M XIAO</t>
  </si>
  <si>
    <t xml:space="preserve">08-27-104-020</t>
  </si>
  <si>
    <t xml:space="preserve">0827104020</t>
  </si>
  <si>
    <t xml:space="preserve">8S320 WHITTINGTON CT</t>
  </si>
  <si>
    <t xml:space="preserve">WU &amp; TRAN RESIDENTIAL REAL ESTATE LLC</t>
  </si>
  <si>
    <t xml:space="preserve">08-28-201-001</t>
  </si>
  <si>
    <t xml:space="preserve">0828201001</t>
  </si>
  <si>
    <t xml:space="preserve">24W175 HOBSON RD</t>
  </si>
  <si>
    <t xml:space="preserve">CHATTERJEA  AMITAVA &amp; NANDITA</t>
  </si>
  <si>
    <t xml:space="preserve">08-28-301-023</t>
  </si>
  <si>
    <t xml:space="preserve">0828301023</t>
  </si>
  <si>
    <t xml:space="preserve">1507 SHIVA LN</t>
  </si>
  <si>
    <t xml:space="preserve">LAZAR  NANCI M</t>
  </si>
  <si>
    <t xml:space="preserve">08-28-409-034</t>
  </si>
  <si>
    <t xml:space="preserve">0828409034</t>
  </si>
  <si>
    <t xml:space="preserve">1833 APPALOOSA DR</t>
  </si>
  <si>
    <t xml:space="preserve">SYDYKOVA  SHIRIN</t>
  </si>
  <si>
    <t xml:space="preserve">08-28-414-013</t>
  </si>
  <si>
    <t xml:space="preserve">0828414013</t>
  </si>
  <si>
    <t xml:space="preserve">1813 ARABIAN AVE</t>
  </si>
  <si>
    <t xml:space="preserve">KIM  DONGYUL</t>
  </si>
  <si>
    <t xml:space="preserve">08-28-414-018</t>
  </si>
  <si>
    <t xml:space="preserve">0828414018</t>
  </si>
  <si>
    <t xml:space="preserve">1833 ARABIAN AVE</t>
  </si>
  <si>
    <t xml:space="preserve">KALININ  MIKHAIL G</t>
  </si>
  <si>
    <t xml:space="preserve">08-29-108-017</t>
  </si>
  <si>
    <t xml:space="preserve">0829108017</t>
  </si>
  <si>
    <t xml:space="preserve">1176 KENILWORTH CIR</t>
  </si>
  <si>
    <t xml:space="preserve">ALLIE  KADIATU &amp; E</t>
  </si>
  <si>
    <t xml:space="preserve">08-29-201-043</t>
  </si>
  <si>
    <t xml:space="preserve">0829201043</t>
  </si>
  <si>
    <t xml:space="preserve">1111 COMPASS CT</t>
  </si>
  <si>
    <t xml:space="preserve">MUKANDO  ANGELS</t>
  </si>
  <si>
    <t xml:space="preserve">08-29-302-016</t>
  </si>
  <si>
    <t xml:space="preserve">0829302016</t>
  </si>
  <si>
    <t xml:space="preserve">8S452 BELL DR</t>
  </si>
  <si>
    <t xml:space="preserve">SWANSON  NANCY I</t>
  </si>
  <si>
    <t xml:space="preserve">08-29-312-167</t>
  </si>
  <si>
    <t xml:space="preserve">0829312167</t>
  </si>
  <si>
    <t xml:space="preserve">1533 ORCHARD CIR</t>
  </si>
  <si>
    <t xml:space="preserve">08-29-400-006</t>
  </si>
  <si>
    <t xml:space="preserve">0829400006</t>
  </si>
  <si>
    <t xml:space="preserve">875 HEATHERFIELD CIR</t>
  </si>
  <si>
    <t xml:space="preserve">KAPOOR  LOVE &amp; POOJA</t>
  </si>
  <si>
    <t xml:space="preserve">08-29-400-008</t>
  </si>
  <si>
    <t xml:space="preserve">0829400008</t>
  </si>
  <si>
    <t xml:space="preserve">883 HEATHERFIELD CIR</t>
  </si>
  <si>
    <t xml:space="preserve">QURESHI  AHSAN &amp; RUKHSANA</t>
  </si>
  <si>
    <t xml:space="preserve">08-29-413-012</t>
  </si>
  <si>
    <t xml:space="preserve">0829413012</t>
  </si>
  <si>
    <t xml:space="preserve">1316 BRUSHWOOD CT</t>
  </si>
  <si>
    <t xml:space="preserve">ANDERSON  FRED R</t>
  </si>
  <si>
    <t xml:space="preserve">08-30-115-025</t>
  </si>
  <si>
    <t xml:space="preserve">0830115025</t>
  </si>
  <si>
    <t xml:space="preserve">304 TAMARACK AVE</t>
  </si>
  <si>
    <t xml:space="preserve">YANCEY  VERETTA R</t>
  </si>
  <si>
    <t xml:space="preserve">08-30-301-002</t>
  </si>
  <si>
    <t xml:space="preserve">0830301002</t>
  </si>
  <si>
    <t xml:space="preserve">1315 FREDERICK LN</t>
  </si>
  <si>
    <t xml:space="preserve">POLLACK  E &amp; B GUTSHALL</t>
  </si>
  <si>
    <t xml:space="preserve">08-30-307-028</t>
  </si>
  <si>
    <t xml:space="preserve">0830307028</t>
  </si>
  <si>
    <t xml:space="preserve">1425 TERRANCE DR</t>
  </si>
  <si>
    <t xml:space="preserve">SCHLAFLY  THOMAS J</t>
  </si>
  <si>
    <t xml:space="preserve">08-30-307-031</t>
  </si>
  <si>
    <t xml:space="preserve">0830307031</t>
  </si>
  <si>
    <t xml:space="preserve">1419 TERRANCE DR</t>
  </si>
  <si>
    <t xml:space="preserve">JOHNSON  CAROLE K TRUSTEE</t>
  </si>
  <si>
    <t xml:space="preserve">08-31-111-020</t>
  </si>
  <si>
    <t xml:space="preserve">0831111020</t>
  </si>
  <si>
    <t xml:space="preserve">397 PRAIRIE KNOLL DR</t>
  </si>
  <si>
    <t xml:space="preserve">GUIMARAES  ROBERTO &amp; JULI</t>
  </si>
  <si>
    <t xml:space="preserve">08-31-111-023</t>
  </si>
  <si>
    <t xml:space="preserve">0831111023</t>
  </si>
  <si>
    <t xml:space="preserve">381 PRAIRIE KNOLL DR</t>
  </si>
  <si>
    <t xml:space="preserve">ABRAHAMOVICH  JON E &amp; C</t>
  </si>
  <si>
    <t xml:space="preserve">08-31-114-030</t>
  </si>
  <si>
    <t xml:space="preserve">0831114030</t>
  </si>
  <si>
    <t xml:space="preserve">532 DELKIR CT</t>
  </si>
  <si>
    <t xml:space="preserve">MATTHEWS  WILLIAM H &amp; D M</t>
  </si>
  <si>
    <t xml:space="preserve">08-31-314-005</t>
  </si>
  <si>
    <t xml:space="preserve">0831314005</t>
  </si>
  <si>
    <t xml:space="preserve">309 EASTLAND CT</t>
  </si>
  <si>
    <t xml:space="preserve">SCHIERBAUM  CATHERINE M</t>
  </si>
  <si>
    <t xml:space="preserve">08-31-410-128</t>
  </si>
  <si>
    <t xml:space="preserve">0831410128</t>
  </si>
  <si>
    <t xml:space="preserve">2115 LANCASTER CIR # 1-202D</t>
  </si>
  <si>
    <t xml:space="preserve">DUNLAP  JONI M</t>
  </si>
  <si>
    <t xml:space="preserve">08-32-110-053</t>
  </si>
  <si>
    <t xml:space="preserve">0832110053</t>
  </si>
  <si>
    <t xml:space="preserve">124 BAILEY RD # H</t>
  </si>
  <si>
    <t xml:space="preserve">HENDERSON  JOHN A</t>
  </si>
  <si>
    <t xml:space="preserve">08-32-110-189</t>
  </si>
  <si>
    <t xml:space="preserve">0832110189</t>
  </si>
  <si>
    <t xml:space="preserve">224 BAILEY RD # E</t>
  </si>
  <si>
    <t xml:space="preserve">DURANSKI  JENNIFER</t>
  </si>
  <si>
    <t xml:space="preserve">08-32-405-002</t>
  </si>
  <si>
    <t xml:space="preserve">0832405002</t>
  </si>
  <si>
    <t xml:space="preserve">708 HIDDEN LAKE RD</t>
  </si>
  <si>
    <t xml:space="preserve">SELLER  CHERYL L</t>
  </si>
  <si>
    <t xml:space="preserve">08-33-306-032</t>
  </si>
  <si>
    <t xml:space="preserve">0833306032</t>
  </si>
  <si>
    <t xml:space="preserve">1396 CARLETON CIR</t>
  </si>
  <si>
    <t xml:space="preserve">YOUSSEF  N &amp; O EL-MALLAKH</t>
  </si>
  <si>
    <t xml:space="preserve">08-33-316-004</t>
  </si>
  <si>
    <t xml:space="preserve">0833316004</t>
  </si>
  <si>
    <t xml:space="preserve">2114 HIDDEN VALLEY DR</t>
  </si>
  <si>
    <t xml:space="preserve">8104 GATEWOOD LAND TR</t>
  </si>
  <si>
    <t xml:space="preserve">08-35-207-034</t>
  </si>
  <si>
    <t xml:space="preserve">0835207034</t>
  </si>
  <si>
    <t xml:space="preserve">8104 GATEWOOD LN</t>
  </si>
  <si>
    <t xml:space="preserve">LUSK JR  I R 07-58-09534</t>
  </si>
  <si>
    <t xml:space="preserve">08-35-215-030</t>
  </si>
  <si>
    <t xml:space="preserve">0835215030</t>
  </si>
  <si>
    <t xml:space="preserve">2905 LEAWOOD CT</t>
  </si>
  <si>
    <t xml:space="preserve">SOKHAN  IRYNA</t>
  </si>
  <si>
    <t xml:space="preserve">08-35-407-054</t>
  </si>
  <si>
    <t xml:space="preserve">0835407054</t>
  </si>
  <si>
    <t xml:space="preserve">1100 N ASHBURY AVE</t>
  </si>
  <si>
    <t xml:space="preserve">BOLINGBROOK</t>
  </si>
  <si>
    <t xml:space="preserve">HOME2REALTY LLC</t>
  </si>
  <si>
    <t xml:space="preserve">08-36-101-030</t>
  </si>
  <si>
    <t xml:space="preserve">0836101030</t>
  </si>
  <si>
    <t xml:space="preserve">2504 WATERBURY DR</t>
  </si>
  <si>
    <t xml:space="preserve">08-36-101-038</t>
  </si>
  <si>
    <t xml:space="preserve">0836101038</t>
  </si>
  <si>
    <t xml:space="preserve">8111 WATERBURY CT</t>
  </si>
  <si>
    <t xml:space="preserve">08-36-101-041</t>
  </si>
  <si>
    <t xml:space="preserve">0836101041</t>
  </si>
  <si>
    <t xml:space="preserve">8123 WATERBURY CT</t>
  </si>
  <si>
    <t xml:space="preserve">ALICO LLC</t>
  </si>
  <si>
    <t xml:space="preserve">08-36-107-001</t>
  </si>
  <si>
    <t xml:space="preserve">0836107001</t>
  </si>
  <si>
    <t xml:space="preserve">8040 GENEVA ST</t>
  </si>
  <si>
    <t xml:space="preserve">PEREZ  RAUL</t>
  </si>
  <si>
    <t xml:space="preserve">08-36-109-034</t>
  </si>
  <si>
    <t xml:space="preserve">0836109034</t>
  </si>
  <si>
    <t xml:space="preserve">2521 SPRING RD # 2904</t>
  </si>
  <si>
    <t xml:space="preserve">CTLTC TR #9002347616</t>
  </si>
  <si>
    <t xml:space="preserve">08-36-109-046</t>
  </si>
  <si>
    <t xml:space="preserve">0836109046</t>
  </si>
  <si>
    <t xml:space="preserve">2513 SPRING ST # 3104</t>
  </si>
  <si>
    <t xml:space="preserve">08-36-113-002</t>
  </si>
  <si>
    <t xml:space="preserve">0836113002</t>
  </si>
  <si>
    <t xml:space="preserve">2432 WATERBURY DR # 102</t>
  </si>
  <si>
    <t xml:space="preserve">08-36-113-003</t>
  </si>
  <si>
    <t xml:space="preserve">0836113003</t>
  </si>
  <si>
    <t xml:space="preserve">2432 WATERBURY DR # 103</t>
  </si>
  <si>
    <t xml:space="preserve">08-36-113-004</t>
  </si>
  <si>
    <t xml:space="preserve">0836113004</t>
  </si>
  <si>
    <t xml:space="preserve">2432 WATERBURY DR # 104</t>
  </si>
  <si>
    <t xml:space="preserve">08-36-113-005</t>
  </si>
  <si>
    <t xml:space="preserve">0836113005</t>
  </si>
  <si>
    <t xml:space="preserve">2432 WATERBURY DR # 105</t>
  </si>
  <si>
    <t xml:space="preserve">08-36-113-006</t>
  </si>
  <si>
    <t xml:space="preserve">0836113006</t>
  </si>
  <si>
    <t xml:space="preserve">2432 WATERBURY DR # 106</t>
  </si>
  <si>
    <t xml:space="preserve">ZAVALA  ROBERT T</t>
  </si>
  <si>
    <t xml:space="preserve">08-36-210-097</t>
  </si>
  <si>
    <t xml:space="preserve">0836210097</t>
  </si>
  <si>
    <t xml:space="preserve">2209 WHARF DR # 901</t>
  </si>
  <si>
    <t xml:space="preserve">PIMENTEL  PAULA</t>
  </si>
  <si>
    <t xml:space="preserve">08-36-211-007</t>
  </si>
  <si>
    <t xml:space="preserve">0836211007</t>
  </si>
  <si>
    <t xml:space="preserve">8151 CHESTERTON DR</t>
  </si>
  <si>
    <t xml:space="preserve">CRESCERE LLC</t>
  </si>
  <si>
    <t xml:space="preserve">09-01-112-021</t>
  </si>
  <si>
    <t xml:space="preserve">0901112021</t>
  </si>
  <si>
    <t xml:space="preserve">39 E BIRCHWOOD AVE</t>
  </si>
  <si>
    <t xml:space="preserve">HINSDALE</t>
  </si>
  <si>
    <t xml:space="preserve">PIERANUNZI  JOSEPH &amp;MARIA</t>
  </si>
  <si>
    <t xml:space="preserve">09-01-300-029</t>
  </si>
  <si>
    <t xml:space="preserve">0901300029</t>
  </si>
  <si>
    <t xml:space="preserve">411 W NORTH ST</t>
  </si>
  <si>
    <t xml:space="preserve">MILINKOVIC  ALEXANDRA</t>
  </si>
  <si>
    <t xml:space="preserve">09-01-403-003</t>
  </si>
  <si>
    <t xml:space="preserve">0901403003</t>
  </si>
  <si>
    <t xml:space="preserve">412 THE LANE</t>
  </si>
  <si>
    <t xml:space="preserve">MALEK  SABRINA</t>
  </si>
  <si>
    <t xml:space="preserve">09-03-202-024</t>
  </si>
  <si>
    <t xml:space="preserve">0903202024</t>
  </si>
  <si>
    <t xml:space="preserve">628 OAKWOOD DR</t>
  </si>
  <si>
    <t xml:space="preserve">YAN  ZIJUN</t>
  </si>
  <si>
    <t xml:space="preserve">09-03-212-003</t>
  </si>
  <si>
    <t xml:space="preserve">0903212003</t>
  </si>
  <si>
    <t xml:space="preserve">515 HAMILTON AVE</t>
  </si>
  <si>
    <t xml:space="preserve">HRNCIRIK  JOSEPH</t>
  </si>
  <si>
    <t xml:space="preserve">09-03-306-034</t>
  </si>
  <si>
    <t xml:space="preserve">0903306034</t>
  </si>
  <si>
    <t xml:space="preserve">224 E NAPERVILLE RD</t>
  </si>
  <si>
    <t xml:space="preserve">BUCHLER  RONALD &amp; MARY</t>
  </si>
  <si>
    <t xml:space="preserve">09-04-105-017</t>
  </si>
  <si>
    <t xml:space="preserve">0904105017</t>
  </si>
  <si>
    <t xml:space="preserve">4141 LONGMEADOW RD</t>
  </si>
  <si>
    <t xml:space="preserve">BARNES  ALLISON</t>
  </si>
  <si>
    <t xml:space="preserve">09-04-111-040</t>
  </si>
  <si>
    <t xml:space="preserve">0904111040</t>
  </si>
  <si>
    <t xml:space="preserve">217 FOXFIRE CT</t>
  </si>
  <si>
    <t xml:space="preserve">MILIUNAS  RIMVYDAS &amp; V</t>
  </si>
  <si>
    <t xml:space="preserve">09-04-207-012</t>
  </si>
  <si>
    <t xml:space="preserve">0904207012</t>
  </si>
  <si>
    <t xml:space="preserve">4025 WILLIAMS ST</t>
  </si>
  <si>
    <t xml:space="preserve">BENJAWAN  VEERANOND &amp; K</t>
  </si>
  <si>
    <t xml:space="preserve">09-04-208-014</t>
  </si>
  <si>
    <t xml:space="preserve">0904208014</t>
  </si>
  <si>
    <t xml:space="preserve">4027 N PARK ST</t>
  </si>
  <si>
    <t xml:space="preserve">09-04-211-025</t>
  </si>
  <si>
    <t xml:space="preserve">0904211025</t>
  </si>
  <si>
    <t xml:space="preserve">4020 N GRANT ST</t>
  </si>
  <si>
    <t xml:space="preserve">WENIG  ALAN</t>
  </si>
  <si>
    <t xml:space="preserve">09-04-212-009</t>
  </si>
  <si>
    <t xml:space="preserve">0904212009</t>
  </si>
  <si>
    <t xml:space="preserve">4021 GRANT ST</t>
  </si>
  <si>
    <t xml:space="preserve">GJUKAJ  REXHEP</t>
  </si>
  <si>
    <t xml:space="preserve">09-04-214-001</t>
  </si>
  <si>
    <t xml:space="preserve">0904214001</t>
  </si>
  <si>
    <t xml:space="preserve">4101 WILLIAMS ST</t>
  </si>
  <si>
    <t xml:space="preserve">VC INVESTMENTS ENTERPRISES</t>
  </si>
  <si>
    <t xml:space="preserve">09-04-222-011</t>
  </si>
  <si>
    <t xml:space="preserve">0904222011</t>
  </si>
  <si>
    <t xml:space="preserve">4121 N LINCOLN ST</t>
  </si>
  <si>
    <t xml:space="preserve">QOUDSI  WAEL</t>
  </si>
  <si>
    <t xml:space="preserve">09-04-409-035</t>
  </si>
  <si>
    <t xml:space="preserve">0904409035</t>
  </si>
  <si>
    <t xml:space="preserve">402 N CASS AVE</t>
  </si>
  <si>
    <t xml:space="preserve">ROCHE  SHANNON M</t>
  </si>
  <si>
    <t xml:space="preserve">09-05-108-007</t>
  </si>
  <si>
    <t xml:space="preserve">0905108007</t>
  </si>
  <si>
    <t xml:space="preserve">3935 ELM ST</t>
  </si>
  <si>
    <t xml:space="preserve">DITURO  VITO M &amp; MARIANNE</t>
  </si>
  <si>
    <t xml:space="preserve">09-05-208-015</t>
  </si>
  <si>
    <t xml:space="preserve">0905208015</t>
  </si>
  <si>
    <t xml:space="preserve">4016 DOUGLAS RD</t>
  </si>
  <si>
    <t xml:space="preserve">4341 HIGHLAND LLC</t>
  </si>
  <si>
    <t xml:space="preserve">09-05-310-001</t>
  </si>
  <si>
    <t xml:space="preserve">0905310001</t>
  </si>
  <si>
    <t xml:space="preserve">4341 HIGHLAND AVE</t>
  </si>
  <si>
    <t xml:space="preserve">LINDBERG  JAMES J &amp; C M</t>
  </si>
  <si>
    <t xml:space="preserve">09-05-316-021</t>
  </si>
  <si>
    <t xml:space="preserve">0905316021</t>
  </si>
  <si>
    <t xml:space="preserve">4533 HIGHLAND AVE</t>
  </si>
  <si>
    <t xml:space="preserve">IBACH  MATTHEW &amp; DINA</t>
  </si>
  <si>
    <t xml:space="preserve">09-05-404-011</t>
  </si>
  <si>
    <t xml:space="preserve">0905404011</t>
  </si>
  <si>
    <t xml:space="preserve">4412 PROSPECT AVE</t>
  </si>
  <si>
    <t xml:space="preserve">PARKS  MATTHEW &amp; KRISTINA</t>
  </si>
  <si>
    <t xml:space="preserve">09-05-405-005</t>
  </si>
  <si>
    <t xml:space="preserve">0905405005</t>
  </si>
  <si>
    <t xml:space="preserve">617 SHERMAN ST</t>
  </si>
  <si>
    <t xml:space="preserve">NIEBUHR  NICOLE</t>
  </si>
  <si>
    <t xml:space="preserve">09-06-204-006</t>
  </si>
  <si>
    <t xml:space="preserve">0906204006</t>
  </si>
  <si>
    <t xml:space="preserve">3937 VENARD RD</t>
  </si>
  <si>
    <t xml:space="preserve">MAVRAGANES  BRIAN</t>
  </si>
  <si>
    <t xml:space="preserve">09-07-103-013</t>
  </si>
  <si>
    <t xml:space="preserve">0907103013</t>
  </si>
  <si>
    <t xml:space="preserve">4708 NORTHCOTT AVE</t>
  </si>
  <si>
    <t xml:space="preserve">T6 DEVELOPMENT LLC</t>
  </si>
  <si>
    <t xml:space="preserve">09-07-105-003</t>
  </si>
  <si>
    <t xml:space="preserve">0907105003</t>
  </si>
  <si>
    <t xml:space="preserve">4807 WOODWARD AVE</t>
  </si>
  <si>
    <t xml:space="preserve">MOODY  LEONARDO</t>
  </si>
  <si>
    <t xml:space="preserve">09-07-106-001</t>
  </si>
  <si>
    <t xml:space="preserve">0907106001</t>
  </si>
  <si>
    <t xml:space="preserve">1845 PRAIRIE AVE</t>
  </si>
  <si>
    <t xml:space="preserve">DEAN  RYAN &amp; ELIZABETH</t>
  </si>
  <si>
    <t xml:space="preserve">09-07-208-002</t>
  </si>
  <si>
    <t xml:space="preserve">0907208002</t>
  </si>
  <si>
    <t xml:space="preserve">4805 WALLBANK AVE</t>
  </si>
  <si>
    <t xml:space="preserve">PUNDMANN  JAMES &amp; CONNIE</t>
  </si>
  <si>
    <t xml:space="preserve">09-07-406-028</t>
  </si>
  <si>
    <t xml:space="preserve">0907406028</t>
  </si>
  <si>
    <t xml:space="preserve">1230 BROOK LN</t>
  </si>
  <si>
    <t xml:space="preserve">LANSER  RICHARD</t>
  </si>
  <si>
    <t xml:space="preserve">09-08-120-009</t>
  </si>
  <si>
    <t xml:space="preserve">0908120009</t>
  </si>
  <si>
    <t xml:space="preserve">4911 WASHINGTON ST</t>
  </si>
  <si>
    <t xml:space="preserve">LESNIAK  THOMAS &amp; RENETTA</t>
  </si>
  <si>
    <t xml:space="preserve">09-08-136-005</t>
  </si>
  <si>
    <t xml:space="preserve">0908136005</t>
  </si>
  <si>
    <t xml:space="preserve">4929 FOREST AVE # 1B</t>
  </si>
  <si>
    <t xml:space="preserve">KRAUSE  DONNA M</t>
  </si>
  <si>
    <t xml:space="preserve">09-08-205-004</t>
  </si>
  <si>
    <t xml:space="preserve">0908205004</t>
  </si>
  <si>
    <t xml:space="preserve">4913 PROSPECT AVE</t>
  </si>
  <si>
    <t xml:space="preserve">ARANAUSKAS  GYTIS</t>
  </si>
  <si>
    <t xml:space="preserve">09-08-328-031</t>
  </si>
  <si>
    <t xml:space="preserve">0908328031</t>
  </si>
  <si>
    <t xml:space="preserve">5329 MAIN ST # 502</t>
  </si>
  <si>
    <t xml:space="preserve">MIRZA  NADIA</t>
  </si>
  <si>
    <t xml:space="preserve">09-08-333-021</t>
  </si>
  <si>
    <t xml:space="preserve">0908333021</t>
  </si>
  <si>
    <t xml:space="preserve">940 MAPLE AVE # 307</t>
  </si>
  <si>
    <t xml:space="preserve">CARROLL  MICHAEL &amp; JULIA</t>
  </si>
  <si>
    <t xml:space="preserve">09-08-409-030</t>
  </si>
  <si>
    <t xml:space="preserve">0908409030</t>
  </si>
  <si>
    <t xml:space="preserve">5232 BLODGETT AVE</t>
  </si>
  <si>
    <t xml:space="preserve">09-08-420-002</t>
  </si>
  <si>
    <t xml:space="preserve">0908420002</t>
  </si>
  <si>
    <t xml:space="preserve">543 BURLINGTON AVE # 102-E</t>
  </si>
  <si>
    <t xml:space="preserve">09-08-420-028</t>
  </si>
  <si>
    <t xml:space="preserve">0908420028</t>
  </si>
  <si>
    <t xml:space="preserve">5115 BLODGETT AVE # 102W</t>
  </si>
  <si>
    <t xml:space="preserve">MURPHY  JENNA E</t>
  </si>
  <si>
    <t xml:space="preserve">09-08-420-090</t>
  </si>
  <si>
    <t xml:space="preserve">0908420090</t>
  </si>
  <si>
    <t xml:space="preserve">5125 BLODGETT AVE # 301-T</t>
  </si>
  <si>
    <t xml:space="preserve">TENG  PHILIP</t>
  </si>
  <si>
    <t xml:space="preserve">09-09-106-006</t>
  </si>
  <si>
    <t xml:space="preserve">0909106006</t>
  </si>
  <si>
    <t xml:space="preserve">7 CHICAGO AVE</t>
  </si>
  <si>
    <t xml:space="preserve">SIYA CASH FLOW LLC</t>
  </si>
  <si>
    <t xml:space="preserve">09-09-209-016</t>
  </si>
  <si>
    <t xml:space="preserve">0909209016</t>
  </si>
  <si>
    <t xml:space="preserve">228 N GRANT ST</t>
  </si>
  <si>
    <t xml:space="preserve">LOBDELL  JACKIE &amp; LORNE DAY</t>
  </si>
  <si>
    <t xml:space="preserve">09-09-402-018</t>
  </si>
  <si>
    <t xml:space="preserve">0909402018</t>
  </si>
  <si>
    <t xml:space="preserve">36 S WASHINGTON ST</t>
  </si>
  <si>
    <t xml:space="preserve">KEY OFFERS REAL ESTATE LLC</t>
  </si>
  <si>
    <t xml:space="preserve">09-09-408-016</t>
  </si>
  <si>
    <t xml:space="preserve">0909408016</t>
  </si>
  <si>
    <t xml:space="preserve">122 S PARK ST</t>
  </si>
  <si>
    <t xml:space="preserve">KARAS  MAE</t>
  </si>
  <si>
    <t xml:space="preserve">09-10-114-003</t>
  </si>
  <si>
    <t xml:space="preserve">0910114003</t>
  </si>
  <si>
    <t xml:space="preserve">31 N WARWICK AVE</t>
  </si>
  <si>
    <t xml:space="preserve">NIELSEN  MICHAEL &amp; MEIJING LI</t>
  </si>
  <si>
    <t xml:space="preserve">09-10-118-026</t>
  </si>
  <si>
    <t xml:space="preserve">0910118026</t>
  </si>
  <si>
    <t xml:space="preserve">122 INDIAN DR</t>
  </si>
  <si>
    <t xml:space="preserve">CLARENDON HILLS</t>
  </si>
  <si>
    <t xml:space="preserve">LASKE  DOROTHY G</t>
  </si>
  <si>
    <t xml:space="preserve">09-10-220-031</t>
  </si>
  <si>
    <t xml:space="preserve">0910220031</t>
  </si>
  <si>
    <t xml:space="preserve">14 GILBERT AVE</t>
  </si>
  <si>
    <t xml:space="preserve">KILBANE  JAMES &amp; KERRY</t>
  </si>
  <si>
    <t xml:space="preserve">09-10-221-004</t>
  </si>
  <si>
    <t xml:space="preserve">0910221004</t>
  </si>
  <si>
    <t xml:space="preserve">31 GILBERT AVE</t>
  </si>
  <si>
    <t xml:space="preserve">MEEKER  MICHAEL A</t>
  </si>
  <si>
    <t xml:space="preserve">09-10-317-006</t>
  </si>
  <si>
    <t xml:space="preserve">0910317006</t>
  </si>
  <si>
    <t xml:space="preserve">58 E 55TH ST</t>
  </si>
  <si>
    <t xml:space="preserve">DOUGLAS  ROBERT</t>
  </si>
  <si>
    <t xml:space="preserve">09-10-415-019</t>
  </si>
  <si>
    <t xml:space="preserve">0910415019</t>
  </si>
  <si>
    <t xml:space="preserve">434 MC DANIELS CIR # 403</t>
  </si>
  <si>
    <t xml:space="preserve">KARIA  MIHIR &amp; ROXANNE</t>
  </si>
  <si>
    <t xml:space="preserve">09-11-106-006</t>
  </si>
  <si>
    <t xml:space="preserve">0911106006</t>
  </si>
  <si>
    <t xml:space="preserve">153 JULIET CT</t>
  </si>
  <si>
    <t xml:space="preserve">ELLIOTT CARPENTRY &amp; CONTRACTING</t>
  </si>
  <si>
    <t xml:space="preserve">09-11-112-004</t>
  </si>
  <si>
    <t xml:space="preserve">0911112004</t>
  </si>
  <si>
    <t xml:space="preserve">31 WAVERLY AVE</t>
  </si>
  <si>
    <t xml:space="preserve">LU  QIONG</t>
  </si>
  <si>
    <t xml:space="preserve">09-11-224-027</t>
  </si>
  <si>
    <t xml:space="preserve">0911224027</t>
  </si>
  <si>
    <t xml:space="preserve">226 S MONROE ST</t>
  </si>
  <si>
    <t xml:space="preserve">PETRAVICIUS  ADAM</t>
  </si>
  <si>
    <t xml:space="preserve">09-11-230-029</t>
  </si>
  <si>
    <t xml:space="preserve">0911230029</t>
  </si>
  <si>
    <t xml:space="preserve">423 S BRUNER ST</t>
  </si>
  <si>
    <t xml:space="preserve">O MALLEY  BRIAN P</t>
  </si>
  <si>
    <t xml:space="preserve">09-11-317-005</t>
  </si>
  <si>
    <t xml:space="preserve">0911317005</t>
  </si>
  <si>
    <t xml:space="preserve">253 ANN ST</t>
  </si>
  <si>
    <t xml:space="preserve">RUZA  MATTHEW &amp; JACLYN</t>
  </si>
  <si>
    <t xml:space="preserve">09-11-404-006</t>
  </si>
  <si>
    <t xml:space="preserve">0911404006</t>
  </si>
  <si>
    <t xml:space="preserve">621 S ADAMS ST</t>
  </si>
  <si>
    <t xml:space="preserve">516 W 6TH LLC</t>
  </si>
  <si>
    <t xml:space="preserve">09-11-407-001</t>
  </si>
  <si>
    <t xml:space="preserve">0911407001</t>
  </si>
  <si>
    <t xml:space="preserve">516 W 6TH ST</t>
  </si>
  <si>
    <t xml:space="preserve">HUPP  MICHAEL &amp; M REDDY</t>
  </si>
  <si>
    <t xml:space="preserve">09-12-108-025</t>
  </si>
  <si>
    <t xml:space="preserve">0912108025</t>
  </si>
  <si>
    <t xml:space="preserve">454 S VINE ST</t>
  </si>
  <si>
    <t xml:space="preserve">CIMALA  CAMERON &amp; EMILY</t>
  </si>
  <si>
    <t xml:space="preserve">09-12-131-010</t>
  </si>
  <si>
    <t xml:space="preserve">0912131010</t>
  </si>
  <si>
    <t xml:space="preserve">320 S GARFIELD ST</t>
  </si>
  <si>
    <t xml:space="preserve">CARNEY  JASON</t>
  </si>
  <si>
    <t xml:space="preserve">09-12-403-017</t>
  </si>
  <si>
    <t xml:space="preserve">0912403017</t>
  </si>
  <si>
    <t xml:space="preserve">644 S COUNTY LINE RD</t>
  </si>
  <si>
    <t xml:space="preserve">HAMAAV LLC</t>
  </si>
  <si>
    <t xml:space="preserve">09-12-406-001</t>
  </si>
  <si>
    <t xml:space="preserve">0912406001</t>
  </si>
  <si>
    <t xml:space="preserve">711 S ELM ST</t>
  </si>
  <si>
    <t xml:space="preserve">HETZEL HINSDALE CONDO LLC</t>
  </si>
  <si>
    <t xml:space="preserve">09-13-107-001</t>
  </si>
  <si>
    <t xml:space="preserve">0913107001</t>
  </si>
  <si>
    <t xml:space="preserve">449 58TH PL # 1B-1E</t>
  </si>
  <si>
    <t xml:space="preserve">PILCHER  STEVEN</t>
  </si>
  <si>
    <t xml:space="preserve">09-13-107-005</t>
  </si>
  <si>
    <t xml:space="preserve">0913107005</t>
  </si>
  <si>
    <t xml:space="preserve">400 58TH PL</t>
  </si>
  <si>
    <t xml:space="preserve">ZARZOUR  HADIA</t>
  </si>
  <si>
    <t xml:space="preserve">09-13-108-028</t>
  </si>
  <si>
    <t xml:space="preserve">0913108028</t>
  </si>
  <si>
    <t xml:space="preserve">427 ASHBURY DR</t>
  </si>
  <si>
    <t xml:space="preserve">DUSSIAS DYNASTY TRUST</t>
  </si>
  <si>
    <t xml:space="preserve">09-13-110-001</t>
  </si>
  <si>
    <t xml:space="preserve">0913110001</t>
  </si>
  <si>
    <t xml:space="preserve">98 E KENNEDY LN</t>
  </si>
  <si>
    <t xml:space="preserve">TEMBRINA  RICHARD J</t>
  </si>
  <si>
    <t xml:space="preserve">09-13-114-005</t>
  </si>
  <si>
    <t xml:space="preserve">0913114005</t>
  </si>
  <si>
    <t xml:space="preserve">149 W KENNEDY LN # 205</t>
  </si>
  <si>
    <t xml:space="preserve">ALEXANDER  JACOB &amp; G</t>
  </si>
  <si>
    <t xml:space="preserve">09-14-102-009</t>
  </si>
  <si>
    <t xml:space="preserve">0914102009</t>
  </si>
  <si>
    <t xml:space="preserve">16W687 56TH PL</t>
  </si>
  <si>
    <t xml:space="preserve">CHRISTENSEN  CARYL SUE</t>
  </si>
  <si>
    <t xml:space="preserve">09-14-121-013</t>
  </si>
  <si>
    <t xml:space="preserve">0914121013</t>
  </si>
  <si>
    <t xml:space="preserve">415 CLARENDON CT</t>
  </si>
  <si>
    <t xml:space="preserve">SADIQ  SABEEN</t>
  </si>
  <si>
    <t xml:space="preserve">09-14-122-091</t>
  </si>
  <si>
    <t xml:space="preserve">0914122091</t>
  </si>
  <si>
    <t xml:space="preserve">5740 CONCORD LN # 16</t>
  </si>
  <si>
    <t xml:space="preserve">ELAYYAN  AZIZEH</t>
  </si>
  <si>
    <t xml:space="preserve">09-14-202-038</t>
  </si>
  <si>
    <t xml:space="preserve">0914202038</t>
  </si>
  <si>
    <t xml:space="preserve">638 W 56TH ST</t>
  </si>
  <si>
    <t xml:space="preserve">SINGH  PARMINDER</t>
  </si>
  <si>
    <t xml:space="preserve">09-14-206-014</t>
  </si>
  <si>
    <t xml:space="preserve">0914206014</t>
  </si>
  <si>
    <t xml:space="preserve">5704 S MONROE ST</t>
  </si>
  <si>
    <t xml:space="preserve">MIKOV  LEV</t>
  </si>
  <si>
    <t xml:space="preserve">09-14-303-246</t>
  </si>
  <si>
    <t xml:space="preserve">0914303246</t>
  </si>
  <si>
    <t xml:space="preserve">6102 KNOLL VALLEY DR # 206</t>
  </si>
  <si>
    <t xml:space="preserve">WILLOWBROOK</t>
  </si>
  <si>
    <t xml:space="preserve">NIDI MANAGEMENT LLC</t>
  </si>
  <si>
    <t xml:space="preserve">09-14-303-296</t>
  </si>
  <si>
    <t xml:space="preserve">0914303296</t>
  </si>
  <si>
    <t xml:space="preserve">6110 KNOLL VALLEY DR # 22-104</t>
  </si>
  <si>
    <t xml:space="preserve">WANG  SHUYI</t>
  </si>
  <si>
    <t xml:space="preserve">09-14-303-545</t>
  </si>
  <si>
    <t xml:space="preserve">0914303545</t>
  </si>
  <si>
    <t xml:space="preserve">6177 KNOLLWOOD CT # 203</t>
  </si>
  <si>
    <t xml:space="preserve">CALDERONE  GEORGIA F</t>
  </si>
  <si>
    <t xml:space="preserve">09-14-305-033</t>
  </si>
  <si>
    <t xml:space="preserve">0914305033</t>
  </si>
  <si>
    <t xml:space="preserve">148 STANHOPE DR # A</t>
  </si>
  <si>
    <t xml:space="preserve">MOORE  SUZANNE M</t>
  </si>
  <si>
    <t xml:space="preserve">09-14-309-074</t>
  </si>
  <si>
    <t xml:space="preserve">0914309074</t>
  </si>
  <si>
    <t xml:space="preserve">228 BROOKSIDE LN # B</t>
  </si>
  <si>
    <t xml:space="preserve">YUKNIS  IRENE</t>
  </si>
  <si>
    <t xml:space="preserve">09-14-309-078</t>
  </si>
  <si>
    <t xml:space="preserve">0914309078</t>
  </si>
  <si>
    <t xml:space="preserve">218 BROOKSIDE LN # B</t>
  </si>
  <si>
    <t xml:space="preserve">KALTASHKIN  AMANDA &amp; D</t>
  </si>
  <si>
    <t xml:space="preserve">09-15-203-019</t>
  </si>
  <si>
    <t xml:space="preserve">0915203019</t>
  </si>
  <si>
    <t xml:space="preserve">5505 VIRGINIA AVE</t>
  </si>
  <si>
    <t xml:space="preserve">YOUSSEF  ELIAS</t>
  </si>
  <si>
    <t xml:space="preserve">09-15-214-049</t>
  </si>
  <si>
    <t xml:space="preserve">0915214049</t>
  </si>
  <si>
    <t xml:space="preserve">5765 TENNESSEE AVE</t>
  </si>
  <si>
    <t xml:space="preserve">JANIK  ROBIN &amp; JESSICA</t>
  </si>
  <si>
    <t xml:space="preserve">09-16-206-021</t>
  </si>
  <si>
    <t xml:space="preserve">0916206021</t>
  </si>
  <si>
    <t xml:space="preserve">30 W 56TH PL</t>
  </si>
  <si>
    <t xml:space="preserve">KROSCHKE  ANDREAS &amp; ALANA</t>
  </si>
  <si>
    <t xml:space="preserve">09-16-303-037</t>
  </si>
  <si>
    <t xml:space="preserve">0916303037</t>
  </si>
  <si>
    <t xml:space="preserve">31 W 60TH ST</t>
  </si>
  <si>
    <t xml:space="preserve">1101 FLORENCE LLC</t>
  </si>
  <si>
    <t xml:space="preserve">09-16-307-001</t>
  </si>
  <si>
    <t xml:space="preserve">0916307001</t>
  </si>
  <si>
    <t xml:space="preserve">1101 FLORENCE AVE</t>
  </si>
  <si>
    <t xml:space="preserve">HART  JANELL R</t>
  </si>
  <si>
    <t xml:space="preserve">09-17-100-023</t>
  </si>
  <si>
    <t xml:space="preserve">0917100023</t>
  </si>
  <si>
    <t xml:space="preserve">5500 CARPENTER ST</t>
  </si>
  <si>
    <t xml:space="preserve">WALSH  DAVID A &amp;KATHERINE</t>
  </si>
  <si>
    <t xml:space="preserve">09-18-110-006</t>
  </si>
  <si>
    <t xml:space="preserve">0918110006</t>
  </si>
  <si>
    <t xml:space="preserve">5727 WOODWARD AVE</t>
  </si>
  <si>
    <t xml:space="preserve">SELBY  JUSTIN &amp; TAISHA</t>
  </si>
  <si>
    <t xml:space="preserve">09-18-207-007</t>
  </si>
  <si>
    <t xml:space="preserve">0918207007</t>
  </si>
  <si>
    <t xml:space="preserve">1409 THORNWOOD DR</t>
  </si>
  <si>
    <t xml:space="preserve">MAJESKI  SCOTT &amp; GAYLE</t>
  </si>
  <si>
    <t xml:space="preserve">09-18-407-035</t>
  </si>
  <si>
    <t xml:space="preserve">0918407035</t>
  </si>
  <si>
    <t xml:space="preserve">1237 ARNOLD CT</t>
  </si>
  <si>
    <t xml:space="preserve">RUBINIC  JOHN</t>
  </si>
  <si>
    <t xml:space="preserve">09-19-109-056</t>
  </si>
  <si>
    <t xml:space="preserve">0919109056</t>
  </si>
  <si>
    <t xml:space="preserve">1941 WELLINGTON PL</t>
  </si>
  <si>
    <t xml:space="preserve">SALZMAN  ALICE J</t>
  </si>
  <si>
    <t xml:space="preserve">09-19-118-042</t>
  </si>
  <si>
    <t xml:space="preserve">0919118042</t>
  </si>
  <si>
    <t xml:space="preserve">1933 HASTINGS AVE</t>
  </si>
  <si>
    <t xml:space="preserve">TITUS CONSTRUTION LLC</t>
  </si>
  <si>
    <t xml:space="preserve">09-20-119-002</t>
  </si>
  <si>
    <t xml:space="preserve">0920119002</t>
  </si>
  <si>
    <t xml:space="preserve">6323 WASHINGTON ST</t>
  </si>
  <si>
    <t xml:space="preserve">DELO SR  FRANK</t>
  </si>
  <si>
    <t xml:space="preserve">09-20-313-009</t>
  </si>
  <si>
    <t xml:space="preserve">0920313009</t>
  </si>
  <si>
    <t xml:space="preserve">1150 ROBEY AVE</t>
  </si>
  <si>
    <t xml:space="preserve">LORIS  DANIEL &amp; SAMANTHA</t>
  </si>
  <si>
    <t xml:space="preserve">09-20-313-013</t>
  </si>
  <si>
    <t xml:space="preserve">0920313013</t>
  </si>
  <si>
    <t xml:space="preserve">1110 ROBEY AVE</t>
  </si>
  <si>
    <t xml:space="preserve">FLOSS  KIM M</t>
  </si>
  <si>
    <t xml:space="preserve">09-20-419-005</t>
  </si>
  <si>
    <t xml:space="preserve">0920419005</t>
  </si>
  <si>
    <t xml:space="preserve">6800 WOLF PL</t>
  </si>
  <si>
    <t xml:space="preserve">1439 CARRIAGE LN LLC</t>
  </si>
  <si>
    <t xml:space="preserve">09-21-210-001</t>
  </si>
  <si>
    <t xml:space="preserve">0921210001</t>
  </si>
  <si>
    <t xml:space="preserve">1439 CARRIAGE LN</t>
  </si>
  <si>
    <t xml:space="preserve">MILLES  NICOLE</t>
  </si>
  <si>
    <t xml:space="preserve">09-21-213-175</t>
  </si>
  <si>
    <t xml:space="preserve">0921213175</t>
  </si>
  <si>
    <t xml:space="preserve">55 W 64TH ST # 201</t>
  </si>
  <si>
    <t xml:space="preserve">ILIC  MAJA</t>
  </si>
  <si>
    <t xml:space="preserve">09-21-213-179</t>
  </si>
  <si>
    <t xml:space="preserve">0921213179</t>
  </si>
  <si>
    <t xml:space="preserve">1325 CASS LN E # 101</t>
  </si>
  <si>
    <t xml:space="preserve">TOMASCHTIK  MIKE &amp; TRACEY</t>
  </si>
  <si>
    <t xml:space="preserve">09-21-218-114</t>
  </si>
  <si>
    <t xml:space="preserve">0921218114</t>
  </si>
  <si>
    <t xml:space="preserve">312 MEMORY LN # 2</t>
  </si>
  <si>
    <t xml:space="preserve">SWORST  LUCILLE</t>
  </si>
  <si>
    <t xml:space="preserve">09-22-106-016</t>
  </si>
  <si>
    <t xml:space="preserve">0922106016</t>
  </si>
  <si>
    <t xml:space="preserve">6655 S CASS AVE # 5D</t>
  </si>
  <si>
    <t xml:space="preserve">HINSDALE ANIMAL CEM ET AL</t>
  </si>
  <si>
    <t xml:space="preserve">09-22-201-025</t>
  </si>
  <si>
    <t xml:space="preserve">0922201025</t>
  </si>
  <si>
    <t xml:space="preserve">WESTERN AVE</t>
  </si>
  <si>
    <t xml:space="preserve">RANDLE TRUST</t>
  </si>
  <si>
    <t xml:space="preserve">09-22-202-003</t>
  </si>
  <si>
    <t xml:space="preserve">0922202003</t>
  </si>
  <si>
    <t xml:space="preserve">341 63RD ST</t>
  </si>
  <si>
    <t xml:space="preserve">HEATHERLY  JESSICA</t>
  </si>
  <si>
    <t xml:space="preserve">09-22-302-007</t>
  </si>
  <si>
    <t xml:space="preserve">0922302007</t>
  </si>
  <si>
    <t xml:space="preserve">1105 69TH ST</t>
  </si>
  <si>
    <t xml:space="preserve">DARIEN</t>
  </si>
  <si>
    <t xml:space="preserve">MLADENIK  JOSHUA J</t>
  </si>
  <si>
    <t xml:space="preserve">09-22-310-037</t>
  </si>
  <si>
    <t xml:space="preserve">0922310037</t>
  </si>
  <si>
    <t xml:space="preserve">7010 RICHMOND AVE</t>
  </si>
  <si>
    <t xml:space="preserve">YARIO  JOAN F</t>
  </si>
  <si>
    <t xml:space="preserve">09-22-312-004</t>
  </si>
  <si>
    <t xml:space="preserve">0922312004</t>
  </si>
  <si>
    <t xml:space="preserve">7021 RICHMOND AVE</t>
  </si>
  <si>
    <t xml:space="preserve">HANDS  DANIEL O</t>
  </si>
  <si>
    <t xml:space="preserve">09-23-109-037</t>
  </si>
  <si>
    <t xml:space="preserve">0923109037</t>
  </si>
  <si>
    <t xml:space="preserve">101 LAKE HINSDALE DR # 310</t>
  </si>
  <si>
    <t xml:space="preserve">LANCETTE  THEODORE &amp; M</t>
  </si>
  <si>
    <t xml:space="preserve">09-23-114-059</t>
  </si>
  <si>
    <t xml:space="preserve">0923114059</t>
  </si>
  <si>
    <t xml:space="preserve">6443 CLARENDON HILLS # 510J</t>
  </si>
  <si>
    <t xml:space="preserve">DUS  ANTHONY</t>
  </si>
  <si>
    <t xml:space="preserve">09-23-115-038</t>
  </si>
  <si>
    <t xml:space="preserve">0923115038</t>
  </si>
  <si>
    <t xml:space="preserve">6340 AMERICANA DR # 221</t>
  </si>
  <si>
    <t xml:space="preserve">MACCONELL KATHLEEN A</t>
  </si>
  <si>
    <t xml:space="preserve">09-23-116-044</t>
  </si>
  <si>
    <t xml:space="preserve">0923116044</t>
  </si>
  <si>
    <t xml:space="preserve">6401 CLARENDON HILLS # 303</t>
  </si>
  <si>
    <t xml:space="preserve">MARKOVSKI  CVETANKA</t>
  </si>
  <si>
    <t xml:space="preserve">09-24-110-003</t>
  </si>
  <si>
    <t xml:space="preserve">0924110003</t>
  </si>
  <si>
    <t xml:space="preserve">6457 WINGATE RD</t>
  </si>
  <si>
    <t xml:space="preserve">SAUERBERG  STEVEN &amp; NANCY</t>
  </si>
  <si>
    <t xml:space="preserve">09-24-116-012</t>
  </si>
  <si>
    <t xml:space="preserve">0924116012</t>
  </si>
  <si>
    <t xml:space="preserve">6330 WESLEY RD</t>
  </si>
  <si>
    <t xml:space="preserve">BARNISH  BANDON &amp;KATHLEEN</t>
  </si>
  <si>
    <t xml:space="preserve">09-25-107-056</t>
  </si>
  <si>
    <t xml:space="preserve">0925107056</t>
  </si>
  <si>
    <t xml:space="preserve">15W640 74TH ST</t>
  </si>
  <si>
    <t xml:space="preserve">BURR RIDGE</t>
  </si>
  <si>
    <t xml:space="preserve">LINKOWSKI  ROBERT W &amp; A A</t>
  </si>
  <si>
    <t xml:space="preserve">09-25-208-007</t>
  </si>
  <si>
    <t xml:space="preserve">0925208007</t>
  </si>
  <si>
    <t xml:space="preserve">7340 S ELM ST</t>
  </si>
  <si>
    <t xml:space="preserve">DWEYDARI  STEVE</t>
  </si>
  <si>
    <t xml:space="preserve">09-26-109-001</t>
  </si>
  <si>
    <t xml:space="preserve">0926109001</t>
  </si>
  <si>
    <t xml:space="preserve">321 JANET AVE</t>
  </si>
  <si>
    <t xml:space="preserve">BARTYCZAK  JAKUB</t>
  </si>
  <si>
    <t xml:space="preserve">09-26-307-040</t>
  </si>
  <si>
    <t xml:space="preserve">0926307040</t>
  </si>
  <si>
    <t xml:space="preserve">62 79TH ST</t>
  </si>
  <si>
    <t xml:space="preserve">KRUG  HELEN</t>
  </si>
  <si>
    <t xml:space="preserve">09-27-103-006</t>
  </si>
  <si>
    <t xml:space="preserve">0927103006</t>
  </si>
  <si>
    <t xml:space="preserve">1101 TAMARACK DR</t>
  </si>
  <si>
    <t xml:space="preserve">AMBROSIO  ANGEL &amp; SUSAN AREOS</t>
  </si>
  <si>
    <t xml:space="preserve">09-27-105-027</t>
  </si>
  <si>
    <t xml:space="preserve">0927105027</t>
  </si>
  <si>
    <t xml:space="preserve">1138 TIMBER LN</t>
  </si>
  <si>
    <t xml:space="preserve">HAMOUI  DALAH</t>
  </si>
  <si>
    <t xml:space="preserve">09-27-108-023</t>
  </si>
  <si>
    <t xml:space="preserve">0927108023</t>
  </si>
  <si>
    <t xml:space="preserve">7422 DARIEN LN</t>
  </si>
  <si>
    <t xml:space="preserve">GJUROVSKI  DRAGAN</t>
  </si>
  <si>
    <t xml:space="preserve">09-27-413-076</t>
  </si>
  <si>
    <t xml:space="preserve">0927413076</t>
  </si>
  <si>
    <t xml:space="preserve">7502 FARMINGDALE DR # 406</t>
  </si>
  <si>
    <t xml:space="preserve">IBERLE  JANE F</t>
  </si>
  <si>
    <t xml:space="preserve">09-27-414-040</t>
  </si>
  <si>
    <t xml:space="preserve">0927414040</t>
  </si>
  <si>
    <t xml:space="preserve">326 SHERIDAN DR # 40</t>
  </si>
  <si>
    <t xml:space="preserve">DE VERA  A &amp; E DE LA CRUZ</t>
  </si>
  <si>
    <t xml:space="preserve">09-28-106-007</t>
  </si>
  <si>
    <t xml:space="preserve">0928106007</t>
  </si>
  <si>
    <t xml:space="preserve">1822 GIGI LN</t>
  </si>
  <si>
    <t xml:space="preserve">ALMASHRIQI  DUAA</t>
  </si>
  <si>
    <t xml:space="preserve">09-28-311-004</t>
  </si>
  <si>
    <t xml:space="preserve">0928311004</t>
  </si>
  <si>
    <t xml:space="preserve">1901 MANNING RD</t>
  </si>
  <si>
    <t xml:space="preserve">CHONG  LESLIA LAI KIT</t>
  </si>
  <si>
    <t xml:space="preserve">09-28-413-012</t>
  </si>
  <si>
    <t xml:space="preserve">0928413012</t>
  </si>
  <si>
    <t xml:space="preserve">1447 COVENTRY CT</t>
  </si>
  <si>
    <t xml:space="preserve">KOVALSKIS  VALDAS &amp; NIJOLE</t>
  </si>
  <si>
    <t xml:space="preserve">09-29-204-040</t>
  </si>
  <si>
    <t xml:space="preserve">0929204040</t>
  </si>
  <si>
    <t xml:space="preserve">813 74TH ST</t>
  </si>
  <si>
    <t xml:space="preserve">FORGUE  ROBERT L</t>
  </si>
  <si>
    <t xml:space="preserve">09-29-205-011</t>
  </si>
  <si>
    <t xml:space="preserve">0929205011</t>
  </si>
  <si>
    <t xml:space="preserve">713 RIDGEVIEW ST</t>
  </si>
  <si>
    <t xml:space="preserve">MITCHELL  ROBERT L</t>
  </si>
  <si>
    <t xml:space="preserve">09-29-207-007</t>
  </si>
  <si>
    <t xml:space="preserve">0929207007</t>
  </si>
  <si>
    <t xml:space="preserve">7129 BLACKBURN AVE</t>
  </si>
  <si>
    <t xml:space="preserve">JAHELKA  ANDREW</t>
  </si>
  <si>
    <t xml:space="preserve">09-29-209-007</t>
  </si>
  <si>
    <t xml:space="preserve">0929209007</t>
  </si>
  <si>
    <t xml:space="preserve">436 RIDGEVIEW ST</t>
  </si>
  <si>
    <t xml:space="preserve">STONYS  GABRIEL</t>
  </si>
  <si>
    <t xml:space="preserve">09-29-214-028</t>
  </si>
  <si>
    <t xml:space="preserve">0929214028</t>
  </si>
  <si>
    <t xml:space="preserve">548 73RD ST # 104</t>
  </si>
  <si>
    <t xml:space="preserve">BOJOVIC  SANDRA</t>
  </si>
  <si>
    <t xml:space="preserve">09-29-214-034</t>
  </si>
  <si>
    <t xml:space="preserve">0929214034</t>
  </si>
  <si>
    <t xml:space="preserve">548 73RD ST # M-204</t>
  </si>
  <si>
    <t xml:space="preserve">09-29-214-077</t>
  </si>
  <si>
    <t xml:space="preserve">0929214077</t>
  </si>
  <si>
    <t xml:space="preserve">500 74TH ST # 105</t>
  </si>
  <si>
    <t xml:space="preserve">09-29-214-083</t>
  </si>
  <si>
    <t xml:space="preserve">0929214083</t>
  </si>
  <si>
    <t xml:space="preserve">500 74TH ST # 205</t>
  </si>
  <si>
    <t xml:space="preserve">SCOTT  NATHANIEL J</t>
  </si>
  <si>
    <t xml:space="preserve">09-29-214-106</t>
  </si>
  <si>
    <t xml:space="preserve">0929214106</t>
  </si>
  <si>
    <t xml:space="preserve">460 74TH ST # S-204</t>
  </si>
  <si>
    <t xml:space="preserve">KUZYK  OLEKSANDR</t>
  </si>
  <si>
    <t xml:space="preserve">09-29-215-020</t>
  </si>
  <si>
    <t xml:space="preserve">0929215020</t>
  </si>
  <si>
    <t xml:space="preserve">7420 GRAND AVE # 202</t>
  </si>
  <si>
    <t xml:space="preserve">BORRUEL  BEATRIZ X</t>
  </si>
  <si>
    <t xml:space="preserve">09-29-215-047</t>
  </si>
  <si>
    <t xml:space="preserve">0929215047</t>
  </si>
  <si>
    <t xml:space="preserve">7460 GRAND AVE # 205</t>
  </si>
  <si>
    <t xml:space="preserve">CHICAGO TITLE 8002365028</t>
  </si>
  <si>
    <t xml:space="preserve">09-29-218-036</t>
  </si>
  <si>
    <t xml:space="preserve">0929218036</t>
  </si>
  <si>
    <t xml:space="preserve">7315 WINTHROP WAY</t>
  </si>
  <si>
    <t xml:space="preserve">APONTE ORTIZ  ALIX M</t>
  </si>
  <si>
    <t xml:space="preserve">09-29-218-052</t>
  </si>
  <si>
    <t xml:space="preserve">0929218052</t>
  </si>
  <si>
    <t xml:space="preserve">7330 WINTHROP WAY # 8</t>
  </si>
  <si>
    <t xml:space="preserve">CHICAGO TITLE 8002385966</t>
  </si>
  <si>
    <t xml:space="preserve">09-29-220-006</t>
  </si>
  <si>
    <t xml:space="preserve">0929220006</t>
  </si>
  <si>
    <t xml:space="preserve">440 74TH ST # 106</t>
  </si>
  <si>
    <t xml:space="preserve">REMIYAS  WILLIAM P</t>
  </si>
  <si>
    <t xml:space="preserve">09-29-220-073</t>
  </si>
  <si>
    <t xml:space="preserve">0929220073</t>
  </si>
  <si>
    <t xml:space="preserve">431 73RD ST # 101</t>
  </si>
  <si>
    <t xml:space="preserve">BRANCATO  DONALD R</t>
  </si>
  <si>
    <t xml:space="preserve">09-30-302-027</t>
  </si>
  <si>
    <t xml:space="preserve">0930302027</t>
  </si>
  <si>
    <t xml:space="preserve">7605 BRISTOL CT # C</t>
  </si>
  <si>
    <t xml:space="preserve">CZUBERNAT  PETER</t>
  </si>
  <si>
    <t xml:space="preserve">09-30-302-036</t>
  </si>
  <si>
    <t xml:space="preserve">0930302036</t>
  </si>
  <si>
    <t xml:space="preserve">7613 BRISTOL CT # A</t>
  </si>
  <si>
    <t xml:space="preserve">FLEISHER  DAVID &amp; LOIS</t>
  </si>
  <si>
    <t xml:space="preserve">09-31-104-014</t>
  </si>
  <si>
    <t xml:space="preserve">0931104014</t>
  </si>
  <si>
    <t xml:space="preserve">1808 CHIPPINGHAM RD</t>
  </si>
  <si>
    <t xml:space="preserve">FATIGATI  NICK</t>
  </si>
  <si>
    <t xml:space="preserve">09-31-412-023</t>
  </si>
  <si>
    <t xml:space="preserve">0931412023</t>
  </si>
  <si>
    <t xml:space="preserve">8574 SANDALWOOD DR</t>
  </si>
  <si>
    <t xml:space="preserve">MITHAIWALA  FATIMA &amp; Z</t>
  </si>
  <si>
    <t xml:space="preserve">09-31-414-058</t>
  </si>
  <si>
    <t xml:space="preserve">0931414058</t>
  </si>
  <si>
    <t xml:space="preserve">8414 SANDALWOOD CT</t>
  </si>
  <si>
    <t xml:space="preserve">ZAYED  HANNA F</t>
  </si>
  <si>
    <t xml:space="preserve">09-32-114-021</t>
  </si>
  <si>
    <t xml:space="preserve">0932114021</t>
  </si>
  <si>
    <t xml:space="preserve">2701 CURAN CT</t>
  </si>
  <si>
    <t xml:space="preserve">AVILA  PATRICIA</t>
  </si>
  <si>
    <t xml:space="preserve">09-32-216-040</t>
  </si>
  <si>
    <t xml:space="preserve">0932216040</t>
  </si>
  <si>
    <t xml:space="preserve">512 REDONDO DR # 404</t>
  </si>
  <si>
    <t xml:space="preserve">NOLAN  VICTORIA G</t>
  </si>
  <si>
    <t xml:space="preserve">09-32-216-056</t>
  </si>
  <si>
    <t xml:space="preserve">0932216056</t>
  </si>
  <si>
    <t xml:space="preserve">512 REDONDO DR # 508</t>
  </si>
  <si>
    <t xml:space="preserve">VUJOSEVIC  SLOBODAN</t>
  </si>
  <si>
    <t xml:space="preserve">09-32-218-028</t>
  </si>
  <si>
    <t xml:space="preserve">0932218028</t>
  </si>
  <si>
    <t xml:space="preserve">502 REDONDO DR # 303</t>
  </si>
  <si>
    <t xml:space="preserve">TING  HAK</t>
  </si>
  <si>
    <t xml:space="preserve">09-32-220-010</t>
  </si>
  <si>
    <t xml:space="preserve">0932220010</t>
  </si>
  <si>
    <t xml:space="preserve">8025 WOODGLEN LN # 109</t>
  </si>
  <si>
    <t xml:space="preserve">THAI  KIM S &amp; B G TAN</t>
  </si>
  <si>
    <t xml:space="preserve">09-32-221-075</t>
  </si>
  <si>
    <t xml:space="preserve">0932221075</t>
  </si>
  <si>
    <t xml:space="preserve">19W140 MALLARD CT</t>
  </si>
  <si>
    <t xml:space="preserve">GOOD  DONALD &amp; SARAH CARD</t>
  </si>
  <si>
    <t xml:space="preserve">09-32-405-021</t>
  </si>
  <si>
    <t xml:space="preserve">0932405021</t>
  </si>
  <si>
    <t xml:space="preserve">8320 HELEN CT</t>
  </si>
  <si>
    <t xml:space="preserve">FERNANDEZ  CYNTHIA M</t>
  </si>
  <si>
    <t xml:space="preserve">09-33-106-044</t>
  </si>
  <si>
    <t xml:space="preserve">0933106044</t>
  </si>
  <si>
    <t xml:space="preserve">9S344 CUMNOR RD</t>
  </si>
  <si>
    <t xml:space="preserve">HUSSAIN  SHABAN</t>
  </si>
  <si>
    <t xml:space="preserve">09-33-307-016</t>
  </si>
  <si>
    <t xml:space="preserve">0933307016</t>
  </si>
  <si>
    <t xml:space="preserve">8432 CREEKSIDE LN</t>
  </si>
  <si>
    <t xml:space="preserve">KRUEGER  CHARLOTTE &amp; W</t>
  </si>
  <si>
    <t xml:space="preserve">09-34-117-005</t>
  </si>
  <si>
    <t xml:space="preserve">0934117005</t>
  </si>
  <si>
    <t xml:space="preserve">1029 BOB-O-LINK LN</t>
  </si>
  <si>
    <t xml:space="preserve">UCCARDI  RONALD J</t>
  </si>
  <si>
    <t xml:space="preserve">09-34-201-050</t>
  </si>
  <si>
    <t xml:space="preserve">0934201050</t>
  </si>
  <si>
    <t xml:space="preserve">8203 SAWYER CT</t>
  </si>
  <si>
    <t xml:space="preserve">DIMITROV  NICOLA</t>
  </si>
  <si>
    <t xml:space="preserve">09-34-213-004</t>
  </si>
  <si>
    <t xml:space="preserve">0934213004</t>
  </si>
  <si>
    <t xml:space="preserve">709 79TH ST # 104</t>
  </si>
  <si>
    <t xml:space="preserve">TODOROW  M &amp; K VORDANOVA</t>
  </si>
  <si>
    <t xml:space="preserve">09-34-213-025</t>
  </si>
  <si>
    <t xml:space="preserve">0934213025</t>
  </si>
  <si>
    <t xml:space="preserve">709 79TH ST # 305</t>
  </si>
  <si>
    <t xml:space="preserve">RAMOS  RIZALINA</t>
  </si>
  <si>
    <t xml:space="preserve">09-34-409-001</t>
  </si>
  <si>
    <t xml:space="preserve">0934409001</t>
  </si>
  <si>
    <t xml:space="preserve">17W125 ELM ST</t>
  </si>
  <si>
    <t xml:space="preserve">ELKHADRA  NAWAL</t>
  </si>
  <si>
    <t xml:space="preserve">09-35-106-002</t>
  </si>
  <si>
    <t xml:space="preserve">0935106002</t>
  </si>
  <si>
    <t xml:space="preserve">8157 SUNSET RD</t>
  </si>
  <si>
    <t xml:space="preserve">DOBRASINOVIC  JULIJA &amp; JELENA</t>
  </si>
  <si>
    <t xml:space="preserve">09-35-114-032</t>
  </si>
  <si>
    <t xml:space="preserve">0935114032</t>
  </si>
  <si>
    <t xml:space="preserve">16W535 79TH ST # 208</t>
  </si>
  <si>
    <t xml:space="preserve">JASAITIS  ANTANAS</t>
  </si>
  <si>
    <t xml:space="preserve">09-35-114-064</t>
  </si>
  <si>
    <t xml:space="preserve">0935114064</t>
  </si>
  <si>
    <t xml:space="preserve">16W471 79TH ST # 4N-208</t>
  </si>
  <si>
    <t xml:space="preserve">KLING  SHARON</t>
  </si>
  <si>
    <t xml:space="preserve">09-35-114-255</t>
  </si>
  <si>
    <t xml:space="preserve">0935114255</t>
  </si>
  <si>
    <t xml:space="preserve">9S220 LAKE DR # 16-203</t>
  </si>
  <si>
    <t xml:space="preserve">PEREZ  GILMA</t>
  </si>
  <si>
    <t xml:space="preserve">09-35-114-464</t>
  </si>
  <si>
    <t xml:space="preserve">0935114464</t>
  </si>
  <si>
    <t xml:space="preserve">9S116 FRONTAGE RD # 27-108</t>
  </si>
  <si>
    <t xml:space="preserve">NEGRETE  LARRY &amp; MARIE</t>
  </si>
  <si>
    <t xml:space="preserve">09-35-300-018</t>
  </si>
  <si>
    <t xml:space="preserve">0935300018</t>
  </si>
  <si>
    <t xml:space="preserve">9S507 CLARENDON HILLS</t>
  </si>
  <si>
    <t xml:space="preserve">MC KENNA  BRIAN &amp; BRIDGET</t>
  </si>
  <si>
    <t xml:space="preserve">09-35-304-007</t>
  </si>
  <si>
    <t xml:space="preserve">0935304007</t>
  </si>
  <si>
    <t xml:space="preserve">9S706 WILLIAM DR</t>
  </si>
  <si>
    <t xml:space="preserve">TRUST AM54321</t>
  </si>
  <si>
    <t xml:space="preserve">09-35-305-027</t>
  </si>
  <si>
    <t xml:space="preserve">0935305027</t>
  </si>
  <si>
    <t xml:space="preserve">9S420 ALLISON CT</t>
  </si>
  <si>
    <t xml:space="preserve">SCHMIDT TR  S P</t>
  </si>
  <si>
    <t xml:space="preserve">09-35-309-013</t>
  </si>
  <si>
    <t xml:space="preserve">0935309013</t>
  </si>
  <si>
    <t xml:space="preserve">342 SUNRISE AVE</t>
  </si>
  <si>
    <t xml:space="preserve">ALI  NABEEL B</t>
  </si>
  <si>
    <t xml:space="preserve">09-35-312-024</t>
  </si>
  <si>
    <t xml:space="preserve">0935312024</t>
  </si>
  <si>
    <t xml:space="preserve">16W484 CENTRAL AVE</t>
  </si>
  <si>
    <t xml:space="preserve">BECERRA  ELIZABETH</t>
  </si>
  <si>
    <t xml:space="preserve">09-35-314-022</t>
  </si>
  <si>
    <t xml:space="preserve">0935314022</t>
  </si>
  <si>
    <t xml:space="preserve">9S760 RT 83</t>
  </si>
  <si>
    <t xml:space="preserve">KRUEGER  CHAR &amp; WALTER</t>
  </si>
  <si>
    <t xml:space="preserve">09-35-315-008</t>
  </si>
  <si>
    <t xml:space="preserve">0935315008</t>
  </si>
  <si>
    <t xml:space="preserve">16W688 MARYBETH CT</t>
  </si>
  <si>
    <t xml:space="preserve">CHICAGO TITLE #8002371619</t>
  </si>
  <si>
    <t xml:space="preserve">09-35-401-008</t>
  </si>
  <si>
    <t xml:space="preserve">0935401008</t>
  </si>
  <si>
    <t xml:space="preserve">8617 MEADOWBROOK DR</t>
  </si>
  <si>
    <t xml:space="preserve">LAMKIN  ROBERT J</t>
  </si>
  <si>
    <t xml:space="preserve">09-36-209-003</t>
  </si>
  <si>
    <t xml:space="preserve">0936209003</t>
  </si>
  <si>
    <t xml:space="preserve">15W341 81ST ST # 1-3</t>
  </si>
  <si>
    <t xml:space="preserve">LTC 008002387879</t>
  </si>
  <si>
    <t xml:space="preserve">09-36-209-016</t>
  </si>
  <si>
    <t xml:space="preserve">0936209016</t>
  </si>
  <si>
    <t xml:space="preserve">8094 GARFIELD AVE UNIT 4-4</t>
  </si>
  <si>
    <t xml:space="preserve">DARWISH  ASHRAF</t>
  </si>
  <si>
    <t xml:space="preserve">09-36-210-012</t>
  </si>
  <si>
    <t xml:space="preserve">0936210012</t>
  </si>
  <si>
    <t xml:space="preserve">7978 GARFIELD AVE # 206</t>
  </si>
  <si>
    <t xml:space="preserve">KRUEGER  CHARLOTTE</t>
  </si>
  <si>
    <t xml:space="preserve">09-36-210-026</t>
  </si>
  <si>
    <t xml:space="preserve">0936210026</t>
  </si>
  <si>
    <t xml:space="preserve">7966 GARFIELD AVE # 212</t>
  </si>
  <si>
    <t xml:space="preserve">ROTTER  DAVID</t>
  </si>
  <si>
    <t xml:space="preserve">10-01-203-014</t>
  </si>
  <si>
    <t xml:space="preserve">1001203014</t>
  </si>
  <si>
    <t xml:space="preserve">211 DEVON DR</t>
  </si>
  <si>
    <t xml:space="preserve">MCCAMBRIDGE  CHRISTINE</t>
  </si>
  <si>
    <t xml:space="preserve">10-01-301-012</t>
  </si>
  <si>
    <t xml:space="preserve">1001301012</t>
  </si>
  <si>
    <t xml:space="preserve">10S540 GLENN DR</t>
  </si>
  <si>
    <t xml:space="preserve">SLAVINSKAS  JUSTINAS &amp; LEISAN</t>
  </si>
  <si>
    <t xml:space="preserve">10-01-308-018</t>
  </si>
  <si>
    <t xml:space="preserve">1001308018</t>
  </si>
  <si>
    <t xml:space="preserve">43 OAK CREEK CT</t>
  </si>
  <si>
    <t xml:space="preserve">PINA  N &amp; J CAMPOS</t>
  </si>
  <si>
    <t xml:space="preserve">10-02-102-003</t>
  </si>
  <si>
    <t xml:space="preserve">1002102003</t>
  </si>
  <si>
    <t xml:space="preserve">16W553 TIMBERLAKE DR</t>
  </si>
  <si>
    <t xml:space="preserve">JOBB  BRUCE A &amp; VIVIEN M</t>
  </si>
  <si>
    <t xml:space="preserve">10-02-102-004</t>
  </si>
  <si>
    <t xml:space="preserve">1002102004</t>
  </si>
  <si>
    <t xml:space="preserve">16W541 TIMBERLAKE DR</t>
  </si>
  <si>
    <t xml:space="preserve">CARRANO  STEVEN C</t>
  </si>
  <si>
    <t xml:space="preserve">10-02-210-010</t>
  </si>
  <si>
    <t xml:space="preserve">1002210010</t>
  </si>
  <si>
    <t xml:space="preserve">9005 SKYLINE DR</t>
  </si>
  <si>
    <t xml:space="preserve">LEON  DANIEL</t>
  </si>
  <si>
    <t xml:space="preserve">10-02-211-002</t>
  </si>
  <si>
    <t xml:space="preserve">1002211002</t>
  </si>
  <si>
    <t xml:space="preserve">16W122 91ST ST</t>
  </si>
  <si>
    <t xml:space="preserve">SPIROVSKI  FRANK &amp; LYDIA</t>
  </si>
  <si>
    <t xml:space="preserve">10-02-309-005</t>
  </si>
  <si>
    <t xml:space="preserve">1002309005</t>
  </si>
  <si>
    <t xml:space="preserve">10S421 ECHO LN</t>
  </si>
  <si>
    <t xml:space="preserve">ARSOVSKA  ELEONORA</t>
  </si>
  <si>
    <t xml:space="preserve">10-02-312-136</t>
  </si>
  <si>
    <t xml:space="preserve">1002312136</t>
  </si>
  <si>
    <t xml:space="preserve">16W611 MOCKINGBIRD LN # 33-108</t>
  </si>
  <si>
    <t xml:space="preserve">TAKAMOL INVESTMENT GROUP</t>
  </si>
  <si>
    <t xml:space="preserve">10-02-403-020</t>
  </si>
  <si>
    <t xml:space="preserve">1002403020</t>
  </si>
  <si>
    <t xml:space="preserve">16W340 94TH PL</t>
  </si>
  <si>
    <t xml:space="preserve">SAMPLE JR  MADISON</t>
  </si>
  <si>
    <t xml:space="preserve">10-02-409-031</t>
  </si>
  <si>
    <t xml:space="preserve">1002409031</t>
  </si>
  <si>
    <t xml:space="preserve">9476 FALLING WATERS</t>
  </si>
  <si>
    <t xml:space="preserve">BARNES  DON W</t>
  </si>
  <si>
    <t xml:space="preserve">10-04-102-003</t>
  </si>
  <si>
    <t xml:space="preserve">1004102003</t>
  </si>
  <si>
    <t xml:space="preserve">1609 ROYAL OAK RD</t>
  </si>
  <si>
    <t xml:space="preserve">EXCELLENT WOODWORKING INC</t>
  </si>
  <si>
    <t xml:space="preserve">10-05-206-003</t>
  </si>
  <si>
    <t xml:space="preserve">1005206003</t>
  </si>
  <si>
    <t xml:space="preserve">2221 DONEGAL DR</t>
  </si>
  <si>
    <t xml:space="preserve">TOPOR  ADRIAN</t>
  </si>
  <si>
    <t xml:space="preserve">10-05-405-070</t>
  </si>
  <si>
    <t xml:space="preserve">1005405070</t>
  </si>
  <si>
    <t xml:space="preserve">9477 WATERFALL GLEN</t>
  </si>
  <si>
    <t xml:space="preserve">PALMER  NICOLE A</t>
  </si>
  <si>
    <t xml:space="preserve">10-06-101-040</t>
  </si>
  <si>
    <t xml:space="preserve">1006101040</t>
  </si>
  <si>
    <t xml:space="preserve">20W431 HAVENS CT</t>
  </si>
  <si>
    <t xml:space="preserve">GARZA  OSCAR &amp; ROSA</t>
  </si>
  <si>
    <t xml:space="preserve">10-06-105-059</t>
  </si>
  <si>
    <t xml:space="preserve">1006105059</t>
  </si>
  <si>
    <t xml:space="preserve">1360 HASTINGS RD</t>
  </si>
  <si>
    <t xml:space="preserve">RUVALCABA  MARIA L</t>
  </si>
  <si>
    <t xml:space="preserve">10-06-401-004</t>
  </si>
  <si>
    <t xml:space="preserve">1006401004</t>
  </si>
  <si>
    <t xml:space="preserve">1310 RUTGERS DR</t>
  </si>
  <si>
    <t xml:space="preserve">NELSON  IRENE &amp; MICHAEL</t>
  </si>
  <si>
    <t xml:space="preserve">10-06-410-030</t>
  </si>
  <si>
    <t xml:space="preserve">1006410030</t>
  </si>
  <si>
    <t xml:space="preserve">9066 GLOUCESTER RD</t>
  </si>
  <si>
    <t xml:space="preserve">HERRERA  ALEJANDRO &amp;SUSAN</t>
  </si>
  <si>
    <t xml:space="preserve">10-07-402-010</t>
  </si>
  <si>
    <t xml:space="preserve">1007402010</t>
  </si>
  <si>
    <t xml:space="preserve">20W260 MEADOW LN</t>
  </si>
  <si>
    <t xml:space="preserve">LEMONT</t>
  </si>
  <si>
    <t xml:space="preserve">10-08-101-026</t>
  </si>
  <si>
    <t xml:space="preserve">1008101026</t>
  </si>
  <si>
    <t xml:space="preserve">19W665 FRONTAGE RD</t>
  </si>
  <si>
    <t xml:space="preserve">10-08-104-030</t>
  </si>
  <si>
    <t xml:space="preserve">1008104030</t>
  </si>
  <si>
    <t xml:space="preserve">11S370 LEMONT RD</t>
  </si>
  <si>
    <t xml:space="preserve">KAPLANOV  KIRIL</t>
  </si>
  <si>
    <t xml:space="preserve">10-11-201-002</t>
  </si>
  <si>
    <t xml:space="preserve">1011201002</t>
  </si>
  <si>
    <t xml:space="preserve">16W361 95TH PL</t>
  </si>
  <si>
    <t xml:space="preserve">JI  XUEMEI</t>
  </si>
  <si>
    <t xml:space="preserve">10-11-303-034</t>
  </si>
  <si>
    <t xml:space="preserve">1011303034</t>
  </si>
  <si>
    <t xml:space="preserve">11S467 RACHAEL CT</t>
  </si>
  <si>
    <t xml:space="preserve">FAISAL  NEELAM Y</t>
  </si>
  <si>
    <t xml:space="preserve">10-17-310-001</t>
  </si>
  <si>
    <t xml:space="preserve">1017310001</t>
  </si>
  <si>
    <t xml:space="preserve">10750 CHRISTOPHER DR</t>
  </si>
  <si>
    <t xml:space="preserve">LAMBIRIS  GINA M</t>
  </si>
  <si>
    <t xml:space="preserve">10-18-400-071</t>
  </si>
  <si>
    <t xml:space="preserve">1018400071</t>
  </si>
  <si>
    <t xml:space="preserve">PIN OAK CT</t>
  </si>
  <si>
    <t xml:space="preserve">Total</t>
  </si>
  <si>
    <t xml:space="preserve">strip center</t>
  </si>
  <si>
    <t xml:space="preserve">MILLION WAYS SERIES LLC</t>
  </si>
  <si>
    <t xml:space="preserve">02-02-317-002</t>
  </si>
  <si>
    <t xml:space="preserve">0202317002</t>
  </si>
  <si>
    <t xml:space="preserve">60 - Commercial Improvements</t>
  </si>
  <si>
    <t xml:space="preserve">610 E IRVING PARK RD</t>
  </si>
  <si>
    <t xml:space="preserve">MANGY DAWG ROSELLE INC</t>
  </si>
  <si>
    <t xml:space="preserve">02-03-213-002</t>
  </si>
  <si>
    <t xml:space="preserve">0203213002</t>
  </si>
  <si>
    <t xml:space="preserve">101-03 E IRVING PARK RD</t>
  </si>
  <si>
    <t xml:space="preserve">hotel</t>
  </si>
  <si>
    <t xml:space="preserve">IHP HOSPITALITY LLC</t>
  </si>
  <si>
    <t xml:space="preserve">03-05-200-031</t>
  </si>
  <si>
    <t xml:space="preserve">0305200031</t>
  </si>
  <si>
    <t xml:space="preserve">1150 N ARLINGTON HTS</t>
  </si>
  <si>
    <t xml:space="preserve">EDWINBERRY PROPERTIES LLC</t>
  </si>
  <si>
    <t xml:space="preserve">05-09-107-004</t>
  </si>
  <si>
    <t xml:space="preserve">0509107004</t>
  </si>
  <si>
    <t xml:space="preserve">1600 N MAIN ST</t>
  </si>
  <si>
    <t xml:space="preserve">apts</t>
  </si>
  <si>
    <t xml:space="preserve">06-08-100-009</t>
  </si>
  <si>
    <t xml:space="preserve">0608100009</t>
  </si>
  <si>
    <t xml:space="preserve">9 N MAIN ST</t>
  </si>
  <si>
    <t xml:space="preserve">brewing company - store</t>
  </si>
  <si>
    <t xml:space="preserve">TRIARC DEVELOPMENT LLC</t>
  </si>
  <si>
    <t xml:space="preserve">06-08-105-013</t>
  </si>
  <si>
    <t xml:space="preserve">0608105013</t>
  </si>
  <si>
    <t xml:space="preserve">218 E ST CHARLES RD</t>
  </si>
  <si>
    <t xml:space="preserve">06-08-121-020</t>
  </si>
  <si>
    <t xml:space="preserve">0608121020</t>
  </si>
  <si>
    <t xml:space="preserve">15 E MAPLE ST</t>
  </si>
  <si>
    <t xml:space="preserve">fitness center</t>
  </si>
  <si>
    <t xml:space="preserve">06-08-133-004</t>
  </si>
  <si>
    <t xml:space="preserve">0608133004</t>
  </si>
  <si>
    <t xml:space="preserve">216 E ST CHARLES RD</t>
  </si>
  <si>
    <t xml:space="preserve">dowtntown store</t>
  </si>
  <si>
    <t xml:space="preserve">SIFLEET  STACY</t>
  </si>
  <si>
    <t xml:space="preserve">06-10-118-001</t>
  </si>
  <si>
    <t xml:space="preserve">0610118001</t>
  </si>
  <si>
    <t xml:space="preserve">1 E PARK BLVD</t>
  </si>
  <si>
    <t xml:space="preserve">office</t>
  </si>
  <si>
    <t xml:space="preserve">DM EQUITIES LLC</t>
  </si>
  <si>
    <t xml:space="preserve">06-19-305-006</t>
  </si>
  <si>
    <t xml:space="preserve">0619305006</t>
  </si>
  <si>
    <t xml:space="preserve">555 WATERS EDGE</t>
  </si>
  <si>
    <t xml:space="preserve">dr office suite</t>
  </si>
  <si>
    <t xml:space="preserve">SPK HOLDINGS LLC</t>
  </si>
  <si>
    <t xml:space="preserve">06-21-405-020</t>
  </si>
  <si>
    <t xml:space="preserve">0621405020</t>
  </si>
  <si>
    <t xml:space="preserve">1 TRANSAM PLAZA # 310</t>
  </si>
  <si>
    <t xml:space="preserve">cannabis store</t>
  </si>
  <si>
    <t xml:space="preserve">SUMMIT OBT LLC</t>
  </si>
  <si>
    <t xml:space="preserve">06-22-100-008</t>
  </si>
  <si>
    <t xml:space="preserve">0622100008</t>
  </si>
  <si>
    <t xml:space="preserve">1S130 SUMMIT AVE</t>
  </si>
  <si>
    <t xml:space="preserve">office 1/2 installment</t>
  </si>
  <si>
    <t xml:space="preserve">1430 BRANDING DG LLC</t>
  </si>
  <si>
    <t xml:space="preserve">06-30-407-009</t>
  </si>
  <si>
    <t xml:space="preserve">0630407009</t>
  </si>
  <si>
    <t xml:space="preserve">1430 BRANDING AVE</t>
  </si>
  <si>
    <t xml:space="preserve">panera</t>
  </si>
  <si>
    <t xml:space="preserve">PANERA LLC</t>
  </si>
  <si>
    <t xml:space="preserve">07-10-105-013</t>
  </si>
  <si>
    <t xml:space="preserve">0710105013</t>
  </si>
  <si>
    <t xml:space="preserve">1620 N ROUTE 59</t>
  </si>
  <si>
    <t xml:space="preserve">offfice buildings</t>
  </si>
  <si>
    <t xml:space="preserve">BOBR GROUP LLC</t>
  </si>
  <si>
    <t xml:space="preserve">07-12-204-005</t>
  </si>
  <si>
    <t xml:space="preserve">0712204005</t>
  </si>
  <si>
    <t xml:space="preserve">1717 PARK ST</t>
  </si>
  <si>
    <t xml:space="preserve">restaurant</t>
  </si>
  <si>
    <t xml:space="preserve">48 WEST CHICAGO LLC</t>
  </si>
  <si>
    <t xml:space="preserve">07-13-436-016</t>
  </si>
  <si>
    <t xml:space="preserve">0713436016</t>
  </si>
  <si>
    <t xml:space="preserve">36-50 W CHICAGO AVE</t>
  </si>
  <si>
    <t xml:space="preserve">white castle</t>
  </si>
  <si>
    <t xml:space="preserve">HD WHITE CASTLE LLC</t>
  </si>
  <si>
    <t xml:space="preserve">07-21-200-061</t>
  </si>
  <si>
    <t xml:space="preserve">0721200061</t>
  </si>
  <si>
    <t xml:space="preserve">444 N RT 59</t>
  </si>
  <si>
    <t xml:space="preserve">TF PORTFOLIO I LLC</t>
  </si>
  <si>
    <t xml:space="preserve">09-04-403-001</t>
  </si>
  <si>
    <t xml:space="preserve">0904403001</t>
  </si>
  <si>
    <t xml:space="preserve">19-31 W OGDEN AVE</t>
  </si>
  <si>
    <t xml:space="preserve">WEST SUBURBAN BANK</t>
  </si>
  <si>
    <t xml:space="preserve">09-08-116-007</t>
  </si>
  <si>
    <t xml:space="preserve">0908116007</t>
  </si>
  <si>
    <t xml:space="preserve">4925 FOREST AVE</t>
  </si>
  <si>
    <t xml:space="preserve">6010 MANAGEMENT LLC</t>
  </si>
  <si>
    <t xml:space="preserve">09-16-402-018</t>
  </si>
  <si>
    <t xml:space="preserve">0916402018</t>
  </si>
  <si>
    <t xml:space="preserve">6010 S CASS AVE</t>
  </si>
  <si>
    <t xml:space="preserve">office suite</t>
  </si>
  <si>
    <t xml:space="preserve">6424 CASS PROPERTIES LLC</t>
  </si>
  <si>
    <t xml:space="preserve">09-21-217-015</t>
  </si>
  <si>
    <t xml:space="preserve">0921217015</t>
  </si>
  <si>
    <t xml:space="preserve">6424 S CASS AVE # 403</t>
  </si>
  <si>
    <t xml:space="preserve">Hotel</t>
  </si>
  <si>
    <t xml:space="preserve">A1 HOSPITALITY</t>
  </si>
  <si>
    <t xml:space="preserve">09-26-402-028</t>
  </si>
  <si>
    <t xml:space="preserve">0926402028</t>
  </si>
  <si>
    <t xml:space="preserve">7800 KINGERY HWY</t>
  </si>
  <si>
    <t xml:space="preserve">1222 WEST ARGYLE LLC</t>
  </si>
  <si>
    <t xml:space="preserve">09-30-401-130</t>
  </si>
  <si>
    <t xml:space="preserve">0930401130</t>
  </si>
  <si>
    <t xml:space="preserve">7508 LEMONT RD</t>
  </si>
  <si>
    <t xml:space="preserve">ESQUIVEL  ALEJANDRO GUZMAN</t>
  </si>
  <si>
    <t xml:space="preserve">01-03-304-022</t>
  </si>
  <si>
    <t xml:space="preserve">0103304022</t>
  </si>
  <si>
    <t xml:space="preserve">914 BRYN MAWR AVE</t>
  </si>
  <si>
    <t xml:space="preserve">MAYNARD  DAVID</t>
  </si>
  <si>
    <t xml:space="preserve">02-03-323-003</t>
  </si>
  <si>
    <t xml:space="preserve">0203323003</t>
  </si>
  <si>
    <t xml:space="preserve">77 W CENTRAL AVE # 105</t>
  </si>
  <si>
    <t xml:space="preserve">KEAR  DANIEL &amp; FELICIDAD</t>
  </si>
  <si>
    <t xml:space="preserve">02-22-112-081</t>
  </si>
  <si>
    <t xml:space="preserve">0222112081</t>
  </si>
  <si>
    <t xml:space="preserve">152 W DUNTEMAN DR # 201</t>
  </si>
  <si>
    <t xml:space="preserve">SANDERS  LOIS P</t>
  </si>
  <si>
    <t xml:space="preserve">02-22-113-100</t>
  </si>
  <si>
    <t xml:space="preserve">0222113100</t>
  </si>
  <si>
    <t xml:space="preserve">200 S WATERS EDGE DR # 202</t>
  </si>
  <si>
    <t xml:space="preserve">ST ANDREW UKRAINIAN CHURCH</t>
  </si>
  <si>
    <t xml:space="preserve">02-23-418-004</t>
  </si>
  <si>
    <t xml:space="preserve">0223418004</t>
  </si>
  <si>
    <t xml:space="preserve">300 E ARMY TRAIL RD # 15</t>
  </si>
  <si>
    <t xml:space="preserve">ST ANDREW UKRANIAN CHURCH</t>
  </si>
  <si>
    <t xml:space="preserve">02-23-418-008</t>
  </si>
  <si>
    <t xml:space="preserve">0223418008</t>
  </si>
  <si>
    <t xml:space="preserve">300 E ARMY TRAIL RD # 19</t>
  </si>
  <si>
    <t xml:space="preserve">AIARDO  L &amp; R KIRBY</t>
  </si>
  <si>
    <t xml:space="preserve">02-24-207-008</t>
  </si>
  <si>
    <t xml:space="preserve">0224207008</t>
  </si>
  <si>
    <t xml:space="preserve">941 N RT 53 # 101C</t>
  </si>
  <si>
    <t xml:space="preserve">ABBAS  NAJAM &amp; SYEDA KAZMI</t>
  </si>
  <si>
    <t xml:space="preserve">02-29-111-090</t>
  </si>
  <si>
    <t xml:space="preserve">0229111090</t>
  </si>
  <si>
    <t xml:space="preserve">105 W ELK TRL # 305</t>
  </si>
  <si>
    <t xml:space="preserve">PATEL  ARPAN</t>
  </si>
  <si>
    <t xml:space="preserve">02-29-111-123</t>
  </si>
  <si>
    <t xml:space="preserve">0229111123</t>
  </si>
  <si>
    <t xml:space="preserve">161 ELK TRL # 262</t>
  </si>
  <si>
    <t xml:space="preserve">THOMAS III  JOHN</t>
  </si>
  <si>
    <t xml:space="preserve">02-29-117-009</t>
  </si>
  <si>
    <t xml:space="preserve">0229117009</t>
  </si>
  <si>
    <t xml:space="preserve">122 KLEIN CREEK CT # 3C</t>
  </si>
  <si>
    <t xml:space="preserve">GNATOVYCH  VOLODYMYR</t>
  </si>
  <si>
    <t xml:space="preserve">02-33-204-172</t>
  </si>
  <si>
    <t xml:space="preserve">0233204172</t>
  </si>
  <si>
    <t xml:space="preserve">1419 CLUB DR # A</t>
  </si>
  <si>
    <t xml:space="preserve">LUKASIK  MITCHELL &amp; D H</t>
  </si>
  <si>
    <t xml:space="preserve">03-20-412-010</t>
  </si>
  <si>
    <t xml:space="preserve">0320412010</t>
  </si>
  <si>
    <t xml:space="preserve">701 CRAIG PL</t>
  </si>
  <si>
    <t xml:space="preserve">RUFFIN  TERRY K</t>
  </si>
  <si>
    <t xml:space="preserve">03-24-314-006</t>
  </si>
  <si>
    <t xml:space="preserve">0324314006</t>
  </si>
  <si>
    <t xml:space="preserve">310 GEORGE ST # 2SE</t>
  </si>
  <si>
    <t xml:space="preserve">VILLASENOR  MIGUEL ANGEL</t>
  </si>
  <si>
    <t xml:space="preserve">03-25-120-036</t>
  </si>
  <si>
    <t xml:space="preserve">0325120036</t>
  </si>
  <si>
    <t xml:space="preserve">1043 S YORK RD # 412</t>
  </si>
  <si>
    <t xml:space="preserve">MANCZKO  THADDEUS J</t>
  </si>
  <si>
    <t xml:space="preserve">03-28-315-008</t>
  </si>
  <si>
    <t xml:space="preserve">0328315008</t>
  </si>
  <si>
    <t xml:space="preserve">239 S HALE ST</t>
  </si>
  <si>
    <t xml:space="preserve">MERKO  GRISELDA</t>
  </si>
  <si>
    <t xml:space="preserve">03-28-318-056</t>
  </si>
  <si>
    <t xml:space="preserve">0328318056</t>
  </si>
  <si>
    <t xml:space="preserve">300 W FULLERTON AVE # 227</t>
  </si>
  <si>
    <t xml:space="preserve">ESTATE ASSET GROUP LLC</t>
  </si>
  <si>
    <t xml:space="preserve">03-28-400-014</t>
  </si>
  <si>
    <t xml:space="preserve">0328400014</t>
  </si>
  <si>
    <t xml:space="preserve">8 S IOWA AVE</t>
  </si>
  <si>
    <t xml:space="preserve">GUDMUNDSON  ERIC A</t>
  </si>
  <si>
    <t xml:space="preserve">03-29-213-031</t>
  </si>
  <si>
    <t xml:space="preserve">0329213031</t>
  </si>
  <si>
    <t xml:space="preserve">235 N MILL RD # 216B</t>
  </si>
  <si>
    <t xml:space="preserve">BARI  SAQIB I</t>
  </si>
  <si>
    <t xml:space="preserve">05-03-211-182</t>
  </si>
  <si>
    <t xml:space="preserve">0503211182</t>
  </si>
  <si>
    <t xml:space="preserve">1129 CEDAR ST # 1B</t>
  </si>
  <si>
    <t xml:space="preserve">YAKOOB  MUHAMMAD &amp; AFIFAH</t>
  </si>
  <si>
    <t xml:space="preserve">05-23-321-194</t>
  </si>
  <si>
    <t xml:space="preserve">0523321194</t>
  </si>
  <si>
    <t xml:space="preserve">461 RAINTREE CT # 1-D</t>
  </si>
  <si>
    <t xml:space="preserve">YOUNG TR  ROSEMARY</t>
  </si>
  <si>
    <t xml:space="preserve">05-27-106-095</t>
  </si>
  <si>
    <t xml:space="preserve">0527106095</t>
  </si>
  <si>
    <t xml:space="preserve">1661 VALLEY FORGE CT # D</t>
  </si>
  <si>
    <t xml:space="preserve">TUREK  ROSE MARIE</t>
  </si>
  <si>
    <t xml:space="preserve">06-02-322-059</t>
  </si>
  <si>
    <t xml:space="preserve">0602322059</t>
  </si>
  <si>
    <t xml:space="preserve">255 S WEST AVE</t>
  </si>
  <si>
    <t xml:space="preserve">JONES  JAMES D</t>
  </si>
  <si>
    <t xml:space="preserve">06-02-322-065</t>
  </si>
  <si>
    <t xml:space="preserve">0602322065</t>
  </si>
  <si>
    <t xml:space="preserve">255 S WEST AVE # 402</t>
  </si>
  <si>
    <t xml:space="preserve">NURAIN  SABA &amp; SUMERA FATIMA</t>
  </si>
  <si>
    <t xml:space="preserve">06-04-418-007</t>
  </si>
  <si>
    <t xml:space="preserve">0604418007</t>
  </si>
  <si>
    <t xml:space="preserve">323 N PRINCETON AVE # 7</t>
  </si>
  <si>
    <t xml:space="preserve">AUGUST  RICHARD</t>
  </si>
  <si>
    <t xml:space="preserve">06-19-203-054</t>
  </si>
  <si>
    <t xml:space="preserve">0619203054</t>
  </si>
  <si>
    <t xml:space="preserve">1320A LORE LN # 106</t>
  </si>
  <si>
    <t xml:space="preserve">SENS  JACOB O</t>
  </si>
  <si>
    <t xml:space="preserve">06-19-212-046</t>
  </si>
  <si>
    <t xml:space="preserve">0619212046</t>
  </si>
  <si>
    <t xml:space="preserve">1301 S FINLEY RD # 306</t>
  </si>
  <si>
    <t xml:space="preserve">BENNETT  RUBY &amp; SAMMUEL</t>
  </si>
  <si>
    <t xml:space="preserve">06-19-212-079</t>
  </si>
  <si>
    <t xml:space="preserve">0619212079</t>
  </si>
  <si>
    <t xml:space="preserve">1301 S FINLEY RD # 417</t>
  </si>
  <si>
    <t xml:space="preserve">RIENDEAU  CHRISTINE</t>
  </si>
  <si>
    <t xml:space="preserve">06-19-213-010</t>
  </si>
  <si>
    <t xml:space="preserve">0619213010</t>
  </si>
  <si>
    <t xml:space="preserve">1311 S FINLEY RD # 110</t>
  </si>
  <si>
    <t xml:space="preserve">SYED  SAJID</t>
  </si>
  <si>
    <t xml:space="preserve">06-19-214-013</t>
  </si>
  <si>
    <t xml:space="preserve">0619214013</t>
  </si>
  <si>
    <t xml:space="preserve">1321 S FINLEY RD # 113</t>
  </si>
  <si>
    <t xml:space="preserve">RISTINE  MYRNA B</t>
  </si>
  <si>
    <t xml:space="preserve">06-20-207-037</t>
  </si>
  <si>
    <t xml:space="preserve">0620207037</t>
  </si>
  <si>
    <t xml:space="preserve">1406 S FAIRFIELD AVE # 37A</t>
  </si>
  <si>
    <t xml:space="preserve">ROSS  KAREN J</t>
  </si>
  <si>
    <t xml:space="preserve">06-21-211-039</t>
  </si>
  <si>
    <t xml:space="preserve">0621211039</t>
  </si>
  <si>
    <t xml:space="preserve">18W055 STANDISH LN</t>
  </si>
  <si>
    <t xml:space="preserve">SELBY  LAURA G</t>
  </si>
  <si>
    <t xml:space="preserve">06-21-211-081</t>
  </si>
  <si>
    <t xml:space="preserve">0621211081</t>
  </si>
  <si>
    <t xml:space="preserve">1S265 DILLON LN</t>
  </si>
  <si>
    <t xml:space="preserve">WET N BLUE INC</t>
  </si>
  <si>
    <t xml:space="preserve">06-28-107-103</t>
  </si>
  <si>
    <t xml:space="preserve">0628107103</t>
  </si>
  <si>
    <t xml:space="preserve">40 N TOWER RD # 1-E</t>
  </si>
  <si>
    <t xml:space="preserve">BREMER  DAVID</t>
  </si>
  <si>
    <t xml:space="preserve">06-28-107-206</t>
  </si>
  <si>
    <t xml:space="preserve">0628107206</t>
  </si>
  <si>
    <t xml:space="preserve">20 N TOWER RD # 10H</t>
  </si>
  <si>
    <t xml:space="preserve">DAWSON  MICHAEL C</t>
  </si>
  <si>
    <t xml:space="preserve">06-28-107-276</t>
  </si>
  <si>
    <t xml:space="preserve">0628107276</t>
  </si>
  <si>
    <t xml:space="preserve">20 N TOWER RD # 1-L-W</t>
  </si>
  <si>
    <t xml:space="preserve">PRATT  MINA M</t>
  </si>
  <si>
    <t xml:space="preserve">07-09-206-040</t>
  </si>
  <si>
    <t xml:space="preserve">0709206040</t>
  </si>
  <si>
    <t xml:space="preserve">30W162 CLAYMORE LN</t>
  </si>
  <si>
    <t xml:space="preserve">TAGLIAPIETRA  RONALD</t>
  </si>
  <si>
    <t xml:space="preserve">07-12-426-011</t>
  </si>
  <si>
    <t xml:space="preserve">0712426011</t>
  </si>
  <si>
    <t xml:space="preserve">520 BURNING TREE LN # 112</t>
  </si>
  <si>
    <t xml:space="preserve">CAMPBELL  RAYMOND C</t>
  </si>
  <si>
    <t xml:space="preserve">07-12-426-094</t>
  </si>
  <si>
    <t xml:space="preserve">0712426094</t>
  </si>
  <si>
    <t xml:space="preserve">1041 N MILL ST # 103</t>
  </si>
  <si>
    <t xml:space="preserve">GARBACZ  JACK</t>
  </si>
  <si>
    <t xml:space="preserve">07-12-426-169</t>
  </si>
  <si>
    <t xml:space="preserve">0712426169</t>
  </si>
  <si>
    <t xml:space="preserve">1060 MILL ST # 1-203</t>
  </si>
  <si>
    <t xml:space="preserve">HUNT  ANDRE</t>
  </si>
  <si>
    <t xml:space="preserve">07-21-306-015</t>
  </si>
  <si>
    <t xml:space="preserve">0721306015</t>
  </si>
  <si>
    <t xml:space="preserve">285 N GREGORY ST # 2-3</t>
  </si>
  <si>
    <t xml:space="preserve">KALKI MANAGEMENT LLC</t>
  </si>
  <si>
    <t xml:space="preserve">07-21-306-029</t>
  </si>
  <si>
    <t xml:space="preserve">0721306029</t>
  </si>
  <si>
    <t xml:space="preserve">291 GREGORY ST # 17</t>
  </si>
  <si>
    <t xml:space="preserve">07-21-306-096</t>
  </si>
  <si>
    <t xml:space="preserve">0721306096</t>
  </si>
  <si>
    <t xml:space="preserve">219 GREGORY ST # 12</t>
  </si>
  <si>
    <t xml:space="preserve">07-21-306-168</t>
  </si>
  <si>
    <t xml:space="preserve">0721306168</t>
  </si>
  <si>
    <t xml:space="preserve">177 GREGORY ST # 18</t>
  </si>
  <si>
    <t xml:space="preserve">07-21-306-199</t>
  </si>
  <si>
    <t xml:space="preserve">0721306199</t>
  </si>
  <si>
    <t xml:space="preserve">141 GREGORY ST # 13</t>
  </si>
  <si>
    <t xml:space="preserve">CHOU  JIMMY JINYO</t>
  </si>
  <si>
    <t xml:space="preserve">08-01-414-036</t>
  </si>
  <si>
    <t xml:space="preserve">0801414036</t>
  </si>
  <si>
    <t xml:space="preserve">4439 ARBOR CIR # 21</t>
  </si>
  <si>
    <t xml:space="preserve">WISCHOEFFER  WILLIAM &amp; LYNDA</t>
  </si>
  <si>
    <t xml:space="preserve">08-02-318-156</t>
  </si>
  <si>
    <t xml:space="preserve">0802318156</t>
  </si>
  <si>
    <t xml:space="preserve">4731 ST JOSEPH CREEK # 3-H</t>
  </si>
  <si>
    <t xml:space="preserve">WALKER  KATHLEEN</t>
  </si>
  <si>
    <t xml:space="preserve">08-04-412-236</t>
  </si>
  <si>
    <t xml:space="preserve">0804412236</t>
  </si>
  <si>
    <t xml:space="preserve">4518 BEAU MONDE DR # 105</t>
  </si>
  <si>
    <t xml:space="preserve">GLANTZ  RICHARD M</t>
  </si>
  <si>
    <t xml:space="preserve">08-11-211-099</t>
  </si>
  <si>
    <t xml:space="preserve">0811211099</t>
  </si>
  <si>
    <t xml:space="preserve">420 WALNUT CREEK # 3203</t>
  </si>
  <si>
    <t xml:space="preserve">SLEIKUS  ALGIRDAS</t>
  </si>
  <si>
    <t xml:space="preserve">08-11-412-008</t>
  </si>
  <si>
    <t xml:space="preserve">0811412008</t>
  </si>
  <si>
    <t xml:space="preserve">5540 WALNUT AVE # 8A</t>
  </si>
  <si>
    <t xml:space="preserve">FREDENDALL  KATHLEEN</t>
  </si>
  <si>
    <t xml:space="preserve">08-11-416-053</t>
  </si>
  <si>
    <t xml:space="preserve">0811416053</t>
  </si>
  <si>
    <t xml:space="preserve">5400 S WALNUT AVE # 409</t>
  </si>
  <si>
    <t xml:space="preserve">PLOCINSKI  EDWARD</t>
  </si>
  <si>
    <t xml:space="preserve">08-15-105-451</t>
  </si>
  <si>
    <t xml:space="preserve">0815105451</t>
  </si>
  <si>
    <t xml:space="preserve">5700 HILLCREST LN # 1H</t>
  </si>
  <si>
    <t xml:space="preserve">KIRCHER  THOMAS M</t>
  </si>
  <si>
    <t xml:space="preserve">08-25-414-014</t>
  </si>
  <si>
    <t xml:space="preserve">0825414014</t>
  </si>
  <si>
    <t xml:space="preserve">2218 COUNTRY CLUB DR # 33-14C</t>
  </si>
  <si>
    <t xml:space="preserve">GAINES  MICHELLE A</t>
  </si>
  <si>
    <t xml:space="preserve">08-25-422-048</t>
  </si>
  <si>
    <t xml:space="preserve">0825422048</t>
  </si>
  <si>
    <t xml:space="preserve">2037 COUNTRY CLUB DR # 16B</t>
  </si>
  <si>
    <t xml:space="preserve">08-32-110-201</t>
  </si>
  <si>
    <t xml:space="preserve">0832110201</t>
  </si>
  <si>
    <t xml:space="preserve">228 BAILEY RD # F</t>
  </si>
  <si>
    <t xml:space="preserve">BETTINI  JOSEPH A</t>
  </si>
  <si>
    <t xml:space="preserve">08-32-110-234</t>
  </si>
  <si>
    <t xml:space="preserve">0832110234</t>
  </si>
  <si>
    <t xml:space="preserve">244 E BAILEY RD # 244-D</t>
  </si>
  <si>
    <t xml:space="preserve">HOCK  LAURIE A &amp; KARON A</t>
  </si>
  <si>
    <t xml:space="preserve">08-36-109-116</t>
  </si>
  <si>
    <t xml:space="preserve">0836109116</t>
  </si>
  <si>
    <t xml:space="preserve">2429 SPRING ST # 4302</t>
  </si>
  <si>
    <t xml:space="preserve">GOUNTANIS  JOHN</t>
  </si>
  <si>
    <t xml:space="preserve">09-05-122-081</t>
  </si>
  <si>
    <t xml:space="preserve">0905122081</t>
  </si>
  <si>
    <t xml:space="preserve">4225 SARATOGA AVE # 303-B</t>
  </si>
  <si>
    <t xml:space="preserve">CLAVER  DANIEL</t>
  </si>
  <si>
    <t xml:space="preserve">09-08-420-108</t>
  </si>
  <si>
    <t xml:space="preserve">0908420108</t>
  </si>
  <si>
    <t xml:space="preserve">5125 BLODGETT AVE # 319T</t>
  </si>
  <si>
    <t xml:space="preserve">ARBACIAUSKAS  M</t>
  </si>
  <si>
    <t xml:space="preserve">09-14-122-129</t>
  </si>
  <si>
    <t xml:space="preserve">0914122129</t>
  </si>
  <si>
    <t xml:space="preserve">531 CARLYSLE DR # 3</t>
  </si>
  <si>
    <t xml:space="preserve">09-14-303-300</t>
  </si>
  <si>
    <t xml:space="preserve">0914303300</t>
  </si>
  <si>
    <t xml:space="preserve">6110 KNOLL VALLEY DR # 204</t>
  </si>
  <si>
    <t xml:space="preserve">DESHPANDE  RAJ &amp; SARADA</t>
  </si>
  <si>
    <t xml:space="preserve">09-27-208-059</t>
  </si>
  <si>
    <t xml:space="preserve">0927208059</t>
  </si>
  <si>
    <t xml:space="preserve">7425 BROOKDALE DR # 214</t>
  </si>
  <si>
    <t xml:space="preserve">MILLER  LAURA D</t>
  </si>
  <si>
    <t xml:space="preserve">09-27-414-010</t>
  </si>
  <si>
    <t xml:space="preserve">0927414010</t>
  </si>
  <si>
    <t xml:space="preserve">7544 CLARENDON HILLS # 10</t>
  </si>
  <si>
    <t xml:space="preserve">FLISK  ELENA</t>
  </si>
  <si>
    <t xml:space="preserve">09-32-209-007</t>
  </si>
  <si>
    <t xml:space="preserve">0932209007</t>
  </si>
  <si>
    <t xml:space="preserve">7930 WOODGLEN LN # 104</t>
  </si>
  <si>
    <t xml:space="preserve">CARDY  EVAN</t>
  </si>
  <si>
    <t xml:space="preserve">09-35-114-049</t>
  </si>
  <si>
    <t xml:space="preserve">0935114049</t>
  </si>
  <si>
    <t xml:space="preserve">16W471 79TH ST # 4-101</t>
  </si>
  <si>
    <t xml:space="preserve">RICHAK  DAVID</t>
  </si>
  <si>
    <t xml:space="preserve">09-35-114-132</t>
  </si>
  <si>
    <t xml:space="preserve">0935114132</t>
  </si>
  <si>
    <t xml:space="preserve">16W540 LAKE DR # 9-104</t>
  </si>
  <si>
    <t xml:space="preserve">09-35-114-145</t>
  </si>
  <si>
    <t xml:space="preserve">0935114145</t>
  </si>
  <si>
    <t xml:space="preserve">9S025 LAKE DR # 101</t>
  </si>
  <si>
    <t xml:space="preserve">PATEL  TRUSHAR</t>
  </si>
  <si>
    <t xml:space="preserve">09-35-114-213</t>
  </si>
  <si>
    <t xml:space="preserve">0935114213</t>
  </si>
  <si>
    <t xml:space="preserve">9S110 LAKE DR # 14-106</t>
  </si>
  <si>
    <t xml:space="preserve">TRAVIS  KIMBERLY</t>
  </si>
  <si>
    <t xml:space="preserve">09-35-114-399</t>
  </si>
  <si>
    <t xml:space="preserve">0935114399</t>
  </si>
  <si>
    <t xml:space="preserve">16W525 LAKE DR # 23-207</t>
  </si>
  <si>
    <t xml:space="preserve">DAMBRAUSKAITE  IRMA</t>
  </si>
  <si>
    <t xml:space="preserve">09-35-114-451</t>
  </si>
  <si>
    <t xml:space="preserve">0935114451</t>
  </si>
  <si>
    <t xml:space="preserve">9S110 N FRONTAGE RD # 203</t>
  </si>
  <si>
    <t xml:space="preserve">09-35-114-456</t>
  </si>
  <si>
    <t xml:space="preserve">0935114456</t>
  </si>
  <si>
    <t xml:space="preserve">9S110 FRONTAGE RD # 26-208</t>
  </si>
  <si>
    <t xml:space="preserve">BOYES  MARIANNE</t>
  </si>
  <si>
    <t xml:space="preserve">10-02-307-070</t>
  </si>
  <si>
    <t xml:space="preserve">1002307070</t>
  </si>
  <si>
    <t xml:space="preserve">24 KINGERY QUARTER # 106</t>
  </si>
  <si>
    <t xml:space="preserve">FLORES  JOSHUA A</t>
  </si>
  <si>
    <t xml:space="preserve">10-02-307-217</t>
  </si>
  <si>
    <t xml:space="preserve">1002307217</t>
  </si>
  <si>
    <t xml:space="preserve">15A KINGERY QUARTER # 201</t>
  </si>
  <si>
    <t xml:space="preserve">10-02-312-111</t>
  </si>
  <si>
    <t xml:space="preserve">1002312111</t>
  </si>
  <si>
    <t xml:space="preserve">16W571 MOCKINGBIRD LN # 207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</si>
</sst>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General"/>
    <numFmt numFmtId="168" formatCode="mm/d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COUNTA('Revised Non-Commercial'!L2:L10000)</f>
        <v>1142</v>
      </c>
      <c r="C5" s="6" t="n">
        <f aca="false">SUMIFS('Revised Non-Commercial'!AC2:AC10000,'Revised Non-Commercial'!L2:L10000,"&lt;&gt;")</f>
        <v>8273859.2</v>
      </c>
    </row>
    <row r="6" customFormat="false" ht="15" hidden="false" customHeight="false" outlineLevel="0" collapsed="false">
      <c r="A6" s="4" t="s">
        <v>6</v>
      </c>
      <c r="B6" s="5" t="n">
        <f aca="false">COUNTA(Commercial!L2:L10000)</f>
        <v>23</v>
      </c>
      <c r="C6" s="6" t="n">
        <f aca="false">SUMIFS(Commercial!AC2:AC10000,Commercial!L2:L10000,"&lt;&gt;")</f>
        <v>1053093.8</v>
      </c>
    </row>
    <row r="7" customFormat="false" ht="15" hidden="false" customHeight="false" outlineLevel="0" collapsed="false">
      <c r="A7" s="7" t="s">
        <v>7</v>
      </c>
      <c r="B7" s="8" t="n">
        <f aca="false">B5+B6</f>
        <v>1165</v>
      </c>
      <c r="C7" s="9" t="n">
        <f aca="false">C5+C6</f>
        <v>9326953</v>
      </c>
    </row>
    <row r="8" customFormat="false" ht="15" hidden="false" customHeight="false" outlineLevel="0" collapsed="false">
      <c r="A8" s="4"/>
      <c r="B8" s="5"/>
      <c r="C8" s="6"/>
    </row>
    <row r="9" customFormat="false" ht="15" hidden="false" customHeight="false" outlineLevel="0" collapsed="false">
      <c r="A9" s="4" t="s">
        <v>8</v>
      </c>
      <c r="B9" s="5" t="n">
        <f aca="false">COUNTA('Removed - Full Inst Under 3K'!L2:L10000)</f>
        <v>73</v>
      </c>
      <c r="C9" s="6" t="n">
        <f aca="false">SUMIFS('Removed - Full Inst Under 3K'!AC2:AC10000,'Removed - Full Inst Under 3K'!L2:L10000,"&lt;&gt;")</f>
        <v>156875.76</v>
      </c>
    </row>
    <row r="10" customFormat="false" ht="15" hidden="false" customHeight="false" outlineLevel="0" collapsed="false">
      <c r="A10" s="7" t="s">
        <v>9</v>
      </c>
      <c r="B10" s="8" t="n">
        <f aca="false">B7+B9</f>
        <v>1238</v>
      </c>
      <c r="C10" s="9" t="n">
        <f aca="false">C7+C9</f>
        <v>9483828.76</v>
      </c>
    </row>
    <row r="11" customFormat="false" ht="15" hidden="false" customHeight="false" outlineLevel="0" collapsed="false">
      <c r="A11" s="4"/>
      <c r="B11" s="5"/>
      <c r="C11" s="6"/>
    </row>
    <row r="12" customFormat="false" ht="15" hidden="false" customHeight="false" outlineLevel="0" collapsed="false">
      <c r="A12" s="10" t="s">
        <v>10</v>
      </c>
      <c r="B12" s="11"/>
      <c r="C12" s="12"/>
    </row>
    <row r="13" customFormat="false" ht="15" hidden="false" customHeight="false" outlineLevel="0" collapsed="false">
      <c r="A13" s="4" t="s">
        <v>11</v>
      </c>
      <c r="B13" s="5" t="n">
        <f aca="false">COUNTIFS('Revised Non-Commercial'!F2:F10000,"DNB*")</f>
        <v>8</v>
      </c>
      <c r="C13" s="6" t="n">
        <f aca="false">SUMIFS('Revised Non-Commercial'!AC2:AC10000,'Revised Non-Commercial'!F2:F10000,"DNB*")</f>
        <v>57415.35</v>
      </c>
    </row>
    <row r="14" customFormat="false" ht="15" hidden="false" customHeight="false" outlineLevel="0" collapsed="false">
      <c r="A14" s="4" t="s">
        <v>12</v>
      </c>
      <c r="B14" s="5" t="n">
        <f aca="false">COUNTIFS(Commercial!F2:F10000,"DNB*")</f>
        <v>0</v>
      </c>
      <c r="C14" s="6" t="n">
        <f aca="false">SUMIFS(Commercial!AC2:AC10000,Commercial!F2:F10000,"DNB*")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1" topLeftCell="L2" activePane="bottomRight" state="frozen"/>
      <selection pane="topLeft" activeCell="A1" activeCellId="0" sqref="A1"/>
      <selection pane="topRight" activeCell="L1" activeCellId="0" sqref="L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3"/>
    <col collapsed="false" customWidth="true" hidden="false" outlineLevel="0" max="6" min="6" style="0" width="22"/>
    <col collapsed="false" customWidth="true" hidden="false" outlineLevel="0" max="10" min="7" style="0" width="13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5" min="13" style="0" width="13"/>
    <col collapsed="false" customWidth="true" hidden="false" outlineLevel="0" max="16" min="16" style="0" width="26"/>
    <col collapsed="false" customWidth="true" hidden="false" outlineLevel="0" max="24" min="17" style="0" width="13"/>
    <col collapsed="false" customWidth="true" hidden="false" outlineLevel="0" max="25" min="25" style="0" width="26"/>
    <col collapsed="false" customWidth="true" hidden="false" outlineLevel="0" max="26" min="26" style="0" width="18"/>
    <col collapsed="false" customWidth="true" hidden="false" outlineLevel="0" max="30" min="27" style="0" width="13"/>
  </cols>
  <sheetData>
    <row r="1" customFormat="false" ht="30" hidden="false" customHeight="true" outlineLevel="0" collapsed="false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3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 t="n">
        <v>2</v>
      </c>
      <c r="D2" s="4"/>
      <c r="E2" s="4"/>
      <c r="F2" s="4"/>
      <c r="G2" s="4" t="n">
        <v>3</v>
      </c>
      <c r="H2" s="14" t="b">
        <f aca="false">FALSE()</f>
        <v>0</v>
      </c>
      <c r="I2" s="14" t="b">
        <f aca="false">FALSE()</f>
        <v>0</v>
      </c>
      <c r="J2" s="4"/>
      <c r="K2" s="4" t="s">
        <v>43</v>
      </c>
      <c r="L2" s="4" t="s">
        <v>44</v>
      </c>
      <c r="M2" s="4" t="s">
        <v>45</v>
      </c>
      <c r="N2" s="6" t="n">
        <v>19344</v>
      </c>
      <c r="O2" s="6" t="n">
        <v>78179</v>
      </c>
      <c r="P2" s="4" t="s">
        <v>46</v>
      </c>
      <c r="Q2" s="6" t="n">
        <v>143500</v>
      </c>
      <c r="R2" s="15" t="n">
        <v>34898</v>
      </c>
      <c r="S2" s="6"/>
      <c r="T2" s="15"/>
      <c r="U2" s="6"/>
      <c r="V2" s="15"/>
      <c r="W2" s="4" t="s">
        <v>47</v>
      </c>
      <c r="X2" s="4" t="s">
        <v>47</v>
      </c>
      <c r="Y2" s="4" t="s">
        <v>48</v>
      </c>
      <c r="Z2" s="4" t="s">
        <v>49</v>
      </c>
      <c r="AA2" s="6" t="n">
        <v>0</v>
      </c>
      <c r="AB2" s="6" t="n">
        <v>7474.54</v>
      </c>
      <c r="AC2" s="6" t="n">
        <v>7989.07</v>
      </c>
      <c r="AD2" s="14" t="b">
        <f aca="false">FALSE()</f>
        <v>0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 t="n">
        <v>2</v>
      </c>
      <c r="D3" s="4"/>
      <c r="E3" s="4"/>
      <c r="F3" s="4"/>
      <c r="G3" s="4"/>
      <c r="H3" s="14" t="b">
        <f aca="false">FALSE()</f>
        <v>0</v>
      </c>
      <c r="I3" s="14" t="b">
        <f aca="false">FALSE()</f>
        <v>0</v>
      </c>
      <c r="J3" s="4"/>
      <c r="K3" s="4" t="s">
        <v>50</v>
      </c>
      <c r="L3" s="4" t="s">
        <v>51</v>
      </c>
      <c r="M3" s="4" t="s">
        <v>52</v>
      </c>
      <c r="N3" s="6" t="n">
        <v>17999</v>
      </c>
      <c r="O3" s="6" t="n">
        <v>63222</v>
      </c>
      <c r="P3" s="4" t="s">
        <v>46</v>
      </c>
      <c r="Q3" s="6" t="n">
        <v>130000</v>
      </c>
      <c r="R3" s="15" t="n">
        <v>35107</v>
      </c>
      <c r="S3" s="6"/>
      <c r="T3" s="15"/>
      <c r="U3" s="6"/>
      <c r="V3" s="15"/>
      <c r="W3" s="4" t="s">
        <v>47</v>
      </c>
      <c r="X3" s="4" t="s">
        <v>47</v>
      </c>
      <c r="Y3" s="4" t="s">
        <v>53</v>
      </c>
      <c r="Z3" s="4" t="s">
        <v>54</v>
      </c>
      <c r="AA3" s="6" t="n">
        <v>0</v>
      </c>
      <c r="AB3" s="6" t="n">
        <v>6566.96</v>
      </c>
      <c r="AC3" s="6" t="n">
        <v>3441.24</v>
      </c>
      <c r="AD3" s="14" t="b">
        <f aca="false">TRUE()</f>
        <v>1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 t="n">
        <v>3</v>
      </c>
      <c r="D4" s="4"/>
      <c r="E4" s="4"/>
      <c r="F4" s="4"/>
      <c r="G4" s="4"/>
      <c r="H4" s="14" t="b">
        <f aca="false">FALSE()</f>
        <v>0</v>
      </c>
      <c r="I4" s="14" t="b">
        <f aca="false">FALSE()</f>
        <v>0</v>
      </c>
      <c r="J4" s="4"/>
      <c r="K4" s="4" t="s">
        <v>55</v>
      </c>
      <c r="L4" s="4" t="s">
        <v>56</v>
      </c>
      <c r="M4" s="4" t="s">
        <v>57</v>
      </c>
      <c r="N4" s="6" t="n">
        <v>34212</v>
      </c>
      <c r="O4" s="6" t="n">
        <v>88198</v>
      </c>
      <c r="P4" s="4" t="s">
        <v>46</v>
      </c>
      <c r="Q4" s="6" t="n">
        <v>185000</v>
      </c>
      <c r="R4" s="15" t="n">
        <v>43894</v>
      </c>
      <c r="S4" s="6"/>
      <c r="T4" s="15"/>
      <c r="U4" s="6"/>
      <c r="V4" s="15"/>
      <c r="W4" s="4" t="s">
        <v>47</v>
      </c>
      <c r="X4" s="4" t="s">
        <v>58</v>
      </c>
      <c r="Y4" s="4" t="s">
        <v>59</v>
      </c>
      <c r="Z4" s="4" t="s">
        <v>54</v>
      </c>
      <c r="AA4" s="6" t="n">
        <v>0</v>
      </c>
      <c r="AB4" s="6" t="n">
        <v>9897.22</v>
      </c>
      <c r="AC4" s="6" t="n">
        <v>10575.28</v>
      </c>
      <c r="AD4" s="14" t="b">
        <f aca="false">FALSE()</f>
        <v>0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 t="n">
        <v>2</v>
      </c>
      <c r="D5" s="4"/>
      <c r="E5" s="4"/>
      <c r="F5" s="4"/>
      <c r="G5" s="4"/>
      <c r="H5" s="14" t="b">
        <f aca="false">FALSE()</f>
        <v>0</v>
      </c>
      <c r="I5" s="14" t="b">
        <f aca="false">FALSE()</f>
        <v>0</v>
      </c>
      <c r="J5" s="4"/>
      <c r="K5" s="4" t="s">
        <v>60</v>
      </c>
      <c r="L5" s="4" t="s">
        <v>61</v>
      </c>
      <c r="M5" s="4" t="s">
        <v>62</v>
      </c>
      <c r="N5" s="6" t="n">
        <v>33915</v>
      </c>
      <c r="O5" s="6" t="n">
        <v>77606</v>
      </c>
      <c r="P5" s="4" t="s">
        <v>46</v>
      </c>
      <c r="Q5" s="6"/>
      <c r="R5" s="15"/>
      <c r="S5" s="6" t="n">
        <v>186000</v>
      </c>
      <c r="T5" s="15" t="n">
        <v>38335</v>
      </c>
      <c r="U5" s="6"/>
      <c r="V5" s="15"/>
      <c r="W5" s="4" t="s">
        <v>47</v>
      </c>
      <c r="X5" s="4" t="s">
        <v>47</v>
      </c>
      <c r="Y5" s="4" t="s">
        <v>63</v>
      </c>
      <c r="Z5" s="4" t="s">
        <v>54</v>
      </c>
      <c r="AA5" s="6" t="n">
        <v>0</v>
      </c>
      <c r="AB5" s="6" t="n">
        <v>7723.16</v>
      </c>
      <c r="AC5" s="6" t="n">
        <v>4045.35</v>
      </c>
      <c r="AD5" s="14" t="b">
        <f aca="false">TRUE()</f>
        <v>1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 t="n">
        <v>2</v>
      </c>
      <c r="D6" s="4"/>
      <c r="E6" s="4"/>
      <c r="F6" s="4"/>
      <c r="G6" s="4"/>
      <c r="H6" s="14" t="b">
        <f aca="false">FALSE()</f>
        <v>0</v>
      </c>
      <c r="I6" s="14" t="b">
        <f aca="false">FALSE()</f>
        <v>0</v>
      </c>
      <c r="J6" s="4"/>
      <c r="K6" s="4" t="s">
        <v>64</v>
      </c>
      <c r="L6" s="4" t="s">
        <v>65</v>
      </c>
      <c r="M6" s="4" t="s">
        <v>66</v>
      </c>
      <c r="N6" s="6" t="n">
        <v>33992</v>
      </c>
      <c r="O6" s="6" t="n">
        <v>77992</v>
      </c>
      <c r="P6" s="4" t="s">
        <v>46</v>
      </c>
      <c r="Q6" s="6" t="n">
        <v>290000</v>
      </c>
      <c r="R6" s="15" t="n">
        <v>45729</v>
      </c>
      <c r="S6" s="6"/>
      <c r="T6" s="15"/>
      <c r="U6" s="6"/>
      <c r="V6" s="15"/>
      <c r="W6" s="4" t="s">
        <v>47</v>
      </c>
      <c r="X6" s="4" t="s">
        <v>47</v>
      </c>
      <c r="Y6" s="4" t="s">
        <v>67</v>
      </c>
      <c r="Z6" s="4" t="s">
        <v>54</v>
      </c>
      <c r="AA6" s="6" t="n">
        <v>0</v>
      </c>
      <c r="AB6" s="6" t="n">
        <v>8407.42</v>
      </c>
      <c r="AC6" s="6" t="n">
        <v>8984.92</v>
      </c>
      <c r="AD6" s="14" t="b">
        <f aca="false">FALSE()</f>
        <v>0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 t="n">
        <v>3</v>
      </c>
      <c r="D7" s="4"/>
      <c r="E7" s="4"/>
      <c r="F7" s="4"/>
      <c r="G7" s="4" t="n">
        <v>2</v>
      </c>
      <c r="H7" s="14" t="b">
        <f aca="false">TRUE()</f>
        <v>1</v>
      </c>
      <c r="I7" s="14" t="b">
        <f aca="false">FALSE()</f>
        <v>0</v>
      </c>
      <c r="J7" s="4"/>
      <c r="K7" s="4" t="s">
        <v>68</v>
      </c>
      <c r="L7" s="4" t="s">
        <v>69</v>
      </c>
      <c r="M7" s="4" t="s">
        <v>70</v>
      </c>
      <c r="N7" s="6" t="n">
        <v>36340</v>
      </c>
      <c r="O7" s="6" t="n">
        <v>95704</v>
      </c>
      <c r="P7" s="4" t="s">
        <v>46</v>
      </c>
      <c r="Q7" s="6" t="n">
        <v>339000</v>
      </c>
      <c r="R7" s="15" t="n">
        <v>38692</v>
      </c>
      <c r="S7" s="6" t="n">
        <v>252000</v>
      </c>
      <c r="T7" s="15" t="n">
        <v>40617</v>
      </c>
      <c r="U7" s="6"/>
      <c r="V7" s="15"/>
      <c r="W7" s="4" t="s">
        <v>47</v>
      </c>
      <c r="X7" s="4" t="s">
        <v>58</v>
      </c>
      <c r="Y7" s="4" t="s">
        <v>71</v>
      </c>
      <c r="Z7" s="4" t="s">
        <v>54</v>
      </c>
      <c r="AA7" s="6" t="n">
        <v>0</v>
      </c>
      <c r="AB7" s="6" t="n">
        <v>10029.34</v>
      </c>
      <c r="AC7" s="6" t="n">
        <v>10716.32</v>
      </c>
      <c r="AD7" s="14" t="b">
        <f aca="false">FALSE()</f>
        <v>0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 t="n">
        <v>3</v>
      </c>
      <c r="D8" s="4"/>
      <c r="E8" s="4"/>
      <c r="F8" s="4"/>
      <c r="G8" s="4" t="n">
        <v>3</v>
      </c>
      <c r="H8" s="14" t="b">
        <f aca="false">TRUE()</f>
        <v>1</v>
      </c>
      <c r="I8" s="14" t="b">
        <f aca="false">FALSE()</f>
        <v>0</v>
      </c>
      <c r="J8" s="4"/>
      <c r="K8" s="4" t="s">
        <v>72</v>
      </c>
      <c r="L8" s="4" t="s">
        <v>73</v>
      </c>
      <c r="M8" s="4" t="s">
        <v>74</v>
      </c>
      <c r="N8" s="6" t="n">
        <v>53975</v>
      </c>
      <c r="O8" s="6" t="n">
        <v>120559</v>
      </c>
      <c r="P8" s="4" t="s">
        <v>46</v>
      </c>
      <c r="Q8" s="6" t="n">
        <v>355000</v>
      </c>
      <c r="R8" s="15" t="n">
        <v>37847</v>
      </c>
      <c r="S8" s="6"/>
      <c r="T8" s="15"/>
      <c r="U8" s="6"/>
      <c r="V8" s="15"/>
      <c r="W8" s="4" t="s">
        <v>47</v>
      </c>
      <c r="X8" s="4" t="s">
        <v>58</v>
      </c>
      <c r="Y8" s="4" t="s">
        <v>75</v>
      </c>
      <c r="Z8" s="4" t="s">
        <v>54</v>
      </c>
      <c r="AA8" s="6" t="n">
        <v>0</v>
      </c>
      <c r="AB8" s="6" t="n">
        <v>14111.6</v>
      </c>
      <c r="AC8" s="6" t="n">
        <v>15074.13</v>
      </c>
      <c r="AD8" s="14" t="b">
        <f aca="false">FALSE()</f>
        <v>0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 t="n">
        <v>2</v>
      </c>
      <c r="D9" s="4"/>
      <c r="E9" s="4"/>
      <c r="F9" s="4"/>
      <c r="G9" s="4"/>
      <c r="H9" s="14" t="b">
        <f aca="false">FALSE()</f>
        <v>0</v>
      </c>
      <c r="I9" s="14" t="b">
        <f aca="false">FALSE()</f>
        <v>0</v>
      </c>
      <c r="J9" s="4"/>
      <c r="K9" s="4" t="s">
        <v>76</v>
      </c>
      <c r="L9" s="4" t="s">
        <v>77</v>
      </c>
      <c r="M9" s="4" t="s">
        <v>78</v>
      </c>
      <c r="N9" s="6" t="n">
        <v>36317</v>
      </c>
      <c r="O9" s="6" t="n">
        <v>73869</v>
      </c>
      <c r="P9" s="4" t="s">
        <v>46</v>
      </c>
      <c r="Q9" s="6"/>
      <c r="R9" s="15"/>
      <c r="S9" s="6"/>
      <c r="T9" s="15"/>
      <c r="U9" s="6"/>
      <c r="V9" s="15"/>
      <c r="W9" s="4"/>
      <c r="X9" s="4"/>
      <c r="Y9" s="4" t="s">
        <v>79</v>
      </c>
      <c r="Z9" s="4" t="s">
        <v>54</v>
      </c>
      <c r="AA9" s="6" t="n">
        <v>0</v>
      </c>
      <c r="AB9" s="6" t="n">
        <v>7615.22</v>
      </c>
      <c r="AC9" s="6" t="n">
        <v>3988.95</v>
      </c>
      <c r="AD9" s="14" t="b">
        <f aca="false">TRUE()</f>
        <v>1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 t="n">
        <v>2</v>
      </c>
      <c r="D10" s="4"/>
      <c r="E10" s="4"/>
      <c r="F10" s="4"/>
      <c r="G10" s="4"/>
      <c r="H10" s="14" t="b">
        <f aca="false">TRUE()</f>
        <v>1</v>
      </c>
      <c r="I10" s="14" t="b">
        <f aca="false">FALSE()</f>
        <v>0</v>
      </c>
      <c r="J10" s="4"/>
      <c r="K10" s="4" t="s">
        <v>80</v>
      </c>
      <c r="L10" s="4" t="s">
        <v>81</v>
      </c>
      <c r="M10" s="4" t="s">
        <v>82</v>
      </c>
      <c r="N10" s="6" t="n">
        <v>39128</v>
      </c>
      <c r="O10" s="6" t="n">
        <v>116988</v>
      </c>
      <c r="P10" s="4" t="s">
        <v>46</v>
      </c>
      <c r="Q10" s="6" t="n">
        <v>358000</v>
      </c>
      <c r="R10" s="15" t="n">
        <v>43522</v>
      </c>
      <c r="S10" s="6" t="n">
        <v>334000</v>
      </c>
      <c r="T10" s="15" t="n">
        <v>44145</v>
      </c>
      <c r="U10" s="6"/>
      <c r="V10" s="15"/>
      <c r="W10" s="4" t="s">
        <v>47</v>
      </c>
      <c r="X10" s="4" t="s">
        <v>47</v>
      </c>
      <c r="Y10" s="4" t="s">
        <v>83</v>
      </c>
      <c r="Z10" s="4" t="s">
        <v>54</v>
      </c>
      <c r="AA10" s="6" t="n">
        <v>0</v>
      </c>
      <c r="AB10" s="6" t="n">
        <v>11975.64</v>
      </c>
      <c r="AC10" s="6" t="n">
        <v>6267.27</v>
      </c>
      <c r="AD10" s="14" t="b">
        <f aca="false">TRUE()</f>
        <v>1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 t="n">
        <v>2</v>
      </c>
      <c r="D11" s="4"/>
      <c r="E11" s="4"/>
      <c r="F11" s="4"/>
      <c r="G11" s="4"/>
      <c r="H11" s="14" t="b">
        <f aca="false">FALSE()</f>
        <v>0</v>
      </c>
      <c r="I11" s="14" t="b">
        <f aca="false">FALSE()</f>
        <v>0</v>
      </c>
      <c r="J11" s="4"/>
      <c r="K11" s="4" t="s">
        <v>84</v>
      </c>
      <c r="L11" s="4" t="s">
        <v>85</v>
      </c>
      <c r="M11" s="4" t="s">
        <v>86</v>
      </c>
      <c r="N11" s="6" t="n">
        <v>35149</v>
      </c>
      <c r="O11" s="6" t="n">
        <v>95241</v>
      </c>
      <c r="P11" s="4" t="s">
        <v>46</v>
      </c>
      <c r="Q11" s="6" t="n">
        <v>267500</v>
      </c>
      <c r="R11" s="15" t="n">
        <v>42094</v>
      </c>
      <c r="S11" s="6" t="n">
        <v>194000</v>
      </c>
      <c r="T11" s="15" t="n">
        <v>44140</v>
      </c>
      <c r="U11" s="6"/>
      <c r="V11" s="15"/>
      <c r="W11" s="4" t="s">
        <v>47</v>
      </c>
      <c r="X11" s="4" t="s">
        <v>47</v>
      </c>
      <c r="Y11" s="4" t="s">
        <v>87</v>
      </c>
      <c r="Z11" s="4" t="s">
        <v>54</v>
      </c>
      <c r="AA11" s="6" t="n">
        <v>0</v>
      </c>
      <c r="AB11" s="6" t="n">
        <v>9895.6</v>
      </c>
      <c r="AC11" s="6" t="n">
        <v>5180.45</v>
      </c>
      <c r="AD11" s="14" t="b">
        <f aca="false">TRUE()</f>
        <v>1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 t="n">
        <v>3</v>
      </c>
      <c r="D12" s="4"/>
      <c r="E12" s="4"/>
      <c r="F12" s="4"/>
      <c r="G12" s="4"/>
      <c r="H12" s="14" t="b">
        <f aca="false">FALSE()</f>
        <v>0</v>
      </c>
      <c r="I12" s="14" t="b">
        <f aca="false">FALSE()</f>
        <v>0</v>
      </c>
      <c r="J12" s="4"/>
      <c r="K12" s="4" t="s">
        <v>88</v>
      </c>
      <c r="L12" s="4" t="s">
        <v>89</v>
      </c>
      <c r="M12" s="4" t="s">
        <v>90</v>
      </c>
      <c r="N12" s="6" t="n">
        <v>33518</v>
      </c>
      <c r="O12" s="6" t="n">
        <v>65107</v>
      </c>
      <c r="P12" s="4" t="s">
        <v>46</v>
      </c>
      <c r="Q12" s="6"/>
      <c r="R12" s="15"/>
      <c r="S12" s="6" t="n">
        <v>100000</v>
      </c>
      <c r="T12" s="15" t="n">
        <v>42858</v>
      </c>
      <c r="U12" s="6" t="n">
        <v>46000</v>
      </c>
      <c r="V12" s="15" t="n">
        <v>35822</v>
      </c>
      <c r="W12" s="4" t="s">
        <v>47</v>
      </c>
      <c r="X12" s="4" t="s">
        <v>47</v>
      </c>
      <c r="Y12" s="4" t="s">
        <v>91</v>
      </c>
      <c r="Z12" s="4" t="s">
        <v>54</v>
      </c>
      <c r="AA12" s="6" t="n">
        <v>0</v>
      </c>
      <c r="AB12" s="6" t="n">
        <v>7327.32</v>
      </c>
      <c r="AC12" s="6" t="n">
        <v>7831.91</v>
      </c>
      <c r="AD12" s="14" t="b">
        <f aca="false">FALSE()</f>
        <v>0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 t="n">
        <v>3</v>
      </c>
      <c r="D13" s="4"/>
      <c r="E13" s="4"/>
      <c r="F13" s="4"/>
      <c r="G13" s="4"/>
      <c r="H13" s="14" t="b">
        <f aca="false">TRUE()</f>
        <v>1</v>
      </c>
      <c r="I13" s="14" t="b">
        <f aca="false">FALSE()</f>
        <v>0</v>
      </c>
      <c r="J13" s="4"/>
      <c r="K13" s="4" t="s">
        <v>92</v>
      </c>
      <c r="L13" s="4" t="s">
        <v>93</v>
      </c>
      <c r="M13" s="4" t="s">
        <v>94</v>
      </c>
      <c r="N13" s="6" t="n">
        <v>36317</v>
      </c>
      <c r="O13" s="6" t="n">
        <v>79667</v>
      </c>
      <c r="P13" s="4" t="s">
        <v>46</v>
      </c>
      <c r="Q13" s="6" t="n">
        <v>200000</v>
      </c>
      <c r="R13" s="15" t="n">
        <v>37154</v>
      </c>
      <c r="S13" s="6" t="n">
        <v>62000</v>
      </c>
      <c r="T13" s="15" t="n">
        <v>43034</v>
      </c>
      <c r="U13" s="6"/>
      <c r="V13" s="15"/>
      <c r="W13" s="4" t="s">
        <v>47</v>
      </c>
      <c r="X13" s="4" t="s">
        <v>47</v>
      </c>
      <c r="Y13" s="4" t="s">
        <v>95</v>
      </c>
      <c r="Z13" s="4" t="s">
        <v>54</v>
      </c>
      <c r="AA13" s="6" t="n">
        <v>0</v>
      </c>
      <c r="AB13" s="6" t="n">
        <v>8084.04</v>
      </c>
      <c r="AC13" s="6" t="n">
        <v>8639.71</v>
      </c>
      <c r="AD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 t="n">
        <v>2</v>
      </c>
      <c r="D14" s="4"/>
      <c r="E14" s="4"/>
      <c r="F14" s="4"/>
      <c r="G14" s="4"/>
      <c r="H14" s="14" t="b">
        <f aca="false">FALSE()</f>
        <v>0</v>
      </c>
      <c r="I14" s="14" t="b">
        <f aca="false">FALSE()</f>
        <v>0</v>
      </c>
      <c r="J14" s="4"/>
      <c r="K14" s="4" t="s">
        <v>96</v>
      </c>
      <c r="L14" s="4" t="s">
        <v>97</v>
      </c>
      <c r="M14" s="4" t="s">
        <v>98</v>
      </c>
      <c r="N14" s="6" t="n">
        <v>27368</v>
      </c>
      <c r="O14" s="6" t="n">
        <v>121540</v>
      </c>
      <c r="P14" s="4" t="s">
        <v>46</v>
      </c>
      <c r="Q14" s="6" t="n">
        <v>392000</v>
      </c>
      <c r="R14" s="15" t="n">
        <v>38917</v>
      </c>
      <c r="S14" s="6" t="n">
        <v>295143</v>
      </c>
      <c r="T14" s="15" t="n">
        <v>40485</v>
      </c>
      <c r="U14" s="6" t="n">
        <v>39191</v>
      </c>
      <c r="V14" s="15" t="n">
        <v>38917</v>
      </c>
      <c r="W14" s="4" t="s">
        <v>47</v>
      </c>
      <c r="X14" s="4" t="s">
        <v>58</v>
      </c>
      <c r="Y14" s="4" t="s">
        <v>99</v>
      </c>
      <c r="Z14" s="4" t="s">
        <v>54</v>
      </c>
      <c r="AA14" s="6" t="n">
        <v>0</v>
      </c>
      <c r="AB14" s="6" t="n">
        <v>11392.84</v>
      </c>
      <c r="AC14" s="6" t="n">
        <v>5962.76</v>
      </c>
      <c r="AD14" s="14" t="b">
        <f aca="false">TRUE()</f>
        <v>1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 t="n">
        <v>2</v>
      </c>
      <c r="D15" s="4"/>
      <c r="E15" s="4"/>
      <c r="F15" s="4"/>
      <c r="G15" s="4"/>
      <c r="H15" s="14" t="b">
        <f aca="false">FALSE()</f>
        <v>0</v>
      </c>
      <c r="I15" s="14" t="b">
        <f aca="false">FALSE()</f>
        <v>0</v>
      </c>
      <c r="J15" s="4"/>
      <c r="K15" s="4" t="s">
        <v>100</v>
      </c>
      <c r="L15" s="4" t="s">
        <v>101</v>
      </c>
      <c r="M15" s="4" t="s">
        <v>102</v>
      </c>
      <c r="N15" s="6" t="n">
        <v>33838</v>
      </c>
      <c r="O15" s="6" t="n">
        <v>70794</v>
      </c>
      <c r="P15" s="4" t="s">
        <v>46</v>
      </c>
      <c r="Q15" s="6" t="n">
        <v>144000</v>
      </c>
      <c r="R15" s="15" t="n">
        <v>36172</v>
      </c>
      <c r="S15" s="6"/>
      <c r="T15" s="15"/>
      <c r="U15" s="6"/>
      <c r="V15" s="15"/>
      <c r="W15" s="4" t="s">
        <v>47</v>
      </c>
      <c r="X15" s="4" t="s">
        <v>58</v>
      </c>
      <c r="Y15" s="4" t="s">
        <v>103</v>
      </c>
      <c r="Z15" s="4" t="s">
        <v>54</v>
      </c>
      <c r="AA15" s="6" t="n">
        <v>0</v>
      </c>
      <c r="AB15" s="6" t="n">
        <v>7812.98</v>
      </c>
      <c r="AC15" s="6" t="n">
        <v>8350.35</v>
      </c>
      <c r="AD15" s="14" t="b">
        <f aca="false">FALSE()</f>
        <v>0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 t="n">
        <v>2</v>
      </c>
      <c r="D16" s="4"/>
      <c r="E16" s="4"/>
      <c r="F16" s="4"/>
      <c r="G16" s="4"/>
      <c r="H16" s="14" t="b">
        <f aca="false">FALSE()</f>
        <v>0</v>
      </c>
      <c r="I16" s="14" t="b">
        <f aca="false">FALSE()</f>
        <v>0</v>
      </c>
      <c r="J16" s="4"/>
      <c r="K16" s="4" t="s">
        <v>104</v>
      </c>
      <c r="L16" s="4" t="s">
        <v>105</v>
      </c>
      <c r="M16" s="4" t="s">
        <v>106</v>
      </c>
      <c r="N16" s="6" t="n">
        <v>32779</v>
      </c>
      <c r="O16" s="6" t="n">
        <v>55297</v>
      </c>
      <c r="P16" s="4" t="s">
        <v>46</v>
      </c>
      <c r="Q16" s="6" t="n">
        <v>279000</v>
      </c>
      <c r="R16" s="15" t="n">
        <v>45380</v>
      </c>
      <c r="S16" s="6"/>
      <c r="T16" s="15"/>
      <c r="U16" s="6"/>
      <c r="V16" s="15"/>
      <c r="W16" s="4" t="s">
        <v>47</v>
      </c>
      <c r="X16" s="4" t="s">
        <v>58</v>
      </c>
      <c r="Y16" s="4" t="s">
        <v>107</v>
      </c>
      <c r="Z16" s="4" t="s">
        <v>49</v>
      </c>
      <c r="AA16" s="6" t="n">
        <v>0</v>
      </c>
      <c r="AB16" s="6" t="n">
        <v>6705.96</v>
      </c>
      <c r="AC16" s="6" t="n">
        <v>7168.61</v>
      </c>
      <c r="AD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 t="n">
        <v>3</v>
      </c>
      <c r="D17" s="4"/>
      <c r="E17" s="4"/>
      <c r="F17" s="4"/>
      <c r="G17" s="4"/>
      <c r="H17" s="14" t="b">
        <f aca="false">FALSE()</f>
        <v>0</v>
      </c>
      <c r="I17" s="14" t="b">
        <f aca="false">FALSE()</f>
        <v>0</v>
      </c>
      <c r="J17" s="4"/>
      <c r="K17" s="4" t="s">
        <v>108</v>
      </c>
      <c r="L17" s="4" t="s">
        <v>109</v>
      </c>
      <c r="M17" s="4" t="s">
        <v>110</v>
      </c>
      <c r="N17" s="6" t="n">
        <v>33926</v>
      </c>
      <c r="O17" s="6" t="n">
        <v>83117</v>
      </c>
      <c r="P17" s="4" t="s">
        <v>46</v>
      </c>
      <c r="Q17" s="6" t="n">
        <v>221000</v>
      </c>
      <c r="R17" s="15" t="n">
        <v>42530</v>
      </c>
      <c r="S17" s="6" t="n">
        <v>221000</v>
      </c>
      <c r="T17" s="15" t="n">
        <v>42530</v>
      </c>
      <c r="U17" s="6"/>
      <c r="V17" s="15"/>
      <c r="W17" s="4" t="s">
        <v>47</v>
      </c>
      <c r="X17" s="4" t="s">
        <v>47</v>
      </c>
      <c r="Y17" s="4" t="s">
        <v>111</v>
      </c>
      <c r="Z17" s="4" t="s">
        <v>49</v>
      </c>
      <c r="AA17" s="6" t="n">
        <v>0</v>
      </c>
      <c r="AB17" s="6" t="n">
        <v>9772.28</v>
      </c>
      <c r="AC17" s="6" t="n">
        <v>10441.91</v>
      </c>
      <c r="AD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 t="n">
        <v>2</v>
      </c>
      <c r="D18" s="4"/>
      <c r="E18" s="4"/>
      <c r="F18" s="4"/>
      <c r="G18" s="4"/>
      <c r="H18" s="14" t="b">
        <f aca="false">TRUE()</f>
        <v>1</v>
      </c>
      <c r="I18" s="14" t="b">
        <f aca="false">FALSE()</f>
        <v>0</v>
      </c>
      <c r="J18" s="4"/>
      <c r="K18" s="4" t="s">
        <v>112</v>
      </c>
      <c r="L18" s="4" t="s">
        <v>113</v>
      </c>
      <c r="M18" s="4" t="s">
        <v>114</v>
      </c>
      <c r="N18" s="6" t="n">
        <v>14825</v>
      </c>
      <c r="O18" s="6" t="n">
        <v>60544</v>
      </c>
      <c r="P18" s="4" t="s">
        <v>46</v>
      </c>
      <c r="Q18" s="6" t="n">
        <v>194000</v>
      </c>
      <c r="R18" s="15" t="n">
        <v>44074</v>
      </c>
      <c r="S18" s="6"/>
      <c r="T18" s="15"/>
      <c r="U18" s="6"/>
      <c r="V18" s="15"/>
      <c r="W18" s="4" t="s">
        <v>47</v>
      </c>
      <c r="X18" s="4" t="s">
        <v>47</v>
      </c>
      <c r="Y18" s="4" t="s">
        <v>115</v>
      </c>
      <c r="Z18" s="4" t="s">
        <v>49</v>
      </c>
      <c r="AA18" s="6" t="n">
        <v>0</v>
      </c>
      <c r="AB18" s="6" t="n">
        <v>5641.82</v>
      </c>
      <c r="AC18" s="6" t="n">
        <v>6032.64</v>
      </c>
      <c r="AD18" s="14" t="b">
        <f aca="false">FALSE()</f>
        <v>0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 t="n">
        <v>2</v>
      </c>
      <c r="D19" s="4"/>
      <c r="E19" s="4"/>
      <c r="F19" s="4"/>
      <c r="G19" s="4"/>
      <c r="H19" s="14" t="b">
        <f aca="false">FALSE()</f>
        <v>0</v>
      </c>
      <c r="I19" s="14" t="b">
        <f aca="false">FALSE()</f>
        <v>0</v>
      </c>
      <c r="J19" s="4"/>
      <c r="K19" s="4" t="s">
        <v>116</v>
      </c>
      <c r="L19" s="4" t="s">
        <v>117</v>
      </c>
      <c r="M19" s="4" t="s">
        <v>118</v>
      </c>
      <c r="N19" s="6" t="n">
        <v>14825</v>
      </c>
      <c r="O19" s="6" t="n">
        <v>60544</v>
      </c>
      <c r="P19" s="4" t="s">
        <v>46</v>
      </c>
      <c r="Q19" s="6"/>
      <c r="R19" s="15"/>
      <c r="S19" s="6"/>
      <c r="T19" s="15"/>
      <c r="U19" s="6"/>
      <c r="V19" s="15"/>
      <c r="W19" s="4" t="s">
        <v>47</v>
      </c>
      <c r="X19" s="4" t="s">
        <v>47</v>
      </c>
      <c r="Y19" s="4" t="s">
        <v>119</v>
      </c>
      <c r="Z19" s="4" t="s">
        <v>49</v>
      </c>
      <c r="AA19" s="6" t="n">
        <v>0</v>
      </c>
      <c r="AB19" s="6" t="n">
        <v>4971.86</v>
      </c>
      <c r="AC19" s="6" t="n">
        <v>5317.46</v>
      </c>
      <c r="AD19" s="14" t="b">
        <f aca="false">FALSE()</f>
        <v>0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 t="n">
        <v>2</v>
      </c>
      <c r="D20" s="4"/>
      <c r="E20" s="4"/>
      <c r="F20" s="4"/>
      <c r="G20" s="4" t="n">
        <v>3</v>
      </c>
      <c r="H20" s="14" t="b">
        <f aca="false">FALSE()</f>
        <v>0</v>
      </c>
      <c r="I20" s="14" t="b">
        <f aca="false">FALSE()</f>
        <v>0</v>
      </c>
      <c r="J20" s="4"/>
      <c r="K20" s="4" t="s">
        <v>120</v>
      </c>
      <c r="L20" s="4" t="s">
        <v>121</v>
      </c>
      <c r="M20" s="4" t="s">
        <v>122</v>
      </c>
      <c r="N20" s="6" t="n">
        <v>34345</v>
      </c>
      <c r="O20" s="6" t="n">
        <v>96145</v>
      </c>
      <c r="P20" s="4" t="s">
        <v>46</v>
      </c>
      <c r="Q20" s="6" t="n">
        <v>260000</v>
      </c>
      <c r="R20" s="15" t="n">
        <v>39049</v>
      </c>
      <c r="S20" s="6"/>
      <c r="T20" s="15"/>
      <c r="U20" s="6"/>
      <c r="V20" s="15"/>
      <c r="W20" s="4" t="s">
        <v>47</v>
      </c>
      <c r="X20" s="4" t="s">
        <v>58</v>
      </c>
      <c r="Y20" s="4" t="s">
        <v>123</v>
      </c>
      <c r="Z20" s="4" t="s">
        <v>49</v>
      </c>
      <c r="AA20" s="6" t="n">
        <v>0</v>
      </c>
      <c r="AB20" s="6" t="n">
        <v>10927.9</v>
      </c>
      <c r="AC20" s="6" t="n">
        <v>5719.83</v>
      </c>
      <c r="AD20" s="14" t="b">
        <f aca="false">TRUE()</f>
        <v>1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 t="n">
        <v>2</v>
      </c>
      <c r="D21" s="4"/>
      <c r="E21" s="4"/>
      <c r="F21" s="4"/>
      <c r="G21" s="4"/>
      <c r="H21" s="14" t="b">
        <f aca="false">FALSE()</f>
        <v>0</v>
      </c>
      <c r="I21" s="14" t="b">
        <f aca="false">FALSE()</f>
        <v>0</v>
      </c>
      <c r="J21" s="4"/>
      <c r="K21" s="4" t="s">
        <v>124</v>
      </c>
      <c r="L21" s="4" t="s">
        <v>125</v>
      </c>
      <c r="M21" s="4" t="s">
        <v>126</v>
      </c>
      <c r="N21" s="6" t="n">
        <v>13733</v>
      </c>
      <c r="O21" s="6" t="n">
        <v>70882</v>
      </c>
      <c r="P21" s="4" t="s">
        <v>46</v>
      </c>
      <c r="Q21" s="6" t="n">
        <v>139500</v>
      </c>
      <c r="R21" s="15" t="n">
        <v>34628</v>
      </c>
      <c r="S21" s="6" t="n">
        <v>142000</v>
      </c>
      <c r="T21" s="15" t="n">
        <v>43647</v>
      </c>
      <c r="U21" s="6" t="n">
        <v>12800</v>
      </c>
      <c r="V21" s="15" t="n">
        <v>37071</v>
      </c>
      <c r="W21" s="4" t="s">
        <v>47</v>
      </c>
      <c r="X21" s="4" t="s">
        <v>58</v>
      </c>
      <c r="Y21" s="4" t="s">
        <v>127</v>
      </c>
      <c r="Z21" s="4" t="s">
        <v>54</v>
      </c>
      <c r="AA21" s="6" t="n">
        <v>0</v>
      </c>
      <c r="AB21" s="6" t="n">
        <v>6194.56</v>
      </c>
      <c r="AC21" s="6" t="n">
        <v>3246.66</v>
      </c>
      <c r="AD21" s="14" t="b">
        <f aca="false">TRUE()</f>
        <v>1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 t="n">
        <v>2</v>
      </c>
      <c r="D22" s="4"/>
      <c r="E22" s="4"/>
      <c r="F22" s="4"/>
      <c r="G22" s="4"/>
      <c r="H22" s="14" t="b">
        <f aca="false">FALSE()</f>
        <v>0</v>
      </c>
      <c r="I22" s="14" t="b">
        <f aca="false">FALSE()</f>
        <v>0</v>
      </c>
      <c r="J22" s="4"/>
      <c r="K22" s="4" t="s">
        <v>128</v>
      </c>
      <c r="L22" s="4" t="s">
        <v>129</v>
      </c>
      <c r="M22" s="4" t="s">
        <v>130</v>
      </c>
      <c r="N22" s="6" t="n">
        <v>14935</v>
      </c>
      <c r="O22" s="6" t="n">
        <v>58251</v>
      </c>
      <c r="P22" s="4" t="s">
        <v>46</v>
      </c>
      <c r="Q22" s="6" t="n">
        <v>100000</v>
      </c>
      <c r="R22" s="15" t="n">
        <v>45636</v>
      </c>
      <c r="S22" s="6"/>
      <c r="T22" s="15"/>
      <c r="U22" s="6"/>
      <c r="V22" s="15"/>
      <c r="W22" s="4" t="s">
        <v>47</v>
      </c>
      <c r="X22" s="4" t="s">
        <v>47</v>
      </c>
      <c r="Y22" s="4" t="s">
        <v>131</v>
      </c>
      <c r="Z22" s="4" t="s">
        <v>49</v>
      </c>
      <c r="AA22" s="6" t="n">
        <v>0</v>
      </c>
      <c r="AB22" s="6" t="n">
        <v>5294.98</v>
      </c>
      <c r="AC22" s="6" t="n">
        <v>5662.39</v>
      </c>
      <c r="AD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 t="n">
        <v>2</v>
      </c>
      <c r="D23" s="4"/>
      <c r="E23" s="4"/>
      <c r="F23" s="4"/>
      <c r="G23" s="4"/>
      <c r="H23" s="14" t="b">
        <f aca="false">FALSE()</f>
        <v>0</v>
      </c>
      <c r="I23" s="14" t="b">
        <f aca="false">FALSE()</f>
        <v>0</v>
      </c>
      <c r="J23" s="4"/>
      <c r="K23" s="4" t="s">
        <v>132</v>
      </c>
      <c r="L23" s="4" t="s">
        <v>133</v>
      </c>
      <c r="M23" s="4" t="s">
        <v>134</v>
      </c>
      <c r="N23" s="6" t="n">
        <v>14935</v>
      </c>
      <c r="O23" s="6" t="n">
        <v>56598</v>
      </c>
      <c r="P23" s="4" t="s">
        <v>46</v>
      </c>
      <c r="Q23" s="6" t="n">
        <v>225000</v>
      </c>
      <c r="R23" s="15" t="n">
        <v>44715</v>
      </c>
      <c r="S23" s="6" t="n">
        <v>168750</v>
      </c>
      <c r="T23" s="15" t="n">
        <v>44715</v>
      </c>
      <c r="U23" s="6"/>
      <c r="V23" s="15"/>
      <c r="W23" s="4" t="s">
        <v>47</v>
      </c>
      <c r="X23" s="4" t="s">
        <v>47</v>
      </c>
      <c r="Y23" s="4" t="s">
        <v>135</v>
      </c>
      <c r="Z23" s="4" t="s">
        <v>49</v>
      </c>
      <c r="AA23" s="6" t="n">
        <v>0</v>
      </c>
      <c r="AB23" s="6" t="n">
        <v>6623.4</v>
      </c>
      <c r="AC23" s="6" t="n">
        <v>3470.73</v>
      </c>
      <c r="AD23" s="14" t="b">
        <f aca="false">TRUE()</f>
        <v>1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 t="n">
        <v>2</v>
      </c>
      <c r="D24" s="4"/>
      <c r="E24" s="4"/>
      <c r="F24" s="4"/>
      <c r="G24" s="4"/>
      <c r="H24" s="14" t="b">
        <f aca="false">FALSE()</f>
        <v>0</v>
      </c>
      <c r="I24" s="14" t="b">
        <f aca="false">FALSE()</f>
        <v>0</v>
      </c>
      <c r="J24" s="4"/>
      <c r="K24" s="4" t="s">
        <v>136</v>
      </c>
      <c r="L24" s="4" t="s">
        <v>137</v>
      </c>
      <c r="M24" s="4" t="s">
        <v>138</v>
      </c>
      <c r="N24" s="6" t="n">
        <v>31798</v>
      </c>
      <c r="O24" s="6" t="n">
        <v>79744</v>
      </c>
      <c r="P24" s="4" t="s">
        <v>46</v>
      </c>
      <c r="Q24" s="6" t="n">
        <v>238000</v>
      </c>
      <c r="R24" s="15" t="n">
        <v>38225</v>
      </c>
      <c r="S24" s="6" t="n">
        <v>190400</v>
      </c>
      <c r="T24" s="15" t="n">
        <v>38300</v>
      </c>
      <c r="U24" s="6" t="n">
        <v>88700</v>
      </c>
      <c r="V24" s="15" t="n">
        <v>38918</v>
      </c>
      <c r="W24" s="4" t="s">
        <v>47</v>
      </c>
      <c r="X24" s="4" t="s">
        <v>58</v>
      </c>
      <c r="Y24" s="4" t="s">
        <v>139</v>
      </c>
      <c r="Z24" s="4" t="s">
        <v>49</v>
      </c>
      <c r="AA24" s="6" t="n">
        <v>0</v>
      </c>
      <c r="AB24" s="6" t="n">
        <v>8645.04</v>
      </c>
      <c r="AC24" s="6" t="n">
        <v>4527.03</v>
      </c>
      <c r="AD24" s="14" t="b">
        <f aca="false">TRUE()</f>
        <v>1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 t="n">
        <v>3</v>
      </c>
      <c r="D25" s="4"/>
      <c r="E25" s="4"/>
      <c r="F25" s="4"/>
      <c r="G25" s="4"/>
      <c r="H25" s="14" t="b">
        <f aca="false">FALSE()</f>
        <v>0</v>
      </c>
      <c r="I25" s="14" t="b">
        <f aca="false">FALSE()</f>
        <v>0</v>
      </c>
      <c r="J25" s="4"/>
      <c r="K25" s="4" t="s">
        <v>140</v>
      </c>
      <c r="L25" s="4" t="s">
        <v>141</v>
      </c>
      <c r="M25" s="4" t="s">
        <v>142</v>
      </c>
      <c r="N25" s="6" t="n">
        <v>34345</v>
      </c>
      <c r="O25" s="6" t="n">
        <v>86490</v>
      </c>
      <c r="P25" s="4" t="s">
        <v>46</v>
      </c>
      <c r="Q25" s="6" t="n">
        <v>209000</v>
      </c>
      <c r="R25" s="15" t="n">
        <v>36657</v>
      </c>
      <c r="S25" s="6"/>
      <c r="T25" s="15"/>
      <c r="U25" s="6"/>
      <c r="V25" s="15"/>
      <c r="W25" s="4" t="s">
        <v>58</v>
      </c>
      <c r="X25" s="4" t="s">
        <v>47</v>
      </c>
      <c r="Y25" s="4" t="s">
        <v>143</v>
      </c>
      <c r="Z25" s="4" t="s">
        <v>49</v>
      </c>
      <c r="AA25" s="6" t="n">
        <v>0</v>
      </c>
      <c r="AB25" s="6" t="n">
        <v>10088.88</v>
      </c>
      <c r="AC25" s="6" t="n">
        <v>10779.88</v>
      </c>
      <c r="AD25" s="14" t="b">
        <f aca="false">FALSE()</f>
        <v>0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 t="n">
        <v>3</v>
      </c>
      <c r="D26" s="4"/>
      <c r="E26" s="4"/>
      <c r="F26" s="4"/>
      <c r="G26" s="4" t="n">
        <v>2</v>
      </c>
      <c r="H26" s="14" t="b">
        <f aca="false">FALSE()</f>
        <v>0</v>
      </c>
      <c r="I26" s="14" t="b">
        <f aca="false">FALSE()</f>
        <v>0</v>
      </c>
      <c r="J26" s="4"/>
      <c r="K26" s="4" t="s">
        <v>144</v>
      </c>
      <c r="L26" s="4" t="s">
        <v>145</v>
      </c>
      <c r="M26" s="4" t="s">
        <v>146</v>
      </c>
      <c r="N26" s="6" t="n">
        <v>36417</v>
      </c>
      <c r="O26" s="6" t="n">
        <v>74134</v>
      </c>
      <c r="P26" s="4" t="s">
        <v>46</v>
      </c>
      <c r="Q26" s="6" t="n">
        <v>161000</v>
      </c>
      <c r="R26" s="15" t="n">
        <v>35608</v>
      </c>
      <c r="S26" s="6" t="n">
        <v>168000</v>
      </c>
      <c r="T26" s="15" t="n">
        <v>41766</v>
      </c>
      <c r="U26" s="6" t="n">
        <v>10500</v>
      </c>
      <c r="V26" s="15" t="n">
        <v>41856</v>
      </c>
      <c r="W26" s="4" t="s">
        <v>58</v>
      </c>
      <c r="X26" s="4" t="s">
        <v>47</v>
      </c>
      <c r="Y26" s="4" t="s">
        <v>147</v>
      </c>
      <c r="Z26" s="4" t="s">
        <v>49</v>
      </c>
      <c r="AA26" s="6" t="n">
        <v>0</v>
      </c>
      <c r="AB26" s="6" t="n">
        <v>9495.4</v>
      </c>
      <c r="AC26" s="6" t="n">
        <v>10146.34</v>
      </c>
      <c r="AD26" s="14" t="b">
        <f aca="false">FALSE()</f>
        <v>0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 t="n">
        <v>3</v>
      </c>
      <c r="D27" s="4"/>
      <c r="E27" s="4"/>
      <c r="F27" s="4"/>
      <c r="G27" s="4"/>
      <c r="H27" s="14" t="b">
        <f aca="false">FALSE()</f>
        <v>0</v>
      </c>
      <c r="I27" s="14" t="b">
        <f aca="false">FALSE()</f>
        <v>0</v>
      </c>
      <c r="J27" s="4"/>
      <c r="K27" s="4" t="s">
        <v>148</v>
      </c>
      <c r="L27" s="4" t="s">
        <v>149</v>
      </c>
      <c r="M27" s="4" t="s">
        <v>150</v>
      </c>
      <c r="N27" s="6" t="n">
        <v>36417</v>
      </c>
      <c r="O27" s="6" t="n">
        <v>86666</v>
      </c>
      <c r="P27" s="4" t="s">
        <v>46</v>
      </c>
      <c r="Q27" s="6" t="n">
        <v>390000</v>
      </c>
      <c r="R27" s="15" t="n">
        <v>45505</v>
      </c>
      <c r="S27" s="6" t="n">
        <v>195000</v>
      </c>
      <c r="T27" s="15" t="n">
        <v>45505</v>
      </c>
      <c r="U27" s="6"/>
      <c r="V27" s="15"/>
      <c r="W27" s="4" t="s">
        <v>47</v>
      </c>
      <c r="X27" s="4" t="s">
        <v>47</v>
      </c>
      <c r="Y27" s="4" t="s">
        <v>151</v>
      </c>
      <c r="Z27" s="4" t="s">
        <v>49</v>
      </c>
      <c r="AA27" s="6" t="n">
        <v>0</v>
      </c>
      <c r="AB27" s="6" t="n">
        <v>10655.78</v>
      </c>
      <c r="AC27" s="6" t="n">
        <v>11385.05</v>
      </c>
      <c r="AD27" s="14" t="b">
        <f aca="false">FALSE()</f>
        <v>0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 t="n">
        <v>3</v>
      </c>
      <c r="D28" s="4"/>
      <c r="E28" s="4"/>
      <c r="F28" s="4"/>
      <c r="G28" s="4"/>
      <c r="H28" s="14" t="b">
        <f aca="false">TRUE()</f>
        <v>1</v>
      </c>
      <c r="I28" s="14" t="b">
        <f aca="false">FALSE()</f>
        <v>0</v>
      </c>
      <c r="J28" s="4"/>
      <c r="K28" s="4" t="s">
        <v>152</v>
      </c>
      <c r="L28" s="4" t="s">
        <v>153</v>
      </c>
      <c r="M28" s="4" t="s">
        <v>154</v>
      </c>
      <c r="N28" s="6" t="n">
        <v>95010</v>
      </c>
      <c r="O28" s="6" t="n">
        <v>141500</v>
      </c>
      <c r="P28" s="4" t="s">
        <v>46</v>
      </c>
      <c r="Q28" s="6" t="n">
        <v>550000</v>
      </c>
      <c r="R28" s="15" t="n">
        <v>42709</v>
      </c>
      <c r="S28" s="6"/>
      <c r="T28" s="15"/>
      <c r="U28" s="6"/>
      <c r="V28" s="15"/>
      <c r="W28" s="4" t="s">
        <v>58</v>
      </c>
      <c r="X28" s="4" t="s">
        <v>58</v>
      </c>
      <c r="Y28" s="4" t="s">
        <v>155</v>
      </c>
      <c r="Z28" s="4" t="s">
        <v>54</v>
      </c>
      <c r="AA28" s="6" t="n">
        <v>0</v>
      </c>
      <c r="AB28" s="6" t="n">
        <v>15724</v>
      </c>
      <c r="AC28" s="6" t="n">
        <v>16795.37</v>
      </c>
      <c r="AD28" s="14" t="b">
        <f aca="false">FALSE()</f>
        <v>0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 t="n">
        <v>3</v>
      </c>
      <c r="D29" s="4"/>
      <c r="E29" s="4"/>
      <c r="F29" s="4"/>
      <c r="G29" s="4"/>
      <c r="H29" s="14" t="b">
        <f aca="false">FALSE()</f>
        <v>0</v>
      </c>
      <c r="I29" s="14" t="b">
        <f aca="false">FALSE()</f>
        <v>0</v>
      </c>
      <c r="J29" s="4"/>
      <c r="K29" s="4" t="s">
        <v>156</v>
      </c>
      <c r="L29" s="4" t="s">
        <v>157</v>
      </c>
      <c r="M29" s="4" t="s">
        <v>158</v>
      </c>
      <c r="N29" s="6" t="n">
        <v>40704</v>
      </c>
      <c r="O29" s="6" t="n">
        <v>113681</v>
      </c>
      <c r="P29" s="4" t="s">
        <v>46</v>
      </c>
      <c r="Q29" s="6" t="n">
        <v>725000</v>
      </c>
      <c r="R29" s="15" t="n">
        <v>45601</v>
      </c>
      <c r="S29" s="6" t="n">
        <v>580000</v>
      </c>
      <c r="T29" s="15" t="n">
        <v>45601</v>
      </c>
      <c r="U29" s="6"/>
      <c r="V29" s="15"/>
      <c r="W29" s="4" t="s">
        <v>47</v>
      </c>
      <c r="X29" s="4" t="s">
        <v>47</v>
      </c>
      <c r="Y29" s="4" t="s">
        <v>159</v>
      </c>
      <c r="Z29" s="4" t="s">
        <v>160</v>
      </c>
      <c r="AA29" s="6" t="n">
        <v>0</v>
      </c>
      <c r="AB29" s="6" t="n">
        <v>10402.84</v>
      </c>
      <c r="AC29" s="6" t="n">
        <v>11115.03</v>
      </c>
      <c r="AD29" s="14" t="b">
        <f aca="false">FALSE()</f>
        <v>0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 t="n">
        <v>3</v>
      </c>
      <c r="D30" s="4"/>
      <c r="E30" s="4"/>
      <c r="F30" s="4"/>
      <c r="G30" s="4"/>
      <c r="H30" s="14" t="b">
        <f aca="false">FALSE()</f>
        <v>0</v>
      </c>
      <c r="I30" s="14" t="b">
        <f aca="false">FALSE()</f>
        <v>0</v>
      </c>
      <c r="J30" s="4"/>
      <c r="K30" s="4" t="s">
        <v>161</v>
      </c>
      <c r="L30" s="4" t="s">
        <v>162</v>
      </c>
      <c r="M30" s="4" t="s">
        <v>163</v>
      </c>
      <c r="N30" s="6" t="n">
        <v>41762</v>
      </c>
      <c r="O30" s="6" t="n">
        <v>146251</v>
      </c>
      <c r="P30" s="4" t="s">
        <v>46</v>
      </c>
      <c r="Q30" s="6" t="n">
        <v>436500</v>
      </c>
      <c r="R30" s="15" t="n">
        <v>37375</v>
      </c>
      <c r="S30" s="6" t="n">
        <v>242500</v>
      </c>
      <c r="T30" s="15" t="n">
        <v>43913</v>
      </c>
      <c r="U30" s="6"/>
      <c r="V30" s="15"/>
      <c r="W30" s="4" t="s">
        <v>47</v>
      </c>
      <c r="X30" s="4" t="s">
        <v>58</v>
      </c>
      <c r="Y30" s="4" t="s">
        <v>164</v>
      </c>
      <c r="Z30" s="4" t="s">
        <v>165</v>
      </c>
      <c r="AA30" s="6" t="n">
        <v>0</v>
      </c>
      <c r="AB30" s="6" t="n">
        <v>13726.36</v>
      </c>
      <c r="AC30" s="6" t="n">
        <v>14662.89</v>
      </c>
      <c r="AD30" s="14" t="b">
        <f aca="false">FALSE()</f>
        <v>0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 t="n">
        <v>3</v>
      </c>
      <c r="D31" s="4"/>
      <c r="E31" s="4"/>
      <c r="F31" s="4"/>
      <c r="G31" s="4" t="n">
        <v>3</v>
      </c>
      <c r="H31" s="14" t="b">
        <f aca="false">FALSE()</f>
        <v>0</v>
      </c>
      <c r="I31" s="14" t="b">
        <f aca="false">FALSE()</f>
        <v>0</v>
      </c>
      <c r="J31" s="4"/>
      <c r="K31" s="4" t="s">
        <v>166</v>
      </c>
      <c r="L31" s="4" t="s">
        <v>167</v>
      </c>
      <c r="M31" s="4" t="s">
        <v>168</v>
      </c>
      <c r="N31" s="6" t="n">
        <v>37398</v>
      </c>
      <c r="O31" s="6" t="n">
        <v>101458</v>
      </c>
      <c r="P31" s="4" t="s">
        <v>46</v>
      </c>
      <c r="Q31" s="6" t="n">
        <v>4042000</v>
      </c>
      <c r="R31" s="15" t="n">
        <v>44887</v>
      </c>
      <c r="S31" s="6" t="n">
        <v>390630</v>
      </c>
      <c r="T31" s="15" t="n">
        <v>45350</v>
      </c>
      <c r="U31" s="6"/>
      <c r="V31" s="15"/>
      <c r="W31" s="4" t="s">
        <v>47</v>
      </c>
      <c r="X31" s="4" t="s">
        <v>47</v>
      </c>
      <c r="Y31" s="4" t="s">
        <v>169</v>
      </c>
      <c r="Z31" s="4" t="s">
        <v>165</v>
      </c>
      <c r="AA31" s="6" t="n">
        <v>0</v>
      </c>
      <c r="AB31" s="6" t="n">
        <v>9978.04</v>
      </c>
      <c r="AC31" s="6" t="n">
        <v>10661.56</v>
      </c>
      <c r="AD31" s="14" t="b">
        <f aca="false">FALSE()</f>
        <v>0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 t="n">
        <v>3</v>
      </c>
      <c r="D32" s="4"/>
      <c r="E32" s="4"/>
      <c r="F32" s="4"/>
      <c r="G32" s="4"/>
      <c r="H32" s="14" t="b">
        <f aca="false">FALSE()</f>
        <v>0</v>
      </c>
      <c r="I32" s="14" t="b">
        <f aca="false">FALSE()</f>
        <v>0</v>
      </c>
      <c r="J32" s="4"/>
      <c r="K32" s="4" t="s">
        <v>170</v>
      </c>
      <c r="L32" s="4" t="s">
        <v>171</v>
      </c>
      <c r="M32" s="4" t="s">
        <v>172</v>
      </c>
      <c r="N32" s="6" t="n">
        <v>37398</v>
      </c>
      <c r="O32" s="6" t="n">
        <v>94580</v>
      </c>
      <c r="P32" s="4" t="s">
        <v>46</v>
      </c>
      <c r="Q32" s="6" t="n">
        <v>262000</v>
      </c>
      <c r="R32" s="15" t="n">
        <v>41379</v>
      </c>
      <c r="S32" s="6" t="n">
        <v>180000</v>
      </c>
      <c r="T32" s="15" t="n">
        <v>45408</v>
      </c>
      <c r="U32" s="6"/>
      <c r="V32" s="15"/>
      <c r="W32" s="4" t="s">
        <v>47</v>
      </c>
      <c r="X32" s="4" t="s">
        <v>47</v>
      </c>
      <c r="Y32" s="4" t="s">
        <v>173</v>
      </c>
      <c r="Z32" s="4" t="s">
        <v>165</v>
      </c>
      <c r="AA32" s="6" t="n">
        <v>0</v>
      </c>
      <c r="AB32" s="6" t="n">
        <v>9453.58</v>
      </c>
      <c r="AC32" s="6" t="n">
        <v>10101.7</v>
      </c>
      <c r="AD32" s="14" t="b">
        <f aca="false">FALSE()</f>
        <v>0</v>
      </c>
    </row>
    <row r="33" customFormat="false" ht="15" hidden="false" customHeight="false" outlineLevel="0" collapsed="false">
      <c r="A33" s="14" t="b">
        <f aca="false">TRUE()</f>
        <v>1</v>
      </c>
      <c r="B33" s="14" t="b">
        <f aca="false">FALSE()</f>
        <v>0</v>
      </c>
      <c r="C33" s="4" t="n">
        <v>3</v>
      </c>
      <c r="D33" s="4"/>
      <c r="E33" s="4"/>
      <c r="F33" s="4"/>
      <c r="G33" s="4" t="n">
        <v>3</v>
      </c>
      <c r="H33" s="14" t="b">
        <f aca="false">FALSE()</f>
        <v>0</v>
      </c>
      <c r="I33" s="14" t="b">
        <f aca="false">FALSE()</f>
        <v>0</v>
      </c>
      <c r="J33" s="4"/>
      <c r="K33" s="4" t="s">
        <v>174</v>
      </c>
      <c r="L33" s="4" t="s">
        <v>175</v>
      </c>
      <c r="M33" s="4" t="s">
        <v>176</v>
      </c>
      <c r="N33" s="6" t="n">
        <v>54482</v>
      </c>
      <c r="O33" s="6" t="n">
        <v>212614</v>
      </c>
      <c r="P33" s="4" t="s">
        <v>46</v>
      </c>
      <c r="Q33" s="6" t="n">
        <v>695000</v>
      </c>
      <c r="R33" s="15" t="n">
        <v>37260</v>
      </c>
      <c r="S33" s="6" t="n">
        <v>450000</v>
      </c>
      <c r="T33" s="15" t="n">
        <v>37260</v>
      </c>
      <c r="U33" s="6"/>
      <c r="V33" s="15"/>
      <c r="W33" s="4" t="s">
        <v>47</v>
      </c>
      <c r="X33" s="4" t="s">
        <v>58</v>
      </c>
      <c r="Y33" s="4" t="s">
        <v>177</v>
      </c>
      <c r="Z33" s="4" t="s">
        <v>160</v>
      </c>
      <c r="AA33" s="6" t="n">
        <v>0</v>
      </c>
      <c r="AB33" s="6" t="n">
        <v>19805.82</v>
      </c>
      <c r="AC33" s="6" t="n">
        <v>21152.71</v>
      </c>
      <c r="AD33" s="14" t="b">
        <f aca="false">FALSE()</f>
        <v>0</v>
      </c>
    </row>
    <row r="34" customFormat="false" ht="15" hidden="false" customHeight="false" outlineLevel="0" collapsed="false">
      <c r="A34" s="14" t="b">
        <f aca="false">TRUE()</f>
        <v>1</v>
      </c>
      <c r="B34" s="14" t="b">
        <f aca="false">FALSE()</f>
        <v>0</v>
      </c>
      <c r="C34" s="4" t="n">
        <v>3</v>
      </c>
      <c r="D34" s="4"/>
      <c r="E34" s="4"/>
      <c r="F34" s="4"/>
      <c r="G34" s="4"/>
      <c r="H34" s="14" t="b">
        <f aca="false">FALSE()</f>
        <v>0</v>
      </c>
      <c r="I34" s="14" t="b">
        <f aca="false">FALSE()</f>
        <v>0</v>
      </c>
      <c r="J34" s="4"/>
      <c r="K34" s="4" t="s">
        <v>178</v>
      </c>
      <c r="L34" s="4" t="s">
        <v>179</v>
      </c>
      <c r="M34" s="4" t="s">
        <v>180</v>
      </c>
      <c r="N34" s="6" t="n">
        <v>67190</v>
      </c>
      <c r="O34" s="6" t="n">
        <v>187661</v>
      </c>
      <c r="P34" s="4" t="s">
        <v>46</v>
      </c>
      <c r="Q34" s="6"/>
      <c r="R34" s="15" t="n">
        <v>37861</v>
      </c>
      <c r="S34" s="6" t="n">
        <v>442000</v>
      </c>
      <c r="T34" s="15" t="n">
        <v>44321</v>
      </c>
      <c r="U34" s="6"/>
      <c r="V34" s="15"/>
      <c r="W34" s="4" t="s">
        <v>47</v>
      </c>
      <c r="X34" s="4" t="s">
        <v>47</v>
      </c>
      <c r="Y34" s="4" t="s">
        <v>181</v>
      </c>
      <c r="Z34" s="4" t="s">
        <v>160</v>
      </c>
      <c r="AA34" s="6" t="n">
        <v>0</v>
      </c>
      <c r="AB34" s="6" t="n">
        <v>18258.26</v>
      </c>
      <c r="AC34" s="6" t="n">
        <v>19500.69</v>
      </c>
      <c r="AD34" s="14" t="b">
        <f aca="false">FALSE()</f>
        <v>0</v>
      </c>
    </row>
    <row r="35" customFormat="false" ht="15" hidden="false" customHeight="false" outlineLevel="0" collapsed="false">
      <c r="A35" s="14" t="b">
        <f aca="false">TRUE()</f>
        <v>1</v>
      </c>
      <c r="B35" s="14" t="b">
        <f aca="false">FALSE()</f>
        <v>0</v>
      </c>
      <c r="C35" s="4" t="n">
        <v>2</v>
      </c>
      <c r="D35" s="4"/>
      <c r="E35" s="4"/>
      <c r="F35" s="4"/>
      <c r="G35" s="4" t="n">
        <v>2</v>
      </c>
      <c r="H35" s="14" t="b">
        <f aca="false">FALSE()</f>
        <v>0</v>
      </c>
      <c r="I35" s="14" t="b">
        <f aca="false">FALSE()</f>
        <v>0</v>
      </c>
      <c r="J35" s="4"/>
      <c r="K35" s="4" t="s">
        <v>182</v>
      </c>
      <c r="L35" s="4" t="s">
        <v>183</v>
      </c>
      <c r="M35" s="4" t="s">
        <v>184</v>
      </c>
      <c r="N35" s="6" t="n">
        <v>14670</v>
      </c>
      <c r="O35" s="6" t="n">
        <v>72734</v>
      </c>
      <c r="P35" s="4" t="s">
        <v>46</v>
      </c>
      <c r="Q35" s="6" t="n">
        <v>134500</v>
      </c>
      <c r="R35" s="15" t="n">
        <v>36725</v>
      </c>
      <c r="S35" s="6"/>
      <c r="T35" s="15"/>
      <c r="U35" s="6"/>
      <c r="V35" s="15"/>
      <c r="W35" s="4" t="s">
        <v>47</v>
      </c>
      <c r="X35" s="4" t="s">
        <v>47</v>
      </c>
      <c r="Y35" s="4" t="s">
        <v>185</v>
      </c>
      <c r="Z35" s="4" t="s">
        <v>186</v>
      </c>
      <c r="AA35" s="6" t="n">
        <v>0</v>
      </c>
      <c r="AB35" s="6" t="n">
        <v>6087.52</v>
      </c>
      <c r="AC35" s="6" t="n">
        <v>6508.43</v>
      </c>
      <c r="AD35" s="14" t="b">
        <f aca="false">FALSE()</f>
        <v>0</v>
      </c>
    </row>
    <row r="36" customFormat="false" ht="15" hidden="false" customHeight="false" outlineLevel="0" collapsed="false">
      <c r="A36" s="14" t="b">
        <f aca="false">TRUE()</f>
        <v>1</v>
      </c>
      <c r="B36" s="14" t="b">
        <f aca="false">FALSE()</f>
        <v>0</v>
      </c>
      <c r="C36" s="4" t="n">
        <v>2</v>
      </c>
      <c r="D36" s="4"/>
      <c r="E36" s="4"/>
      <c r="F36" s="4"/>
      <c r="G36" s="4" t="n">
        <v>2</v>
      </c>
      <c r="H36" s="14" t="b">
        <f aca="false">FALSE()</f>
        <v>0</v>
      </c>
      <c r="I36" s="14" t="b">
        <f aca="false">FALSE()</f>
        <v>0</v>
      </c>
      <c r="J36" s="4"/>
      <c r="K36" s="4" t="s">
        <v>187</v>
      </c>
      <c r="L36" s="4" t="s">
        <v>188</v>
      </c>
      <c r="M36" s="4" t="s">
        <v>189</v>
      </c>
      <c r="N36" s="6" t="n">
        <v>14670</v>
      </c>
      <c r="O36" s="6" t="n">
        <v>76592</v>
      </c>
      <c r="P36" s="4" t="s">
        <v>46</v>
      </c>
      <c r="Q36" s="6" t="n">
        <v>231000</v>
      </c>
      <c r="R36" s="15" t="n">
        <v>43789</v>
      </c>
      <c r="S36" s="6"/>
      <c r="T36" s="15"/>
      <c r="U36" s="6"/>
      <c r="V36" s="15"/>
      <c r="W36" s="4" t="s">
        <v>47</v>
      </c>
      <c r="X36" s="4" t="s">
        <v>47</v>
      </c>
      <c r="Y36" s="4" t="s">
        <v>190</v>
      </c>
      <c r="Z36" s="4" t="s">
        <v>186</v>
      </c>
      <c r="AA36" s="6" t="n">
        <v>0</v>
      </c>
      <c r="AB36" s="6" t="n">
        <v>6383.28</v>
      </c>
      <c r="AC36" s="6" t="n">
        <v>6824.15</v>
      </c>
      <c r="AD36" s="14" t="b">
        <f aca="false">FALSE()</f>
        <v>0</v>
      </c>
    </row>
    <row r="37" customFormat="false" ht="15" hidden="false" customHeight="false" outlineLevel="0" collapsed="false">
      <c r="A37" s="14" t="b">
        <f aca="false">TRUE()</f>
        <v>1</v>
      </c>
      <c r="B37" s="14" t="b">
        <f aca="false">FALSE()</f>
        <v>0</v>
      </c>
      <c r="C37" s="4" t="n">
        <v>2</v>
      </c>
      <c r="D37" s="4"/>
      <c r="E37" s="4"/>
      <c r="F37" s="4"/>
      <c r="G37" s="4"/>
      <c r="H37" s="14" t="b">
        <f aca="false">FALSE()</f>
        <v>0</v>
      </c>
      <c r="I37" s="14" t="b">
        <f aca="false">FALSE()</f>
        <v>0</v>
      </c>
      <c r="J37" s="4"/>
      <c r="K37" s="4" t="s">
        <v>191</v>
      </c>
      <c r="L37" s="4" t="s">
        <v>192</v>
      </c>
      <c r="M37" s="4" t="s">
        <v>193</v>
      </c>
      <c r="N37" s="6" t="n">
        <v>14847</v>
      </c>
      <c r="O37" s="6" t="n">
        <v>62781</v>
      </c>
      <c r="P37" s="4" t="s">
        <v>46</v>
      </c>
      <c r="Q37" s="6"/>
      <c r="R37" s="15"/>
      <c r="S37" s="6" t="n">
        <v>20000</v>
      </c>
      <c r="T37" s="15" t="n">
        <v>35947</v>
      </c>
      <c r="U37" s="6"/>
      <c r="V37" s="15"/>
      <c r="W37" s="4" t="s">
        <v>47</v>
      </c>
      <c r="X37" s="4" t="s">
        <v>47</v>
      </c>
      <c r="Y37" s="4" t="s">
        <v>194</v>
      </c>
      <c r="Z37" s="4" t="s">
        <v>49</v>
      </c>
      <c r="AA37" s="6" t="n">
        <v>0</v>
      </c>
      <c r="AB37" s="6" t="n">
        <v>6481.4</v>
      </c>
      <c r="AC37" s="6" t="n">
        <v>3396.53</v>
      </c>
      <c r="AD37" s="14" t="b">
        <f aca="false">TRUE()</f>
        <v>1</v>
      </c>
    </row>
    <row r="38" customFormat="false" ht="15" hidden="false" customHeight="false" outlineLevel="0" collapsed="false">
      <c r="A38" s="14" t="b">
        <f aca="false">TRUE()</f>
        <v>1</v>
      </c>
      <c r="B38" s="14" t="b">
        <f aca="false">FALSE()</f>
        <v>0</v>
      </c>
      <c r="C38" s="4" t="n">
        <v>2</v>
      </c>
      <c r="D38" s="4"/>
      <c r="E38" s="4"/>
      <c r="F38" s="4"/>
      <c r="G38" s="4"/>
      <c r="H38" s="14" t="b">
        <f aca="false">FALSE()</f>
        <v>0</v>
      </c>
      <c r="I38" s="14" t="b">
        <f aca="false">FALSE()</f>
        <v>0</v>
      </c>
      <c r="J38" s="4"/>
      <c r="K38" s="4" t="s">
        <v>195</v>
      </c>
      <c r="L38" s="4" t="s">
        <v>196</v>
      </c>
      <c r="M38" s="4" t="s">
        <v>197</v>
      </c>
      <c r="N38" s="6" t="n">
        <v>14847</v>
      </c>
      <c r="O38" s="6" t="n">
        <v>71687</v>
      </c>
      <c r="P38" s="4" t="s">
        <v>46</v>
      </c>
      <c r="Q38" s="6" t="n">
        <v>155000</v>
      </c>
      <c r="R38" s="15" t="n">
        <v>37533</v>
      </c>
      <c r="S38" s="6" t="n">
        <v>124000</v>
      </c>
      <c r="T38" s="15" t="n">
        <v>37533</v>
      </c>
      <c r="U38" s="6"/>
      <c r="V38" s="15"/>
      <c r="W38" s="4" t="s">
        <v>58</v>
      </c>
      <c r="X38" s="4" t="s">
        <v>47</v>
      </c>
      <c r="Y38" s="4" t="s">
        <v>198</v>
      </c>
      <c r="Z38" s="4" t="s">
        <v>49</v>
      </c>
      <c r="AA38" s="6" t="n">
        <v>0</v>
      </c>
      <c r="AB38" s="6" t="n">
        <v>6368.36</v>
      </c>
      <c r="AC38" s="6" t="n">
        <v>3337.47</v>
      </c>
      <c r="AD38" s="14" t="b">
        <f aca="false">TRUE()</f>
        <v>1</v>
      </c>
    </row>
    <row r="39" customFormat="false" ht="15" hidden="false" customHeight="false" outlineLevel="0" collapsed="false">
      <c r="A39" s="14" t="b">
        <f aca="false">TRUE()</f>
        <v>1</v>
      </c>
      <c r="B39" s="14" t="b">
        <f aca="false">FALSE()</f>
        <v>0</v>
      </c>
      <c r="C39" s="4" t="n">
        <v>3</v>
      </c>
      <c r="D39" s="4"/>
      <c r="E39" s="4"/>
      <c r="F39" s="4"/>
      <c r="G39" s="4" t="n">
        <v>2</v>
      </c>
      <c r="H39" s="14" t="b">
        <f aca="false">TRUE()</f>
        <v>1</v>
      </c>
      <c r="I39" s="14" t="b">
        <f aca="false">FALSE()</f>
        <v>0</v>
      </c>
      <c r="J39" s="4"/>
      <c r="K39" s="4" t="s">
        <v>199</v>
      </c>
      <c r="L39" s="4" t="s">
        <v>200</v>
      </c>
      <c r="M39" s="4" t="s">
        <v>201</v>
      </c>
      <c r="N39" s="6" t="n">
        <v>13921</v>
      </c>
      <c r="O39" s="6" t="n">
        <v>69846</v>
      </c>
      <c r="P39" s="4" t="s">
        <v>46</v>
      </c>
      <c r="Q39" s="6"/>
      <c r="R39" s="15"/>
      <c r="S39" s="6" t="n">
        <v>60000</v>
      </c>
      <c r="T39" s="15" t="n">
        <v>38085</v>
      </c>
      <c r="U39" s="6"/>
      <c r="V39" s="15"/>
      <c r="W39" s="4" t="s">
        <v>47</v>
      </c>
      <c r="X39" s="4" t="s">
        <v>58</v>
      </c>
      <c r="Y39" s="4" t="s">
        <v>202</v>
      </c>
      <c r="Z39" s="4" t="s">
        <v>186</v>
      </c>
      <c r="AA39" s="6" t="n">
        <v>0</v>
      </c>
      <c r="AB39" s="6" t="n">
        <v>5808.68</v>
      </c>
      <c r="AC39" s="6" t="n">
        <v>6210.77</v>
      </c>
      <c r="AD39" s="14" t="b">
        <f aca="false">FALSE()</f>
        <v>0</v>
      </c>
    </row>
    <row r="40" customFormat="false" ht="15" hidden="false" customHeight="false" outlineLevel="0" collapsed="false">
      <c r="A40" s="14" t="b">
        <f aca="false">TRUE()</f>
        <v>1</v>
      </c>
      <c r="B40" s="14" t="b">
        <f aca="false">FALSE()</f>
        <v>0</v>
      </c>
      <c r="C40" s="4" t="n">
        <v>2</v>
      </c>
      <c r="D40" s="4"/>
      <c r="E40" s="4"/>
      <c r="F40" s="4"/>
      <c r="G40" s="4"/>
      <c r="H40" s="14" t="b">
        <f aca="false">FALSE()</f>
        <v>0</v>
      </c>
      <c r="I40" s="14" t="b">
        <f aca="false">FALSE()</f>
        <v>0</v>
      </c>
      <c r="J40" s="4"/>
      <c r="K40" s="4" t="s">
        <v>203</v>
      </c>
      <c r="L40" s="4" t="s">
        <v>204</v>
      </c>
      <c r="M40" s="4" t="s">
        <v>205</v>
      </c>
      <c r="N40" s="6" t="n">
        <v>38213</v>
      </c>
      <c r="O40" s="6" t="n">
        <v>98085</v>
      </c>
      <c r="P40" s="4" t="s">
        <v>46</v>
      </c>
      <c r="Q40" s="6" t="n">
        <v>217500</v>
      </c>
      <c r="R40" s="15" t="n">
        <v>36699</v>
      </c>
      <c r="S40" s="6" t="n">
        <v>211000</v>
      </c>
      <c r="T40" s="15" t="n">
        <v>38026</v>
      </c>
      <c r="U40" s="6"/>
      <c r="V40" s="15"/>
      <c r="W40" s="4" t="s">
        <v>47</v>
      </c>
      <c r="X40" s="4" t="s">
        <v>47</v>
      </c>
      <c r="Y40" s="4" t="s">
        <v>206</v>
      </c>
      <c r="Z40" s="4" t="s">
        <v>186</v>
      </c>
      <c r="AA40" s="6" t="n">
        <v>0</v>
      </c>
      <c r="AB40" s="6" t="n">
        <v>9835.96</v>
      </c>
      <c r="AC40" s="6" t="n">
        <v>5149.29</v>
      </c>
      <c r="AD40" s="14" t="b">
        <f aca="false">TRUE()</f>
        <v>1</v>
      </c>
    </row>
    <row r="41" customFormat="false" ht="15" hidden="false" customHeight="false" outlineLevel="0" collapsed="false">
      <c r="A41" s="14" t="b">
        <f aca="false">TRUE()</f>
        <v>1</v>
      </c>
      <c r="B41" s="14" t="b">
        <f aca="false">FALSE()</f>
        <v>0</v>
      </c>
      <c r="C41" s="4" t="n">
        <v>2</v>
      </c>
      <c r="D41" s="4"/>
      <c r="E41" s="4"/>
      <c r="F41" s="4"/>
      <c r="G41" s="4"/>
      <c r="H41" s="14" t="b">
        <f aca="false">FALSE()</f>
        <v>0</v>
      </c>
      <c r="I41" s="14" t="b">
        <f aca="false">FALSE()</f>
        <v>0</v>
      </c>
      <c r="J41" s="4"/>
      <c r="K41" s="4" t="s">
        <v>207</v>
      </c>
      <c r="L41" s="4" t="s">
        <v>208</v>
      </c>
      <c r="M41" s="4" t="s">
        <v>209</v>
      </c>
      <c r="N41" s="6" t="n">
        <v>16125</v>
      </c>
      <c r="O41" s="6" t="n">
        <v>85939</v>
      </c>
      <c r="P41" s="4" t="s">
        <v>46</v>
      </c>
      <c r="Q41" s="6" t="n">
        <v>352000</v>
      </c>
      <c r="R41" s="15" t="n">
        <v>45204</v>
      </c>
      <c r="S41" s="6"/>
      <c r="T41" s="15"/>
      <c r="U41" s="6"/>
      <c r="V41" s="15"/>
      <c r="W41" s="4" t="s">
        <v>47</v>
      </c>
      <c r="X41" s="4" t="s">
        <v>47</v>
      </c>
      <c r="Y41" s="4" t="s">
        <v>210</v>
      </c>
      <c r="Z41" s="4" t="s">
        <v>186</v>
      </c>
      <c r="AA41" s="6" t="n">
        <v>0</v>
      </c>
      <c r="AB41" s="6" t="n">
        <v>7381.2</v>
      </c>
      <c r="AC41" s="6" t="n">
        <v>7889.43</v>
      </c>
      <c r="AD41" s="14" t="b">
        <f aca="false">FALSE()</f>
        <v>0</v>
      </c>
    </row>
    <row r="42" customFormat="false" ht="15" hidden="false" customHeight="false" outlineLevel="0" collapsed="false">
      <c r="A42" s="14" t="b">
        <f aca="false">TRUE()</f>
        <v>1</v>
      </c>
      <c r="B42" s="14" t="b">
        <f aca="false">FALSE()</f>
        <v>0</v>
      </c>
      <c r="C42" s="4" t="n">
        <v>2</v>
      </c>
      <c r="D42" s="4"/>
      <c r="E42" s="4"/>
      <c r="F42" s="4"/>
      <c r="G42" s="4"/>
      <c r="H42" s="14" t="b">
        <f aca="false">FALSE()</f>
        <v>0</v>
      </c>
      <c r="I42" s="14" t="b">
        <f aca="false">FALSE()</f>
        <v>0</v>
      </c>
      <c r="J42" s="4"/>
      <c r="K42" s="4" t="s">
        <v>211</v>
      </c>
      <c r="L42" s="4" t="s">
        <v>212</v>
      </c>
      <c r="M42" s="4" t="s">
        <v>213</v>
      </c>
      <c r="N42" s="6" t="n">
        <v>16125</v>
      </c>
      <c r="O42" s="6" t="n">
        <v>78774</v>
      </c>
      <c r="P42" s="4" t="s">
        <v>46</v>
      </c>
      <c r="Q42" s="6" t="n">
        <v>160000</v>
      </c>
      <c r="R42" s="15" t="n">
        <v>40925</v>
      </c>
      <c r="S42" s="6" t="n">
        <v>58000</v>
      </c>
      <c r="T42" s="15" t="n">
        <v>43073</v>
      </c>
      <c r="U42" s="6"/>
      <c r="V42" s="15"/>
      <c r="W42" s="4" t="s">
        <v>47</v>
      </c>
      <c r="X42" s="4" t="s">
        <v>47</v>
      </c>
      <c r="Y42" s="4" t="s">
        <v>214</v>
      </c>
      <c r="Z42" s="4" t="s">
        <v>186</v>
      </c>
      <c r="AA42" s="6" t="n">
        <v>0</v>
      </c>
      <c r="AB42" s="6" t="n">
        <v>7452.82</v>
      </c>
      <c r="AC42" s="6" t="n">
        <v>3904.1</v>
      </c>
      <c r="AD42" s="14" t="b">
        <f aca="false">TRUE()</f>
        <v>1</v>
      </c>
    </row>
    <row r="43" customFormat="false" ht="15" hidden="false" customHeight="false" outlineLevel="0" collapsed="false">
      <c r="A43" s="14" t="b">
        <f aca="false">TRUE()</f>
        <v>1</v>
      </c>
      <c r="B43" s="14" t="b">
        <f aca="false">FALSE()</f>
        <v>0</v>
      </c>
      <c r="C43" s="4" t="n">
        <v>2</v>
      </c>
      <c r="D43" s="4"/>
      <c r="E43" s="4"/>
      <c r="F43" s="4"/>
      <c r="G43" s="4"/>
      <c r="H43" s="14" t="b">
        <f aca="false">TRUE()</f>
        <v>1</v>
      </c>
      <c r="I43" s="14" t="b">
        <f aca="false">FALSE()</f>
        <v>0</v>
      </c>
      <c r="J43" s="4"/>
      <c r="K43" s="4" t="s">
        <v>215</v>
      </c>
      <c r="L43" s="4" t="s">
        <v>216</v>
      </c>
      <c r="M43" s="4" t="s">
        <v>217</v>
      </c>
      <c r="N43" s="6" t="n">
        <v>16125</v>
      </c>
      <c r="O43" s="6" t="n">
        <v>75049</v>
      </c>
      <c r="P43" s="4" t="s">
        <v>46</v>
      </c>
      <c r="Q43" s="6" t="n">
        <v>294000</v>
      </c>
      <c r="R43" s="15" t="n">
        <v>45125</v>
      </c>
      <c r="S43" s="6"/>
      <c r="T43" s="15"/>
      <c r="U43" s="6"/>
      <c r="V43" s="15"/>
      <c r="W43" s="4" t="s">
        <v>47</v>
      </c>
      <c r="X43" s="4" t="s">
        <v>47</v>
      </c>
      <c r="Y43" s="4" t="s">
        <v>218</v>
      </c>
      <c r="Z43" s="4" t="s">
        <v>186</v>
      </c>
      <c r="AA43" s="6" t="n">
        <v>0</v>
      </c>
      <c r="AB43" s="6" t="n">
        <v>7133.34</v>
      </c>
      <c r="AC43" s="6" t="n">
        <v>7624.84</v>
      </c>
      <c r="AD43" s="14" t="b">
        <f aca="false">FALSE()</f>
        <v>0</v>
      </c>
    </row>
    <row r="44" customFormat="false" ht="15" hidden="false" customHeight="false" outlineLevel="0" collapsed="false">
      <c r="A44" s="14" t="b">
        <f aca="false">TRUE()</f>
        <v>1</v>
      </c>
      <c r="B44" s="14" t="b">
        <f aca="false">FALSE()</f>
        <v>0</v>
      </c>
      <c r="C44" s="4" t="n">
        <v>3</v>
      </c>
      <c r="D44" s="4"/>
      <c r="E44" s="4"/>
      <c r="F44" s="4"/>
      <c r="G44" s="4"/>
      <c r="H44" s="14" t="b">
        <f aca="false">FALSE()</f>
        <v>0</v>
      </c>
      <c r="I44" s="14" t="b">
        <f aca="false">FALSE()</f>
        <v>0</v>
      </c>
      <c r="J44" s="4"/>
      <c r="K44" s="4" t="s">
        <v>219</v>
      </c>
      <c r="L44" s="4" t="s">
        <v>220</v>
      </c>
      <c r="M44" s="4" t="s">
        <v>221</v>
      </c>
      <c r="N44" s="6" t="n">
        <v>14847</v>
      </c>
      <c r="O44" s="6" t="n">
        <v>66959</v>
      </c>
      <c r="P44" s="4" t="s">
        <v>46</v>
      </c>
      <c r="Q44" s="6" t="n">
        <v>106000</v>
      </c>
      <c r="R44" s="15" t="n">
        <v>41239</v>
      </c>
      <c r="S44" s="6" t="n">
        <v>120000</v>
      </c>
      <c r="T44" s="15" t="n">
        <v>43433</v>
      </c>
      <c r="U44" s="6"/>
      <c r="V44" s="15"/>
      <c r="W44" s="4" t="s">
        <v>47</v>
      </c>
      <c r="X44" s="4" t="s">
        <v>47</v>
      </c>
      <c r="Y44" s="4" t="s">
        <v>222</v>
      </c>
      <c r="Z44" s="4" t="s">
        <v>49</v>
      </c>
      <c r="AA44" s="6" t="n">
        <v>0</v>
      </c>
      <c r="AB44" s="6" t="n">
        <v>7574.6</v>
      </c>
      <c r="AC44" s="6" t="n">
        <v>8095.89</v>
      </c>
      <c r="AD44" s="14" t="b">
        <f aca="false">FALSE()</f>
        <v>0</v>
      </c>
    </row>
    <row r="45" customFormat="false" ht="15" hidden="false" customHeight="false" outlineLevel="0" collapsed="false">
      <c r="A45" s="14" t="b">
        <f aca="false">TRUE()</f>
        <v>1</v>
      </c>
      <c r="B45" s="14" t="b">
        <f aca="false">FALSE()</f>
        <v>0</v>
      </c>
      <c r="C45" s="4" t="n">
        <v>2</v>
      </c>
      <c r="D45" s="4"/>
      <c r="E45" s="4"/>
      <c r="F45" s="4"/>
      <c r="G45" s="4" t="n">
        <v>3</v>
      </c>
      <c r="H45" s="14" t="b">
        <f aca="false">FALSE()</f>
        <v>0</v>
      </c>
      <c r="I45" s="14" t="b">
        <f aca="false">FALSE()</f>
        <v>0</v>
      </c>
      <c r="J45" s="4"/>
      <c r="K45" s="4" t="s">
        <v>223</v>
      </c>
      <c r="L45" s="4" t="s">
        <v>224</v>
      </c>
      <c r="M45" s="4" t="s">
        <v>225</v>
      </c>
      <c r="N45" s="6" t="n">
        <v>31798</v>
      </c>
      <c r="O45" s="6" t="n">
        <v>79744</v>
      </c>
      <c r="P45" s="4" t="s">
        <v>46</v>
      </c>
      <c r="Q45" s="6"/>
      <c r="R45" s="15" t="n">
        <v>45924</v>
      </c>
      <c r="S45" s="6"/>
      <c r="T45" s="15"/>
      <c r="U45" s="6"/>
      <c r="V45" s="15"/>
      <c r="W45" s="4" t="s">
        <v>47</v>
      </c>
      <c r="X45" s="4" t="s">
        <v>47</v>
      </c>
      <c r="Y45" s="4" t="s">
        <v>226</v>
      </c>
      <c r="Z45" s="4" t="s">
        <v>49</v>
      </c>
      <c r="AA45" s="6" t="n">
        <v>0</v>
      </c>
      <c r="AB45" s="6" t="n">
        <v>8846.42</v>
      </c>
      <c r="AC45" s="6" t="n">
        <v>9453.55</v>
      </c>
      <c r="AD45" s="14" t="b">
        <f aca="false">FALSE()</f>
        <v>0</v>
      </c>
    </row>
    <row r="46" customFormat="false" ht="15" hidden="false" customHeight="false" outlineLevel="0" collapsed="false">
      <c r="A46" s="14" t="b">
        <f aca="false">TRUE()</f>
        <v>1</v>
      </c>
      <c r="B46" s="14" t="b">
        <f aca="false">FALSE()</f>
        <v>0</v>
      </c>
      <c r="C46" s="4" t="n">
        <v>3</v>
      </c>
      <c r="D46" s="4"/>
      <c r="E46" s="4"/>
      <c r="F46" s="4"/>
      <c r="G46" s="4"/>
      <c r="H46" s="14" t="b">
        <f aca="false">TRUE()</f>
        <v>1</v>
      </c>
      <c r="I46" s="14" t="b">
        <f aca="false">FALSE()</f>
        <v>0</v>
      </c>
      <c r="J46" s="4"/>
      <c r="K46" s="4" t="s">
        <v>227</v>
      </c>
      <c r="L46" s="4" t="s">
        <v>228</v>
      </c>
      <c r="M46" s="4" t="s">
        <v>229</v>
      </c>
      <c r="N46" s="6" t="n">
        <v>38720</v>
      </c>
      <c r="O46" s="6" t="n">
        <v>78884</v>
      </c>
      <c r="P46" s="4" t="s">
        <v>46</v>
      </c>
      <c r="Q46" s="6"/>
      <c r="R46" s="15"/>
      <c r="S46" s="6"/>
      <c r="T46" s="15"/>
      <c r="U46" s="6"/>
      <c r="V46" s="15"/>
      <c r="W46" s="4" t="s">
        <v>47</v>
      </c>
      <c r="X46" s="4" t="s">
        <v>58</v>
      </c>
      <c r="Y46" s="4" t="s">
        <v>230</v>
      </c>
      <c r="Z46" s="4" t="s">
        <v>186</v>
      </c>
      <c r="AA46" s="6" t="n">
        <v>0</v>
      </c>
      <c r="AB46" s="6" t="n">
        <v>9400.08</v>
      </c>
      <c r="AC46" s="6" t="n">
        <v>10044.58</v>
      </c>
      <c r="AD46" s="14" t="b">
        <f aca="false">FALSE()</f>
        <v>0</v>
      </c>
    </row>
    <row r="47" customFormat="false" ht="15" hidden="false" customHeight="false" outlineLevel="0" collapsed="false">
      <c r="A47" s="14" t="b">
        <f aca="false">TRUE()</f>
        <v>1</v>
      </c>
      <c r="B47" s="14" t="b">
        <f aca="false">FALSE()</f>
        <v>0</v>
      </c>
      <c r="C47" s="4" t="n">
        <v>3</v>
      </c>
      <c r="D47" s="4"/>
      <c r="E47" s="4"/>
      <c r="F47" s="4"/>
      <c r="G47" s="4"/>
      <c r="H47" s="14" t="b">
        <f aca="false">FALSE()</f>
        <v>0</v>
      </c>
      <c r="I47" s="14" t="b">
        <f aca="false">FALSE()</f>
        <v>0</v>
      </c>
      <c r="J47" s="4"/>
      <c r="K47" s="4" t="s">
        <v>231</v>
      </c>
      <c r="L47" s="4" t="s">
        <v>232</v>
      </c>
      <c r="M47" s="4" t="s">
        <v>233</v>
      </c>
      <c r="N47" s="6" t="n">
        <v>17823</v>
      </c>
      <c r="O47" s="6" t="n">
        <v>74123</v>
      </c>
      <c r="P47" s="4" t="s">
        <v>46</v>
      </c>
      <c r="Q47" s="6" t="n">
        <v>210000</v>
      </c>
      <c r="R47" s="15" t="n">
        <v>38195</v>
      </c>
      <c r="S47" s="6" t="n">
        <v>46200</v>
      </c>
      <c r="T47" s="15" t="n">
        <v>39510</v>
      </c>
      <c r="U47" s="6"/>
      <c r="V47" s="15"/>
      <c r="W47" s="4" t="s">
        <v>47</v>
      </c>
      <c r="X47" s="4" t="s">
        <v>47</v>
      </c>
      <c r="Y47" s="4" t="s">
        <v>234</v>
      </c>
      <c r="Z47" s="4" t="s">
        <v>186</v>
      </c>
      <c r="AA47" s="6" t="n">
        <v>0</v>
      </c>
      <c r="AB47" s="6" t="n">
        <v>7885.66</v>
      </c>
      <c r="AC47" s="6" t="n">
        <v>8427.94</v>
      </c>
      <c r="AD47" s="14" t="b">
        <f aca="false">FALSE()</f>
        <v>0</v>
      </c>
    </row>
    <row r="48" customFormat="false" ht="15" hidden="false" customHeight="false" outlineLevel="0" collapsed="false">
      <c r="A48" s="14" t="b">
        <f aca="false">TRUE()</f>
        <v>1</v>
      </c>
      <c r="B48" s="14" t="b">
        <f aca="false">FALSE()</f>
        <v>0</v>
      </c>
      <c r="C48" s="4" t="n">
        <v>2</v>
      </c>
      <c r="D48" s="4"/>
      <c r="E48" s="4"/>
      <c r="F48" s="4"/>
      <c r="G48" s="4"/>
      <c r="H48" s="14" t="b">
        <f aca="false">FALSE()</f>
        <v>0</v>
      </c>
      <c r="I48" s="14" t="b">
        <f aca="false">FALSE()</f>
        <v>0</v>
      </c>
      <c r="J48" s="4"/>
      <c r="K48" s="4" t="s">
        <v>235</v>
      </c>
      <c r="L48" s="4" t="s">
        <v>236</v>
      </c>
      <c r="M48" s="4" t="s">
        <v>237</v>
      </c>
      <c r="N48" s="6" t="n">
        <v>17823</v>
      </c>
      <c r="O48" s="6" t="n">
        <v>76294</v>
      </c>
      <c r="P48" s="4" t="s">
        <v>46</v>
      </c>
      <c r="Q48" s="6" t="n">
        <v>660</v>
      </c>
      <c r="R48" s="15" t="n">
        <v>43091</v>
      </c>
      <c r="S48" s="6" t="n">
        <v>160000</v>
      </c>
      <c r="T48" s="15" t="n">
        <v>44153</v>
      </c>
      <c r="U48" s="6"/>
      <c r="V48" s="15"/>
      <c r="W48" s="4" t="s">
        <v>47</v>
      </c>
      <c r="X48" s="4" t="s">
        <v>47</v>
      </c>
      <c r="Y48" s="4" t="s">
        <v>238</v>
      </c>
      <c r="Z48" s="4" t="s">
        <v>186</v>
      </c>
      <c r="AA48" s="6" t="n">
        <v>0</v>
      </c>
      <c r="AB48" s="6" t="n">
        <v>7385.74</v>
      </c>
      <c r="AC48" s="6" t="n">
        <v>3869.05</v>
      </c>
      <c r="AD48" s="14" t="b">
        <f aca="false">TRUE()</f>
        <v>1</v>
      </c>
    </row>
    <row r="49" customFormat="false" ht="15" hidden="false" customHeight="false" outlineLevel="0" collapsed="false">
      <c r="A49" s="14" t="b">
        <f aca="false">TRUE()</f>
        <v>1</v>
      </c>
      <c r="B49" s="14" t="b">
        <f aca="false">FALSE()</f>
        <v>0</v>
      </c>
      <c r="C49" s="4" t="n">
        <v>2</v>
      </c>
      <c r="D49" s="4"/>
      <c r="E49" s="4"/>
      <c r="F49" s="4"/>
      <c r="G49" s="4"/>
      <c r="H49" s="14" t="b">
        <f aca="false">FALSE()</f>
        <v>0</v>
      </c>
      <c r="I49" s="14" t="b">
        <f aca="false">FALSE()</f>
        <v>0</v>
      </c>
      <c r="J49" s="4"/>
      <c r="K49" s="4" t="s">
        <v>239</v>
      </c>
      <c r="L49" s="4" t="s">
        <v>240</v>
      </c>
      <c r="M49" s="4" t="s">
        <v>241</v>
      </c>
      <c r="N49" s="6" t="n">
        <v>35744</v>
      </c>
      <c r="O49" s="6" t="n">
        <v>78554</v>
      </c>
      <c r="P49" s="4" t="s">
        <v>46</v>
      </c>
      <c r="Q49" s="6"/>
      <c r="R49" s="15"/>
      <c r="S49" s="6"/>
      <c r="T49" s="15"/>
      <c r="U49" s="6"/>
      <c r="V49" s="15"/>
      <c r="W49" s="4" t="s">
        <v>47</v>
      </c>
      <c r="X49" s="4" t="s">
        <v>47</v>
      </c>
      <c r="Y49" s="4" t="s">
        <v>242</v>
      </c>
      <c r="Z49" s="4" t="s">
        <v>186</v>
      </c>
      <c r="AA49" s="6" t="n">
        <v>0</v>
      </c>
      <c r="AB49" s="6" t="n">
        <v>8430.44</v>
      </c>
      <c r="AC49" s="6" t="n">
        <v>4414.9</v>
      </c>
      <c r="AD49" s="14" t="b">
        <f aca="false">TRUE()</f>
        <v>1</v>
      </c>
    </row>
    <row r="50" customFormat="false" ht="15" hidden="false" customHeight="false" outlineLevel="0" collapsed="false">
      <c r="A50" s="14" t="b">
        <f aca="false">TRUE()</f>
        <v>1</v>
      </c>
      <c r="B50" s="14" t="b">
        <f aca="false">FALSE()</f>
        <v>0</v>
      </c>
      <c r="C50" s="4" t="n">
        <v>2</v>
      </c>
      <c r="D50" s="4"/>
      <c r="E50" s="4"/>
      <c r="F50" s="4"/>
      <c r="G50" s="4"/>
      <c r="H50" s="14" t="b">
        <f aca="false">FALSE()</f>
        <v>0</v>
      </c>
      <c r="I50" s="14" t="b">
        <f aca="false">FALSE()</f>
        <v>0</v>
      </c>
      <c r="J50" s="4"/>
      <c r="K50" s="4" t="s">
        <v>243</v>
      </c>
      <c r="L50" s="4" t="s">
        <v>244</v>
      </c>
      <c r="M50" s="4" t="s">
        <v>245</v>
      </c>
      <c r="N50" s="6" t="n">
        <v>34565</v>
      </c>
      <c r="O50" s="6" t="n">
        <v>85409</v>
      </c>
      <c r="P50" s="4" t="s">
        <v>46</v>
      </c>
      <c r="Q50" s="6" t="n">
        <v>205000</v>
      </c>
      <c r="R50" s="15" t="n">
        <v>41578</v>
      </c>
      <c r="S50" s="6" t="n">
        <v>219300</v>
      </c>
      <c r="T50" s="15" t="n">
        <v>44041</v>
      </c>
      <c r="U50" s="6"/>
      <c r="V50" s="15"/>
      <c r="W50" s="4" t="s">
        <v>47</v>
      </c>
      <c r="X50" s="4" t="s">
        <v>47</v>
      </c>
      <c r="Y50" s="4" t="s">
        <v>246</v>
      </c>
      <c r="Z50" s="4" t="s">
        <v>186</v>
      </c>
      <c r="AA50" s="6" t="n">
        <v>0</v>
      </c>
      <c r="AB50" s="6" t="n">
        <v>9630.56</v>
      </c>
      <c r="AC50" s="6" t="n">
        <v>5041.97</v>
      </c>
      <c r="AD50" s="14" t="b">
        <f aca="false">TRUE()</f>
        <v>1</v>
      </c>
    </row>
    <row r="51" customFormat="false" ht="15" hidden="false" customHeight="false" outlineLevel="0" collapsed="false">
      <c r="A51" s="14" t="b">
        <f aca="false">TRUE()</f>
        <v>1</v>
      </c>
      <c r="B51" s="14" t="b">
        <f aca="false">FALSE()</f>
        <v>0</v>
      </c>
      <c r="C51" s="4" t="n">
        <v>2</v>
      </c>
      <c r="D51" s="4"/>
      <c r="E51" s="4"/>
      <c r="F51" s="4"/>
      <c r="G51" s="4"/>
      <c r="H51" s="14" t="b">
        <f aca="false">FALSE()</f>
        <v>0</v>
      </c>
      <c r="I51" s="14" t="b">
        <f aca="false">FALSE()</f>
        <v>0</v>
      </c>
      <c r="J51" s="4"/>
      <c r="K51" s="4" t="s">
        <v>247</v>
      </c>
      <c r="L51" s="4" t="s">
        <v>248</v>
      </c>
      <c r="M51" s="4" t="s">
        <v>249</v>
      </c>
      <c r="N51" s="6" t="n">
        <v>13932</v>
      </c>
      <c r="O51" s="6" t="n">
        <v>60676</v>
      </c>
      <c r="P51" s="4" t="s">
        <v>46</v>
      </c>
      <c r="Q51" s="6"/>
      <c r="R51" s="15" t="n">
        <v>43822</v>
      </c>
      <c r="S51" s="6"/>
      <c r="T51" s="15"/>
      <c r="U51" s="6"/>
      <c r="V51" s="15"/>
      <c r="W51" s="4" t="s">
        <v>47</v>
      </c>
      <c r="X51" s="4" t="s">
        <v>58</v>
      </c>
      <c r="Y51" s="4" t="s">
        <v>250</v>
      </c>
      <c r="Z51" s="4" t="s">
        <v>186</v>
      </c>
      <c r="AA51" s="6" t="n">
        <v>0</v>
      </c>
      <c r="AB51" s="6" t="n">
        <v>5712.56</v>
      </c>
      <c r="AC51" s="6" t="n">
        <v>2994.81</v>
      </c>
      <c r="AD51" s="14" t="b">
        <f aca="false">TRUE()</f>
        <v>1</v>
      </c>
    </row>
    <row r="52" customFormat="false" ht="15" hidden="false" customHeight="false" outlineLevel="0" collapsed="false">
      <c r="A52" s="14" t="b">
        <f aca="false">TRUE()</f>
        <v>1</v>
      </c>
      <c r="B52" s="14" t="b">
        <f aca="false">FALSE()</f>
        <v>0</v>
      </c>
      <c r="C52" s="4" t="n">
        <v>2</v>
      </c>
      <c r="D52" s="4"/>
      <c r="E52" s="4"/>
      <c r="F52" s="4"/>
      <c r="G52" s="4" t="n">
        <v>3</v>
      </c>
      <c r="H52" s="14" t="b">
        <f aca="false">FALSE()</f>
        <v>0</v>
      </c>
      <c r="I52" s="14" t="b">
        <f aca="false">FALSE()</f>
        <v>0</v>
      </c>
      <c r="J52" s="4"/>
      <c r="K52" s="4" t="s">
        <v>251</v>
      </c>
      <c r="L52" s="4" t="s">
        <v>252</v>
      </c>
      <c r="M52" s="4" t="s">
        <v>253</v>
      </c>
      <c r="N52" s="6" t="n">
        <v>44815</v>
      </c>
      <c r="O52" s="6" t="n">
        <v>183748</v>
      </c>
      <c r="P52" s="4" t="s">
        <v>46</v>
      </c>
      <c r="Q52" s="6" t="n">
        <v>620000</v>
      </c>
      <c r="R52" s="15" t="n">
        <v>44365</v>
      </c>
      <c r="S52" s="6"/>
      <c r="T52" s="15"/>
      <c r="U52" s="6"/>
      <c r="V52" s="15"/>
      <c r="W52" s="4" t="s">
        <v>47</v>
      </c>
      <c r="X52" s="4" t="s">
        <v>47</v>
      </c>
      <c r="Y52" s="4" t="s">
        <v>254</v>
      </c>
      <c r="Z52" s="4" t="s">
        <v>186</v>
      </c>
      <c r="AA52" s="6" t="n">
        <v>0</v>
      </c>
      <c r="AB52" s="6" t="n">
        <v>18969.98</v>
      </c>
      <c r="AC52" s="6" t="n">
        <v>9921.81</v>
      </c>
      <c r="AD52" s="14" t="b">
        <f aca="false">TRUE()</f>
        <v>1</v>
      </c>
    </row>
    <row r="53" customFormat="false" ht="15" hidden="false" customHeight="false" outlineLevel="0" collapsed="false">
      <c r="A53" s="14" t="b">
        <f aca="false">TRUE()</f>
        <v>1</v>
      </c>
      <c r="B53" s="14" t="b">
        <f aca="false">FALSE()</f>
        <v>0</v>
      </c>
      <c r="C53" s="4" t="n">
        <v>2</v>
      </c>
      <c r="D53" s="4"/>
      <c r="E53" s="4"/>
      <c r="F53" s="4"/>
      <c r="G53" s="4"/>
      <c r="H53" s="14" t="b">
        <f aca="false">FALSE()</f>
        <v>0</v>
      </c>
      <c r="I53" s="14" t="b">
        <f aca="false">FALSE()</f>
        <v>0</v>
      </c>
      <c r="J53" s="4"/>
      <c r="K53" s="4" t="s">
        <v>255</v>
      </c>
      <c r="L53" s="4" t="s">
        <v>256</v>
      </c>
      <c r="M53" s="4" t="s">
        <v>257</v>
      </c>
      <c r="N53" s="6" t="n">
        <v>45367</v>
      </c>
      <c r="O53" s="6" t="n">
        <v>172880</v>
      </c>
      <c r="P53" s="4" t="s">
        <v>46</v>
      </c>
      <c r="Q53" s="6"/>
      <c r="R53" s="15"/>
      <c r="S53" s="6"/>
      <c r="T53" s="15"/>
      <c r="U53" s="6"/>
      <c r="V53" s="15"/>
      <c r="W53" s="4"/>
      <c r="X53" s="4"/>
      <c r="Y53" s="4" t="s">
        <v>258</v>
      </c>
      <c r="Z53" s="4" t="s">
        <v>165</v>
      </c>
      <c r="AA53" s="6" t="n">
        <v>0</v>
      </c>
      <c r="AB53" s="6" t="n">
        <v>14804.58</v>
      </c>
      <c r="AC53" s="6" t="n">
        <v>7745.39</v>
      </c>
      <c r="AD53" s="14" t="b">
        <f aca="false">TRUE()</f>
        <v>1</v>
      </c>
    </row>
    <row r="54" customFormat="false" ht="15" hidden="false" customHeight="false" outlineLevel="0" collapsed="false">
      <c r="A54" s="14" t="b">
        <f aca="false">TRUE()</f>
        <v>1</v>
      </c>
      <c r="B54" s="14" t="b">
        <f aca="false">FALSE()</f>
        <v>0</v>
      </c>
      <c r="C54" s="4" t="n">
        <v>3</v>
      </c>
      <c r="D54" s="4"/>
      <c r="E54" s="4"/>
      <c r="F54" s="4"/>
      <c r="G54" s="4"/>
      <c r="H54" s="14" t="b">
        <f aca="false">FALSE()</f>
        <v>0</v>
      </c>
      <c r="I54" s="14" t="b">
        <f aca="false">FALSE()</f>
        <v>0</v>
      </c>
      <c r="J54" s="4"/>
      <c r="K54" s="4" t="s">
        <v>259</v>
      </c>
      <c r="L54" s="4" t="s">
        <v>260</v>
      </c>
      <c r="M54" s="4" t="s">
        <v>261</v>
      </c>
      <c r="N54" s="6" t="n">
        <v>33606</v>
      </c>
      <c r="O54" s="6" t="n">
        <v>119974</v>
      </c>
      <c r="P54" s="4" t="s">
        <v>46</v>
      </c>
      <c r="Q54" s="6" t="n">
        <v>40500</v>
      </c>
      <c r="R54" s="15" t="n">
        <v>35069</v>
      </c>
      <c r="S54" s="6"/>
      <c r="T54" s="15"/>
      <c r="U54" s="6"/>
      <c r="V54" s="15"/>
      <c r="W54" s="4" t="s">
        <v>47</v>
      </c>
      <c r="X54" s="4" t="s">
        <v>47</v>
      </c>
      <c r="Y54" s="4" t="s">
        <v>262</v>
      </c>
      <c r="Z54" s="4" t="s">
        <v>165</v>
      </c>
      <c r="AA54" s="6" t="n">
        <v>0</v>
      </c>
      <c r="AB54" s="6" t="n">
        <v>10825.1</v>
      </c>
      <c r="AC54" s="6" t="n">
        <v>11565.79</v>
      </c>
      <c r="AD54" s="14" t="b">
        <f aca="false">FALSE()</f>
        <v>0</v>
      </c>
    </row>
    <row r="55" customFormat="false" ht="15" hidden="false" customHeight="false" outlineLevel="0" collapsed="false">
      <c r="A55" s="14" t="b">
        <f aca="false">TRUE()</f>
        <v>1</v>
      </c>
      <c r="B55" s="14" t="b">
        <f aca="false">FALSE()</f>
        <v>0</v>
      </c>
      <c r="C55" s="4" t="n">
        <v>2</v>
      </c>
      <c r="D55" s="4"/>
      <c r="E55" s="4"/>
      <c r="F55" s="4"/>
      <c r="G55" s="4"/>
      <c r="H55" s="14" t="b">
        <f aca="false">FALSE()</f>
        <v>0</v>
      </c>
      <c r="I55" s="14" t="b">
        <f aca="false">FALSE()</f>
        <v>0</v>
      </c>
      <c r="J55" s="4"/>
      <c r="K55" s="4" t="s">
        <v>263</v>
      </c>
      <c r="L55" s="4" t="s">
        <v>264</v>
      </c>
      <c r="M55" s="4" t="s">
        <v>265</v>
      </c>
      <c r="N55" s="6" t="n">
        <v>34411</v>
      </c>
      <c r="O55" s="6" t="n">
        <v>67752</v>
      </c>
      <c r="P55" s="4" t="s">
        <v>46</v>
      </c>
      <c r="Q55" s="6" t="n">
        <v>330000</v>
      </c>
      <c r="R55" s="15" t="n">
        <v>44483</v>
      </c>
      <c r="S55" s="6"/>
      <c r="T55" s="15"/>
      <c r="U55" s="6"/>
      <c r="V55" s="15"/>
      <c r="W55" s="4" t="s">
        <v>47</v>
      </c>
      <c r="X55" s="4" t="s">
        <v>47</v>
      </c>
      <c r="Y55" s="4" t="s">
        <v>266</v>
      </c>
      <c r="Z55" s="4" t="s">
        <v>165</v>
      </c>
      <c r="AA55" s="6" t="n">
        <v>0</v>
      </c>
      <c r="AB55" s="6" t="n">
        <v>9025.06</v>
      </c>
      <c r="AC55" s="6" t="n">
        <v>9644.25</v>
      </c>
      <c r="AD55" s="14" t="b">
        <f aca="false">FALSE()</f>
        <v>0</v>
      </c>
    </row>
    <row r="56" customFormat="false" ht="15" hidden="false" customHeight="false" outlineLevel="0" collapsed="false">
      <c r="A56" s="14" t="b">
        <f aca="false">TRUE()</f>
        <v>1</v>
      </c>
      <c r="B56" s="14" t="b">
        <f aca="false">FALSE()</f>
        <v>0</v>
      </c>
      <c r="C56" s="4" t="n">
        <v>2</v>
      </c>
      <c r="D56" s="4"/>
      <c r="E56" s="4"/>
      <c r="F56" s="4"/>
      <c r="G56" s="4"/>
      <c r="H56" s="14" t="b">
        <f aca="false">TRUE()</f>
        <v>1</v>
      </c>
      <c r="I56" s="14" t="b">
        <f aca="false">FALSE()</f>
        <v>0</v>
      </c>
      <c r="J56" s="4"/>
      <c r="K56" s="4" t="s">
        <v>267</v>
      </c>
      <c r="L56" s="4" t="s">
        <v>268</v>
      </c>
      <c r="M56" s="4" t="s">
        <v>269</v>
      </c>
      <c r="N56" s="6" t="n">
        <v>19696</v>
      </c>
      <c r="O56" s="6" t="n">
        <v>70067</v>
      </c>
      <c r="P56" s="4" t="s">
        <v>46</v>
      </c>
      <c r="Q56" s="6" t="n">
        <v>192500</v>
      </c>
      <c r="R56" s="15" t="n">
        <v>40059</v>
      </c>
      <c r="S56" s="6"/>
      <c r="T56" s="15"/>
      <c r="U56" s="6"/>
      <c r="V56" s="15"/>
      <c r="W56" s="4" t="s">
        <v>58</v>
      </c>
      <c r="X56" s="4" t="s">
        <v>58</v>
      </c>
      <c r="Y56" s="4" t="s">
        <v>270</v>
      </c>
      <c r="Z56" s="4" t="s">
        <v>271</v>
      </c>
      <c r="AA56" s="6" t="n">
        <v>0</v>
      </c>
      <c r="AB56" s="6" t="n">
        <v>5938.7</v>
      </c>
      <c r="AC56" s="6" t="n">
        <v>3112.97</v>
      </c>
      <c r="AD56" s="14" t="b">
        <f aca="false">TRUE()</f>
        <v>1</v>
      </c>
    </row>
    <row r="57" customFormat="false" ht="15" hidden="false" customHeight="false" outlineLevel="0" collapsed="false">
      <c r="A57" s="14" t="b">
        <f aca="false">TRUE()</f>
        <v>1</v>
      </c>
      <c r="B57" s="14" t="b">
        <f aca="false">FALSE()</f>
        <v>0</v>
      </c>
      <c r="C57" s="4" t="n">
        <v>2</v>
      </c>
      <c r="D57" s="4"/>
      <c r="E57" s="4"/>
      <c r="F57" s="4"/>
      <c r="G57" s="4" t="n">
        <v>3</v>
      </c>
      <c r="H57" s="14" t="b">
        <f aca="false">FALSE()</f>
        <v>0</v>
      </c>
      <c r="I57" s="14" t="b">
        <f aca="false">FALSE()</f>
        <v>0</v>
      </c>
      <c r="J57" s="4"/>
      <c r="K57" s="4" t="s">
        <v>272</v>
      </c>
      <c r="L57" s="4" t="s">
        <v>273</v>
      </c>
      <c r="M57" s="4" t="s">
        <v>274</v>
      </c>
      <c r="N57" s="6" t="n">
        <v>19696</v>
      </c>
      <c r="O57" s="6" t="n">
        <v>68325</v>
      </c>
      <c r="P57" s="4" t="s">
        <v>46</v>
      </c>
      <c r="Q57" s="6" t="n">
        <v>207000</v>
      </c>
      <c r="R57" s="15" t="n">
        <v>37075</v>
      </c>
      <c r="S57" s="6"/>
      <c r="T57" s="15"/>
      <c r="U57" s="6"/>
      <c r="V57" s="15"/>
      <c r="W57" s="4" t="s">
        <v>58</v>
      </c>
      <c r="X57" s="4" t="s">
        <v>58</v>
      </c>
      <c r="Y57" s="4" t="s">
        <v>275</v>
      </c>
      <c r="Z57" s="4" t="s">
        <v>271</v>
      </c>
      <c r="AA57" s="6" t="n">
        <v>0</v>
      </c>
      <c r="AB57" s="6" t="n">
        <v>5812.16</v>
      </c>
      <c r="AC57" s="6" t="n">
        <v>6214.48</v>
      </c>
      <c r="AD57" s="14" t="b">
        <f aca="false">FALSE()</f>
        <v>0</v>
      </c>
    </row>
    <row r="58" customFormat="false" ht="15" hidden="false" customHeight="false" outlineLevel="0" collapsed="false">
      <c r="A58" s="14" t="b">
        <f aca="false">TRUE()</f>
        <v>1</v>
      </c>
      <c r="B58" s="14" t="b">
        <f aca="false">FALSE()</f>
        <v>0</v>
      </c>
      <c r="C58" s="4" t="n">
        <v>2</v>
      </c>
      <c r="D58" s="4"/>
      <c r="E58" s="4"/>
      <c r="F58" s="4"/>
      <c r="G58" s="4" t="n">
        <v>2</v>
      </c>
      <c r="H58" s="14" t="b">
        <f aca="false">TRUE()</f>
        <v>1</v>
      </c>
      <c r="I58" s="14" t="b">
        <f aca="false">FALSE()</f>
        <v>0</v>
      </c>
      <c r="J58" s="4"/>
      <c r="K58" s="4" t="s">
        <v>276</v>
      </c>
      <c r="L58" s="4" t="s">
        <v>277</v>
      </c>
      <c r="M58" s="4" t="s">
        <v>278</v>
      </c>
      <c r="N58" s="6" t="n">
        <v>23653</v>
      </c>
      <c r="O58" s="6" t="n">
        <v>85189</v>
      </c>
      <c r="P58" s="4" t="s">
        <v>46</v>
      </c>
      <c r="Q58" s="6" t="n">
        <v>780000</v>
      </c>
      <c r="R58" s="15" t="n">
        <v>44970</v>
      </c>
      <c r="S58" s="6"/>
      <c r="T58" s="15"/>
      <c r="U58" s="6"/>
      <c r="V58" s="15"/>
      <c r="W58" s="4" t="s">
        <v>47</v>
      </c>
      <c r="X58" s="4" t="s">
        <v>47</v>
      </c>
      <c r="Y58" s="4" t="s">
        <v>279</v>
      </c>
      <c r="Z58" s="4" t="s">
        <v>271</v>
      </c>
      <c r="AA58" s="6" t="n">
        <v>0</v>
      </c>
      <c r="AB58" s="6" t="n">
        <v>7324.46</v>
      </c>
      <c r="AC58" s="6" t="n">
        <v>7828.86</v>
      </c>
      <c r="AD58" s="14" t="b">
        <f aca="false">FALSE()</f>
        <v>0</v>
      </c>
    </row>
    <row r="59" customFormat="false" ht="15" hidden="false" customHeight="false" outlineLevel="0" collapsed="false">
      <c r="A59" s="14" t="b">
        <f aca="false">TRUE()</f>
        <v>1</v>
      </c>
      <c r="B59" s="14" t="b">
        <f aca="false">FALSE()</f>
        <v>0</v>
      </c>
      <c r="C59" s="4" t="n">
        <v>2</v>
      </c>
      <c r="D59" s="4"/>
      <c r="E59" s="4"/>
      <c r="F59" s="4"/>
      <c r="G59" s="4"/>
      <c r="H59" s="14" t="b">
        <f aca="false">FALSE()</f>
        <v>0</v>
      </c>
      <c r="I59" s="14" t="b">
        <f aca="false">FALSE()</f>
        <v>0</v>
      </c>
      <c r="J59" s="4"/>
      <c r="K59" s="4" t="s">
        <v>280</v>
      </c>
      <c r="L59" s="4" t="s">
        <v>281</v>
      </c>
      <c r="M59" s="4" t="s">
        <v>282</v>
      </c>
      <c r="N59" s="6" t="n">
        <v>34135</v>
      </c>
      <c r="O59" s="6" t="n">
        <v>115037</v>
      </c>
      <c r="P59" s="4" t="s">
        <v>46</v>
      </c>
      <c r="Q59" s="6" t="n">
        <v>535000</v>
      </c>
      <c r="R59" s="15" t="n">
        <v>45897</v>
      </c>
      <c r="S59" s="6" t="n">
        <v>525309</v>
      </c>
      <c r="T59" s="15" t="n">
        <v>45897</v>
      </c>
      <c r="U59" s="6"/>
      <c r="V59" s="15"/>
      <c r="W59" s="4" t="s">
        <v>47</v>
      </c>
      <c r="X59" s="4" t="s">
        <v>58</v>
      </c>
      <c r="Y59" s="4" t="s">
        <v>283</v>
      </c>
      <c r="Z59" s="4" t="s">
        <v>165</v>
      </c>
      <c r="AA59" s="6" t="n">
        <v>0</v>
      </c>
      <c r="AB59" s="6" t="n">
        <v>12471.16</v>
      </c>
      <c r="AC59" s="6" t="n">
        <v>6526.18</v>
      </c>
      <c r="AD59" s="14" t="b">
        <f aca="false">TRUE()</f>
        <v>1</v>
      </c>
    </row>
    <row r="60" customFormat="false" ht="15" hidden="false" customHeight="false" outlineLevel="0" collapsed="false">
      <c r="A60" s="14" t="b">
        <f aca="false">TRUE()</f>
        <v>1</v>
      </c>
      <c r="B60" s="14" t="b">
        <f aca="false">FALSE()</f>
        <v>0</v>
      </c>
      <c r="C60" s="4" t="n">
        <v>2</v>
      </c>
      <c r="D60" s="4"/>
      <c r="E60" s="4"/>
      <c r="F60" s="4"/>
      <c r="G60" s="4"/>
      <c r="H60" s="14" t="b">
        <f aca="false">FALSE()</f>
        <v>0</v>
      </c>
      <c r="I60" s="14" t="b">
        <f aca="false">FALSE()</f>
        <v>0</v>
      </c>
      <c r="J60" s="4"/>
      <c r="K60" s="4" t="s">
        <v>284</v>
      </c>
      <c r="L60" s="4" t="s">
        <v>285</v>
      </c>
      <c r="M60" s="4" t="s">
        <v>286</v>
      </c>
      <c r="N60" s="6" t="n">
        <v>13987</v>
      </c>
      <c r="O60" s="6" t="n">
        <v>69802</v>
      </c>
      <c r="P60" s="4" t="s">
        <v>46</v>
      </c>
      <c r="Q60" s="6" t="n">
        <v>210000</v>
      </c>
      <c r="R60" s="15" t="n">
        <v>38657</v>
      </c>
      <c r="S60" s="6"/>
      <c r="T60" s="15"/>
      <c r="U60" s="6"/>
      <c r="V60" s="15"/>
      <c r="W60" s="4" t="s">
        <v>47</v>
      </c>
      <c r="X60" s="4" t="s">
        <v>47</v>
      </c>
      <c r="Y60" s="4" t="s">
        <v>287</v>
      </c>
      <c r="Z60" s="4" t="s">
        <v>165</v>
      </c>
      <c r="AA60" s="6" t="n">
        <v>0</v>
      </c>
      <c r="AB60" s="6" t="n">
        <v>6695.22</v>
      </c>
      <c r="AC60" s="6" t="n">
        <v>7157.14</v>
      </c>
      <c r="AD60" s="14" t="b">
        <f aca="false">FALSE()</f>
        <v>0</v>
      </c>
    </row>
    <row r="61" customFormat="false" ht="15" hidden="false" customHeight="false" outlineLevel="0" collapsed="false">
      <c r="A61" s="14" t="b">
        <f aca="false">TRUE()</f>
        <v>1</v>
      </c>
      <c r="B61" s="14" t="b">
        <f aca="false">FALSE()</f>
        <v>0</v>
      </c>
      <c r="C61" s="4" t="n">
        <v>2</v>
      </c>
      <c r="D61" s="4"/>
      <c r="E61" s="4"/>
      <c r="F61" s="4"/>
      <c r="G61" s="4"/>
      <c r="H61" s="14" t="b">
        <f aca="false">FALSE()</f>
        <v>0</v>
      </c>
      <c r="I61" s="14" t="b">
        <f aca="false">FALSE()</f>
        <v>0</v>
      </c>
      <c r="J61" s="4"/>
      <c r="K61" s="4" t="s">
        <v>288</v>
      </c>
      <c r="L61" s="4" t="s">
        <v>289</v>
      </c>
      <c r="M61" s="4" t="s">
        <v>290</v>
      </c>
      <c r="N61" s="6" t="n">
        <v>37508</v>
      </c>
      <c r="O61" s="6" t="n">
        <v>107442</v>
      </c>
      <c r="P61" s="4" t="s">
        <v>46</v>
      </c>
      <c r="Q61" s="6"/>
      <c r="R61" s="15" t="n">
        <v>44792</v>
      </c>
      <c r="S61" s="6"/>
      <c r="T61" s="15"/>
      <c r="U61" s="6"/>
      <c r="V61" s="15"/>
      <c r="W61" s="4" t="s">
        <v>47</v>
      </c>
      <c r="X61" s="4" t="s">
        <v>47</v>
      </c>
      <c r="Y61" s="4" t="s">
        <v>291</v>
      </c>
      <c r="Z61" s="4" t="s">
        <v>165</v>
      </c>
      <c r="AA61" s="6" t="n">
        <v>0</v>
      </c>
      <c r="AB61" s="6" t="n">
        <v>7048.84</v>
      </c>
      <c r="AC61" s="6" t="n">
        <v>7534.64</v>
      </c>
      <c r="AD61" s="14" t="b">
        <f aca="false">FALSE()</f>
        <v>0</v>
      </c>
    </row>
    <row r="62" customFormat="false" ht="15" hidden="false" customHeight="false" outlineLevel="0" collapsed="false">
      <c r="A62" s="14" t="b">
        <f aca="false">TRUE()</f>
        <v>1</v>
      </c>
      <c r="B62" s="14" t="b">
        <f aca="false">FALSE()</f>
        <v>0</v>
      </c>
      <c r="C62" s="4" t="n">
        <v>2</v>
      </c>
      <c r="D62" s="4"/>
      <c r="E62" s="4"/>
      <c r="F62" s="4"/>
      <c r="G62" s="4"/>
      <c r="H62" s="14" t="b">
        <f aca="false">FALSE()</f>
        <v>0</v>
      </c>
      <c r="I62" s="14" t="b">
        <f aca="false">FALSE()</f>
        <v>0</v>
      </c>
      <c r="J62" s="4"/>
      <c r="K62" s="4" t="s">
        <v>292</v>
      </c>
      <c r="L62" s="4" t="s">
        <v>293</v>
      </c>
      <c r="M62" s="4" t="s">
        <v>294</v>
      </c>
      <c r="N62" s="6" t="n">
        <v>39525</v>
      </c>
      <c r="O62" s="6" t="n">
        <v>107674</v>
      </c>
      <c r="P62" s="4" t="s">
        <v>46</v>
      </c>
      <c r="Q62" s="6" t="n">
        <v>546000</v>
      </c>
      <c r="R62" s="15" t="n">
        <v>45642</v>
      </c>
      <c r="S62" s="6"/>
      <c r="T62" s="15"/>
      <c r="U62" s="6"/>
      <c r="V62" s="15"/>
      <c r="W62" s="4" t="s">
        <v>47</v>
      </c>
      <c r="X62" s="4" t="s">
        <v>47</v>
      </c>
      <c r="Y62" s="4" t="s">
        <v>295</v>
      </c>
      <c r="Z62" s="4" t="s">
        <v>165</v>
      </c>
      <c r="AA62" s="6" t="n">
        <v>0</v>
      </c>
      <c r="AB62" s="6" t="n">
        <v>11223.56</v>
      </c>
      <c r="AC62" s="6" t="n">
        <v>5874.31</v>
      </c>
      <c r="AD62" s="14" t="b">
        <f aca="false">TRUE()</f>
        <v>1</v>
      </c>
    </row>
    <row r="63" customFormat="false" ht="15" hidden="false" customHeight="false" outlineLevel="0" collapsed="false">
      <c r="A63" s="14" t="b">
        <f aca="false">TRUE()</f>
        <v>1</v>
      </c>
      <c r="B63" s="14" t="b">
        <f aca="false">FALSE()</f>
        <v>0</v>
      </c>
      <c r="C63" s="4" t="n">
        <v>2</v>
      </c>
      <c r="D63" s="4"/>
      <c r="E63" s="4"/>
      <c r="F63" s="4"/>
      <c r="G63" s="4"/>
      <c r="H63" s="14" t="b">
        <f aca="false">FALSE()</f>
        <v>0</v>
      </c>
      <c r="I63" s="14" t="b">
        <f aca="false">FALSE()</f>
        <v>0</v>
      </c>
      <c r="J63" s="4"/>
      <c r="K63" s="4" t="s">
        <v>296</v>
      </c>
      <c r="L63" s="4" t="s">
        <v>297</v>
      </c>
      <c r="M63" s="4" t="s">
        <v>298</v>
      </c>
      <c r="N63" s="6" t="n">
        <v>80185</v>
      </c>
      <c r="O63" s="6" t="n">
        <v>111201</v>
      </c>
      <c r="P63" s="4" t="s">
        <v>46</v>
      </c>
      <c r="Q63" s="6"/>
      <c r="R63" s="15"/>
      <c r="S63" s="6" t="n">
        <v>179000</v>
      </c>
      <c r="T63" s="15" t="n">
        <v>44498</v>
      </c>
      <c r="U63" s="6"/>
      <c r="V63" s="15"/>
      <c r="W63" s="4" t="s">
        <v>47</v>
      </c>
      <c r="X63" s="4" t="s">
        <v>47</v>
      </c>
      <c r="Y63" s="4" t="s">
        <v>299</v>
      </c>
      <c r="Z63" s="4" t="s">
        <v>165</v>
      </c>
      <c r="AA63" s="6" t="n">
        <v>0</v>
      </c>
      <c r="AB63" s="6" t="n">
        <v>13970.16</v>
      </c>
      <c r="AC63" s="6" t="n">
        <v>7309.41</v>
      </c>
      <c r="AD63" s="14" t="b">
        <f aca="false">TRUE()</f>
        <v>1</v>
      </c>
    </row>
    <row r="64" customFormat="false" ht="15" hidden="false" customHeight="false" outlineLevel="0" collapsed="false">
      <c r="A64" s="14" t="b">
        <f aca="false">TRUE()</f>
        <v>1</v>
      </c>
      <c r="B64" s="14" t="b">
        <f aca="false">FALSE()</f>
        <v>0</v>
      </c>
      <c r="C64" s="4" t="n">
        <v>2</v>
      </c>
      <c r="D64" s="4"/>
      <c r="E64" s="4"/>
      <c r="F64" s="4"/>
      <c r="G64" s="4"/>
      <c r="H64" s="14" t="b">
        <f aca="false">FALSE()</f>
        <v>0</v>
      </c>
      <c r="I64" s="14" t="b">
        <f aca="false">FALSE()</f>
        <v>0</v>
      </c>
      <c r="J64" s="4"/>
      <c r="K64" s="4" t="s">
        <v>300</v>
      </c>
      <c r="L64" s="4" t="s">
        <v>301</v>
      </c>
      <c r="M64" s="4" t="s">
        <v>302</v>
      </c>
      <c r="N64" s="6" t="n">
        <v>13932</v>
      </c>
      <c r="O64" s="6" t="n">
        <v>52266</v>
      </c>
      <c r="P64" s="4" t="s">
        <v>46</v>
      </c>
      <c r="Q64" s="6" t="n">
        <v>100000</v>
      </c>
      <c r="R64" s="15" t="n">
        <v>41446</v>
      </c>
      <c r="S64" s="6"/>
      <c r="T64" s="15"/>
      <c r="U64" s="6"/>
      <c r="V64" s="15"/>
      <c r="W64" s="4" t="s">
        <v>47</v>
      </c>
      <c r="X64" s="4" t="s">
        <v>47</v>
      </c>
      <c r="Y64" s="4" t="s">
        <v>303</v>
      </c>
      <c r="Z64" s="4" t="s">
        <v>186</v>
      </c>
      <c r="AA64" s="6" t="n">
        <v>0</v>
      </c>
      <c r="AB64" s="6" t="n">
        <v>4305.18</v>
      </c>
      <c r="AC64" s="6" t="n">
        <v>2259.46</v>
      </c>
      <c r="AD64" s="14" t="b">
        <f aca="false">TRUE()</f>
        <v>1</v>
      </c>
    </row>
    <row r="65" customFormat="false" ht="15" hidden="false" customHeight="false" outlineLevel="0" collapsed="false">
      <c r="A65" s="14" t="b">
        <f aca="false">TRUE()</f>
        <v>1</v>
      </c>
      <c r="B65" s="14" t="b">
        <f aca="false">FALSE()</f>
        <v>0</v>
      </c>
      <c r="C65" s="4" t="n">
        <v>2</v>
      </c>
      <c r="D65" s="4"/>
      <c r="E65" s="4"/>
      <c r="F65" s="4"/>
      <c r="G65" s="4"/>
      <c r="H65" s="14" t="b">
        <f aca="false">FALSE()</f>
        <v>0</v>
      </c>
      <c r="I65" s="14" t="b">
        <f aca="false">FALSE()</f>
        <v>0</v>
      </c>
      <c r="J65" s="4"/>
      <c r="K65" s="4" t="s">
        <v>304</v>
      </c>
      <c r="L65" s="4" t="s">
        <v>305</v>
      </c>
      <c r="M65" s="4" t="s">
        <v>306</v>
      </c>
      <c r="N65" s="6" t="n">
        <v>13932</v>
      </c>
      <c r="O65" s="6" t="n">
        <v>52586</v>
      </c>
      <c r="P65" s="4" t="s">
        <v>46</v>
      </c>
      <c r="Q65" s="6"/>
      <c r="R65" s="15"/>
      <c r="S65" s="6"/>
      <c r="T65" s="15"/>
      <c r="U65" s="6"/>
      <c r="V65" s="15"/>
      <c r="W65" s="4" t="s">
        <v>47</v>
      </c>
      <c r="X65" s="4" t="s">
        <v>47</v>
      </c>
      <c r="Y65" s="4" t="s">
        <v>307</v>
      </c>
      <c r="Z65" s="4" t="s">
        <v>186</v>
      </c>
      <c r="AA65" s="6" t="n">
        <v>0</v>
      </c>
      <c r="AB65" s="6" t="n">
        <v>4332.64</v>
      </c>
      <c r="AC65" s="6" t="n">
        <v>4635.09</v>
      </c>
      <c r="AD65" s="14" t="b">
        <f aca="false">FALSE()</f>
        <v>0</v>
      </c>
    </row>
    <row r="66" customFormat="false" ht="15" hidden="false" customHeight="false" outlineLevel="0" collapsed="false">
      <c r="A66" s="14" t="b">
        <f aca="false">TRUE()</f>
        <v>1</v>
      </c>
      <c r="B66" s="14" t="b">
        <f aca="false">FALSE()</f>
        <v>0</v>
      </c>
      <c r="C66" s="4" t="n">
        <v>3</v>
      </c>
      <c r="D66" s="4"/>
      <c r="E66" s="4"/>
      <c r="F66" s="4"/>
      <c r="G66" s="4"/>
      <c r="H66" s="14" t="b">
        <f aca="false">FALSE()</f>
        <v>0</v>
      </c>
      <c r="I66" s="14" t="b">
        <f aca="false">FALSE()</f>
        <v>0</v>
      </c>
      <c r="J66" s="4"/>
      <c r="K66" s="4" t="s">
        <v>308</v>
      </c>
      <c r="L66" s="4" t="s">
        <v>309</v>
      </c>
      <c r="M66" s="4" t="s">
        <v>310</v>
      </c>
      <c r="N66" s="6" t="n">
        <v>38076</v>
      </c>
      <c r="O66" s="6" t="n">
        <v>191395</v>
      </c>
      <c r="P66" s="4" t="s">
        <v>46</v>
      </c>
      <c r="Q66" s="6" t="n">
        <v>345000</v>
      </c>
      <c r="R66" s="15" t="n">
        <v>44207</v>
      </c>
      <c r="S66" s="6" t="n">
        <v>276000</v>
      </c>
      <c r="T66" s="15" t="n">
        <v>44207</v>
      </c>
      <c r="U66" s="6" t="n">
        <v>83500</v>
      </c>
      <c r="V66" s="15" t="n">
        <v>45595</v>
      </c>
      <c r="W66" s="4" t="s">
        <v>47</v>
      </c>
      <c r="X66" s="4" t="s">
        <v>58</v>
      </c>
      <c r="Y66" s="4" t="s">
        <v>311</v>
      </c>
      <c r="Z66" s="4" t="s">
        <v>312</v>
      </c>
      <c r="AA66" s="6" t="n">
        <v>0</v>
      </c>
      <c r="AB66" s="6" t="n">
        <v>12738.34</v>
      </c>
      <c r="AC66" s="6" t="n">
        <v>13608.18</v>
      </c>
      <c r="AD66" s="14" t="b">
        <f aca="false">FALSE()</f>
        <v>0</v>
      </c>
    </row>
    <row r="67" customFormat="false" ht="15" hidden="false" customHeight="false" outlineLevel="0" collapsed="false">
      <c r="A67" s="14" t="b">
        <f aca="false">TRUE()</f>
        <v>1</v>
      </c>
      <c r="B67" s="14" t="b">
        <f aca="false">FALSE()</f>
        <v>0</v>
      </c>
      <c r="C67" s="4" t="n">
        <v>2</v>
      </c>
      <c r="D67" s="4"/>
      <c r="E67" s="4"/>
      <c r="F67" s="4"/>
      <c r="G67" s="4"/>
      <c r="H67" s="14" t="b">
        <f aca="false">FALSE()</f>
        <v>0</v>
      </c>
      <c r="I67" s="14" t="b">
        <f aca="false">FALSE()</f>
        <v>0</v>
      </c>
      <c r="J67" s="4"/>
      <c r="K67" s="4" t="s">
        <v>313</v>
      </c>
      <c r="L67" s="4" t="s">
        <v>314</v>
      </c>
      <c r="M67" s="4" t="s">
        <v>315</v>
      </c>
      <c r="N67" s="6" t="n">
        <v>15429</v>
      </c>
      <c r="O67" s="6" t="n">
        <v>56184</v>
      </c>
      <c r="P67" s="4" t="s">
        <v>46</v>
      </c>
      <c r="Q67" s="6" t="n">
        <v>108000</v>
      </c>
      <c r="R67" s="15" t="n">
        <v>41942</v>
      </c>
      <c r="S67" s="6"/>
      <c r="T67" s="15"/>
      <c r="U67" s="6"/>
      <c r="V67" s="15"/>
      <c r="W67" s="4" t="s">
        <v>47</v>
      </c>
      <c r="X67" s="4" t="s">
        <v>47</v>
      </c>
      <c r="Y67" s="4" t="s">
        <v>316</v>
      </c>
      <c r="Z67" s="4" t="s">
        <v>317</v>
      </c>
      <c r="AA67" s="6" t="n">
        <v>0</v>
      </c>
      <c r="AB67" s="6" t="n">
        <v>4573.56</v>
      </c>
      <c r="AC67" s="6" t="n">
        <v>4892.28</v>
      </c>
      <c r="AD67" s="14" t="b">
        <f aca="false">FALSE()</f>
        <v>0</v>
      </c>
    </row>
    <row r="68" customFormat="false" ht="15" hidden="false" customHeight="false" outlineLevel="0" collapsed="false">
      <c r="A68" s="14" t="b">
        <f aca="false">TRUE()</f>
        <v>1</v>
      </c>
      <c r="B68" s="14" t="b">
        <f aca="false">FALSE()</f>
        <v>0</v>
      </c>
      <c r="C68" s="4" t="n">
        <v>3</v>
      </c>
      <c r="D68" s="4"/>
      <c r="E68" s="4"/>
      <c r="F68" s="4"/>
      <c r="G68" s="4"/>
      <c r="H68" s="14" t="b">
        <f aca="false">FALSE()</f>
        <v>0</v>
      </c>
      <c r="I68" s="14" t="b">
        <f aca="false">FALSE()</f>
        <v>0</v>
      </c>
      <c r="J68" s="4"/>
      <c r="K68" s="4" t="s">
        <v>313</v>
      </c>
      <c r="L68" s="4" t="s">
        <v>318</v>
      </c>
      <c r="M68" s="4" t="s">
        <v>319</v>
      </c>
      <c r="N68" s="6" t="n">
        <v>15429</v>
      </c>
      <c r="O68" s="6" t="n">
        <v>72772</v>
      </c>
      <c r="P68" s="4" t="s">
        <v>46</v>
      </c>
      <c r="Q68" s="6" t="n">
        <v>230000</v>
      </c>
      <c r="R68" s="15" t="n">
        <v>38937</v>
      </c>
      <c r="S68" s="6" t="n">
        <v>108600</v>
      </c>
      <c r="T68" s="15" t="n">
        <v>41976</v>
      </c>
      <c r="U68" s="6"/>
      <c r="V68" s="15"/>
      <c r="W68" s="4" t="s">
        <v>47</v>
      </c>
      <c r="X68" s="4" t="s">
        <v>47</v>
      </c>
      <c r="Y68" s="4" t="s">
        <v>320</v>
      </c>
      <c r="Z68" s="4" t="s">
        <v>317</v>
      </c>
      <c r="AA68" s="6" t="n">
        <v>0</v>
      </c>
      <c r="AB68" s="6" t="n">
        <v>4483.38</v>
      </c>
      <c r="AC68" s="6" t="n">
        <v>4796.01</v>
      </c>
      <c r="AD68" s="14" t="b">
        <f aca="false">FALSE()</f>
        <v>0</v>
      </c>
    </row>
    <row r="69" customFormat="false" ht="15" hidden="false" customHeight="false" outlineLevel="0" collapsed="false">
      <c r="A69" s="14" t="b">
        <f aca="false">TRUE()</f>
        <v>1</v>
      </c>
      <c r="B69" s="14" t="b">
        <f aca="false">FALSE()</f>
        <v>0</v>
      </c>
      <c r="C69" s="4" t="n">
        <v>2</v>
      </c>
      <c r="D69" s="4"/>
      <c r="E69" s="4"/>
      <c r="F69" s="4"/>
      <c r="G69" s="4"/>
      <c r="H69" s="14" t="b">
        <f aca="false">FALSE()</f>
        <v>0</v>
      </c>
      <c r="I69" s="14" t="b">
        <f aca="false">FALSE()</f>
        <v>0</v>
      </c>
      <c r="J69" s="4"/>
      <c r="K69" s="4" t="s">
        <v>321</v>
      </c>
      <c r="L69" s="4" t="s">
        <v>322</v>
      </c>
      <c r="M69" s="4" t="s">
        <v>323</v>
      </c>
      <c r="N69" s="6" t="n">
        <v>15429</v>
      </c>
      <c r="O69" s="6" t="n">
        <v>67163</v>
      </c>
      <c r="P69" s="4" t="s">
        <v>46</v>
      </c>
      <c r="Q69" s="6"/>
      <c r="R69" s="15"/>
      <c r="S69" s="6" t="n">
        <v>102500</v>
      </c>
      <c r="T69" s="15" t="n">
        <v>43675</v>
      </c>
      <c r="U69" s="6"/>
      <c r="V69" s="15"/>
      <c r="W69" s="4" t="s">
        <v>47</v>
      </c>
      <c r="X69" s="4" t="s">
        <v>47</v>
      </c>
      <c r="Y69" s="4" t="s">
        <v>324</v>
      </c>
      <c r="Z69" s="4" t="s">
        <v>317</v>
      </c>
      <c r="AA69" s="6" t="n">
        <v>0</v>
      </c>
      <c r="AB69" s="6" t="n">
        <v>4636.1</v>
      </c>
      <c r="AC69" s="6" t="n">
        <v>2432.36</v>
      </c>
      <c r="AD69" s="14" t="b">
        <f aca="false">TRUE()</f>
        <v>1</v>
      </c>
    </row>
    <row r="70" customFormat="false" ht="15" hidden="false" customHeight="false" outlineLevel="0" collapsed="false">
      <c r="A70" s="14" t="b">
        <f aca="false">TRUE()</f>
        <v>1</v>
      </c>
      <c r="B70" s="14" t="b">
        <f aca="false">FALSE()</f>
        <v>0</v>
      </c>
      <c r="C70" s="4" t="n">
        <v>2</v>
      </c>
      <c r="D70" s="4"/>
      <c r="E70" s="4"/>
      <c r="F70" s="4"/>
      <c r="G70" s="4"/>
      <c r="H70" s="14" t="b">
        <f aca="false">FALSE()</f>
        <v>0</v>
      </c>
      <c r="I70" s="14" t="b">
        <f aca="false">FALSE()</f>
        <v>0</v>
      </c>
      <c r="J70" s="4"/>
      <c r="K70" s="4" t="s">
        <v>325</v>
      </c>
      <c r="L70" s="4" t="s">
        <v>326</v>
      </c>
      <c r="M70" s="4" t="s">
        <v>327</v>
      </c>
      <c r="N70" s="6" t="n">
        <v>15429</v>
      </c>
      <c r="O70" s="6" t="n">
        <v>60995</v>
      </c>
      <c r="P70" s="4" t="s">
        <v>46</v>
      </c>
      <c r="Q70" s="6" t="n">
        <v>195000</v>
      </c>
      <c r="R70" s="15" t="n">
        <v>43909</v>
      </c>
      <c r="S70" s="6" t="n">
        <v>191468</v>
      </c>
      <c r="T70" s="15" t="n">
        <v>43909</v>
      </c>
      <c r="U70" s="6" t="n">
        <v>47421.44</v>
      </c>
      <c r="V70" s="15" t="n">
        <v>44922</v>
      </c>
      <c r="W70" s="4" t="s">
        <v>47</v>
      </c>
      <c r="X70" s="4" t="s">
        <v>58</v>
      </c>
      <c r="Y70" s="4" t="s">
        <v>328</v>
      </c>
      <c r="Z70" s="4" t="s">
        <v>317</v>
      </c>
      <c r="AA70" s="6" t="n">
        <v>0</v>
      </c>
      <c r="AB70" s="6" t="n">
        <v>4369.9</v>
      </c>
      <c r="AC70" s="6" t="n">
        <v>2293.27</v>
      </c>
      <c r="AD70" s="14" t="b">
        <f aca="false">TRUE()</f>
        <v>1</v>
      </c>
    </row>
    <row r="71" customFormat="false" ht="15" hidden="false" customHeight="false" outlineLevel="0" collapsed="false">
      <c r="A71" s="14" t="b">
        <f aca="false">TRUE()</f>
        <v>1</v>
      </c>
      <c r="B71" s="14" t="b">
        <f aca="false">FALSE()</f>
        <v>0</v>
      </c>
      <c r="C71" s="4" t="n">
        <v>2</v>
      </c>
      <c r="D71" s="4"/>
      <c r="E71" s="4"/>
      <c r="F71" s="4"/>
      <c r="G71" s="4" t="n">
        <v>3</v>
      </c>
      <c r="H71" s="14" t="b">
        <f aca="false">FALSE()</f>
        <v>0</v>
      </c>
      <c r="I71" s="14" t="b">
        <f aca="false">FALSE()</f>
        <v>0</v>
      </c>
      <c r="J71" s="4"/>
      <c r="K71" s="4" t="s">
        <v>313</v>
      </c>
      <c r="L71" s="4" t="s">
        <v>329</v>
      </c>
      <c r="M71" s="4" t="s">
        <v>330</v>
      </c>
      <c r="N71" s="6" t="n">
        <v>15429</v>
      </c>
      <c r="O71" s="6" t="n">
        <v>60908</v>
      </c>
      <c r="P71" s="4" t="s">
        <v>46</v>
      </c>
      <c r="Q71" s="6" t="n">
        <v>147500</v>
      </c>
      <c r="R71" s="15" t="n">
        <v>42234</v>
      </c>
      <c r="S71" s="6"/>
      <c r="T71" s="15"/>
      <c r="U71" s="6"/>
      <c r="V71" s="15"/>
      <c r="W71" s="4" t="s">
        <v>47</v>
      </c>
      <c r="X71" s="4" t="s">
        <v>47</v>
      </c>
      <c r="Y71" s="4" t="s">
        <v>331</v>
      </c>
      <c r="Z71" s="4" t="s">
        <v>317</v>
      </c>
      <c r="AA71" s="6" t="n">
        <v>0</v>
      </c>
      <c r="AB71" s="6" t="n">
        <v>4875.26</v>
      </c>
      <c r="AC71" s="6" t="n">
        <v>5214.34</v>
      </c>
      <c r="AD71" s="14" t="b">
        <f aca="false">FALSE()</f>
        <v>0</v>
      </c>
    </row>
    <row r="72" customFormat="false" ht="15" hidden="false" customHeight="false" outlineLevel="0" collapsed="false">
      <c r="A72" s="14" t="b">
        <f aca="false">TRUE()</f>
        <v>1</v>
      </c>
      <c r="B72" s="14" t="b">
        <f aca="false">FALSE()</f>
        <v>0</v>
      </c>
      <c r="C72" s="4" t="n">
        <v>2</v>
      </c>
      <c r="D72" s="4"/>
      <c r="E72" s="4"/>
      <c r="F72" s="4"/>
      <c r="G72" s="4"/>
      <c r="H72" s="14" t="b">
        <f aca="false">FALSE()</f>
        <v>0</v>
      </c>
      <c r="I72" s="14" t="b">
        <f aca="false">FALSE()</f>
        <v>0</v>
      </c>
      <c r="J72" s="4"/>
      <c r="K72" s="4" t="s">
        <v>332</v>
      </c>
      <c r="L72" s="4" t="s">
        <v>333</v>
      </c>
      <c r="M72" s="4" t="s">
        <v>334</v>
      </c>
      <c r="N72" s="6" t="n">
        <v>30651</v>
      </c>
      <c r="O72" s="6" t="n">
        <v>74828</v>
      </c>
      <c r="P72" s="4" t="s">
        <v>46</v>
      </c>
      <c r="Q72" s="6" t="n">
        <v>137500</v>
      </c>
      <c r="R72" s="15" t="n">
        <v>33856</v>
      </c>
      <c r="S72" s="6"/>
      <c r="T72" s="15"/>
      <c r="U72" s="6"/>
      <c r="V72" s="15"/>
      <c r="W72" s="4" t="s">
        <v>47</v>
      </c>
      <c r="X72" s="4" t="s">
        <v>47</v>
      </c>
      <c r="Y72" s="4" t="s">
        <v>335</v>
      </c>
      <c r="Z72" s="4" t="s">
        <v>317</v>
      </c>
      <c r="AA72" s="6" t="n">
        <v>0</v>
      </c>
      <c r="AB72" s="6" t="n">
        <v>6225.5</v>
      </c>
      <c r="AC72" s="6" t="n">
        <v>6655.72</v>
      </c>
      <c r="AD72" s="14" t="b">
        <f aca="false">FALSE()</f>
        <v>0</v>
      </c>
    </row>
    <row r="73" customFormat="false" ht="15" hidden="false" customHeight="false" outlineLevel="0" collapsed="false">
      <c r="A73" s="14" t="b">
        <f aca="false">TRUE()</f>
        <v>1</v>
      </c>
      <c r="B73" s="14" t="b">
        <f aca="false">FALSE()</f>
        <v>0</v>
      </c>
      <c r="C73" s="4" t="n">
        <v>2</v>
      </c>
      <c r="D73" s="4"/>
      <c r="E73" s="4"/>
      <c r="F73" s="4"/>
      <c r="G73" s="4"/>
      <c r="H73" s="14" t="b">
        <f aca="false">FALSE()</f>
        <v>0</v>
      </c>
      <c r="I73" s="14" t="b">
        <f aca="false">FALSE()</f>
        <v>0</v>
      </c>
      <c r="J73" s="4"/>
      <c r="K73" s="4" t="s">
        <v>336</v>
      </c>
      <c r="L73" s="4" t="s">
        <v>337</v>
      </c>
      <c r="M73" s="4" t="s">
        <v>338</v>
      </c>
      <c r="N73" s="6" t="n">
        <v>44024</v>
      </c>
      <c r="O73" s="6" t="n">
        <v>153735</v>
      </c>
      <c r="P73" s="4" t="s">
        <v>46</v>
      </c>
      <c r="Q73" s="6"/>
      <c r="R73" s="15" t="n">
        <v>43836</v>
      </c>
      <c r="S73" s="6"/>
      <c r="T73" s="15"/>
      <c r="U73" s="6"/>
      <c r="V73" s="15"/>
      <c r="W73" s="4" t="s">
        <v>47</v>
      </c>
      <c r="X73" s="4" t="s">
        <v>47</v>
      </c>
      <c r="Y73" s="4" t="s">
        <v>339</v>
      </c>
      <c r="Z73" s="4" t="s">
        <v>317</v>
      </c>
      <c r="AA73" s="6" t="n">
        <v>0</v>
      </c>
      <c r="AB73" s="6" t="n">
        <v>14259.82</v>
      </c>
      <c r="AC73" s="6" t="n">
        <v>7460.76</v>
      </c>
      <c r="AD73" s="14" t="b">
        <f aca="false">TRUE()</f>
        <v>1</v>
      </c>
    </row>
    <row r="74" customFormat="false" ht="15" hidden="false" customHeight="false" outlineLevel="0" collapsed="false">
      <c r="A74" s="14" t="b">
        <f aca="false">TRUE()</f>
        <v>1</v>
      </c>
      <c r="B74" s="14" t="b">
        <f aca="false">FALSE()</f>
        <v>0</v>
      </c>
      <c r="C74" s="4" t="n">
        <v>2</v>
      </c>
      <c r="D74" s="4"/>
      <c r="E74" s="4"/>
      <c r="F74" s="4"/>
      <c r="G74" s="4" t="n">
        <v>3</v>
      </c>
      <c r="H74" s="14" t="b">
        <f aca="false">FALSE()</f>
        <v>0</v>
      </c>
      <c r="I74" s="14" t="b">
        <f aca="false">FALSE()</f>
        <v>0</v>
      </c>
      <c r="J74" s="4"/>
      <c r="K74" s="4" t="s">
        <v>340</v>
      </c>
      <c r="L74" s="4" t="s">
        <v>341</v>
      </c>
      <c r="M74" s="4" t="s">
        <v>342</v>
      </c>
      <c r="N74" s="6" t="n">
        <v>16621</v>
      </c>
      <c r="O74" s="6" t="n">
        <v>66758</v>
      </c>
      <c r="P74" s="4" t="s">
        <v>46</v>
      </c>
      <c r="Q74" s="6"/>
      <c r="R74" s="15" t="n">
        <v>45510</v>
      </c>
      <c r="S74" s="6"/>
      <c r="T74" s="15"/>
      <c r="U74" s="6"/>
      <c r="V74" s="15"/>
      <c r="W74" s="4" t="s">
        <v>47</v>
      </c>
      <c r="X74" s="4" t="s">
        <v>47</v>
      </c>
      <c r="Y74" s="4" t="s">
        <v>343</v>
      </c>
      <c r="Z74" s="4" t="s">
        <v>317</v>
      </c>
      <c r="AA74" s="6" t="n">
        <v>0</v>
      </c>
      <c r="AB74" s="6" t="n">
        <v>4303.18</v>
      </c>
      <c r="AC74" s="6" t="n">
        <v>2258.41</v>
      </c>
      <c r="AD74" s="14" t="b">
        <f aca="false">TRUE()</f>
        <v>1</v>
      </c>
    </row>
    <row r="75" customFormat="false" ht="15" hidden="false" customHeight="false" outlineLevel="0" collapsed="false">
      <c r="A75" s="14" t="b">
        <f aca="false">TRUE()</f>
        <v>1</v>
      </c>
      <c r="B75" s="14" t="b">
        <f aca="false">FALSE()</f>
        <v>0</v>
      </c>
      <c r="C75" s="4" t="n">
        <v>2</v>
      </c>
      <c r="D75" s="4"/>
      <c r="E75" s="4"/>
      <c r="F75" s="4"/>
      <c r="G75" s="4" t="n">
        <v>3</v>
      </c>
      <c r="H75" s="14" t="b">
        <f aca="false">FALSE()</f>
        <v>0</v>
      </c>
      <c r="I75" s="14" t="b">
        <f aca="false">FALSE()</f>
        <v>0</v>
      </c>
      <c r="J75" s="4"/>
      <c r="K75" s="4" t="s">
        <v>344</v>
      </c>
      <c r="L75" s="4" t="s">
        <v>345</v>
      </c>
      <c r="M75" s="4" t="s">
        <v>346</v>
      </c>
      <c r="N75" s="6" t="n">
        <v>16621</v>
      </c>
      <c r="O75" s="6" t="n">
        <v>40798</v>
      </c>
      <c r="P75" s="4" t="s">
        <v>46</v>
      </c>
      <c r="Q75" s="6"/>
      <c r="R75" s="15" t="n">
        <v>43549</v>
      </c>
      <c r="S75" s="6"/>
      <c r="T75" s="15"/>
      <c r="U75" s="6"/>
      <c r="V75" s="15"/>
      <c r="W75" s="4" t="s">
        <v>47</v>
      </c>
      <c r="X75" s="4" t="s">
        <v>47</v>
      </c>
      <c r="Y75" s="4" t="s">
        <v>347</v>
      </c>
      <c r="Z75" s="4" t="s">
        <v>317</v>
      </c>
      <c r="AA75" s="6" t="n">
        <v>0</v>
      </c>
      <c r="AB75" s="6" t="n">
        <v>3667.08</v>
      </c>
      <c r="AC75" s="6" t="n">
        <v>1926.05</v>
      </c>
      <c r="AD75" s="14" t="b">
        <f aca="false">TRUE()</f>
        <v>1</v>
      </c>
    </row>
    <row r="76" customFormat="false" ht="15" hidden="false" customHeight="false" outlineLevel="0" collapsed="false">
      <c r="A76" s="14" t="b">
        <f aca="false">TRUE()</f>
        <v>1</v>
      </c>
      <c r="B76" s="14" t="b">
        <f aca="false">FALSE()</f>
        <v>0</v>
      </c>
      <c r="C76" s="4" t="n">
        <v>3</v>
      </c>
      <c r="D76" s="4"/>
      <c r="E76" s="4"/>
      <c r="F76" s="4"/>
      <c r="G76" s="4"/>
      <c r="H76" s="14" t="b">
        <f aca="false">FALSE()</f>
        <v>0</v>
      </c>
      <c r="I76" s="14" t="b">
        <f aca="false">FALSE()</f>
        <v>0</v>
      </c>
      <c r="J76" s="4"/>
      <c r="K76" s="4" t="s">
        <v>348</v>
      </c>
      <c r="L76" s="4" t="s">
        <v>349</v>
      </c>
      <c r="M76" s="4" t="s">
        <v>350</v>
      </c>
      <c r="N76" s="6" t="n">
        <v>38808</v>
      </c>
      <c r="O76" s="6" t="n">
        <v>161324</v>
      </c>
      <c r="P76" s="4" t="s">
        <v>46</v>
      </c>
      <c r="Q76" s="6"/>
      <c r="R76" s="15" t="n">
        <v>45218</v>
      </c>
      <c r="S76" s="6"/>
      <c r="T76" s="15"/>
      <c r="U76" s="6"/>
      <c r="V76" s="15"/>
      <c r="W76" s="4" t="s">
        <v>47</v>
      </c>
      <c r="X76" s="4" t="s">
        <v>58</v>
      </c>
      <c r="Y76" s="4" t="s">
        <v>351</v>
      </c>
      <c r="Z76" s="4" t="s">
        <v>317</v>
      </c>
      <c r="AA76" s="6" t="n">
        <v>0</v>
      </c>
      <c r="AB76" s="6" t="n">
        <v>14438.14</v>
      </c>
      <c r="AC76" s="6" t="n">
        <v>15422.72</v>
      </c>
      <c r="AD76" s="14" t="b">
        <f aca="false">FALSE()</f>
        <v>0</v>
      </c>
    </row>
    <row r="77" customFormat="false" ht="15" hidden="false" customHeight="false" outlineLevel="0" collapsed="false">
      <c r="A77" s="14" t="b">
        <f aca="false">TRUE()</f>
        <v>1</v>
      </c>
      <c r="B77" s="14" t="b">
        <f aca="false">FALSE()</f>
        <v>0</v>
      </c>
      <c r="C77" s="4" t="n">
        <v>3</v>
      </c>
      <c r="D77" s="4"/>
      <c r="E77" s="4"/>
      <c r="F77" s="4"/>
      <c r="G77" s="4"/>
      <c r="H77" s="14" t="b">
        <f aca="false">FALSE()</f>
        <v>0</v>
      </c>
      <c r="I77" s="14" t="b">
        <f aca="false">FALSE()</f>
        <v>0</v>
      </c>
      <c r="J77" s="4"/>
      <c r="K77" s="4" t="s">
        <v>352</v>
      </c>
      <c r="L77" s="4" t="s">
        <v>353</v>
      </c>
      <c r="M77" s="4" t="s">
        <v>354</v>
      </c>
      <c r="N77" s="6" t="n">
        <v>39125</v>
      </c>
      <c r="O77" s="6" t="n">
        <v>137081</v>
      </c>
      <c r="P77" s="4" t="s">
        <v>46</v>
      </c>
      <c r="Q77" s="6" t="n">
        <v>502000</v>
      </c>
      <c r="R77" s="15" t="n">
        <v>44694</v>
      </c>
      <c r="S77" s="6"/>
      <c r="T77" s="15"/>
      <c r="U77" s="6"/>
      <c r="V77" s="15"/>
      <c r="W77" s="4" t="s">
        <v>47</v>
      </c>
      <c r="X77" s="4" t="s">
        <v>47</v>
      </c>
      <c r="Y77" s="4" t="s">
        <v>355</v>
      </c>
      <c r="Z77" s="4" t="s">
        <v>317</v>
      </c>
      <c r="AA77" s="6" t="n">
        <v>0</v>
      </c>
      <c r="AB77" s="6" t="n">
        <v>12640.18</v>
      </c>
      <c r="AC77" s="6" t="n">
        <v>13503.39</v>
      </c>
      <c r="AD77" s="14" t="b">
        <f aca="false">FALSE()</f>
        <v>0</v>
      </c>
    </row>
    <row r="78" customFormat="false" ht="15" hidden="false" customHeight="false" outlineLevel="0" collapsed="false">
      <c r="A78" s="14" t="b">
        <f aca="false">TRUE()</f>
        <v>1</v>
      </c>
      <c r="B78" s="14" t="b">
        <f aca="false">FALSE()</f>
        <v>0</v>
      </c>
      <c r="C78" s="4" t="n">
        <v>3</v>
      </c>
      <c r="D78" s="4"/>
      <c r="E78" s="4"/>
      <c r="F78" s="4"/>
      <c r="G78" s="4"/>
      <c r="H78" s="14" t="b">
        <f aca="false">TRUE()</f>
        <v>1</v>
      </c>
      <c r="I78" s="14" t="b">
        <f aca="false">FALSE()</f>
        <v>0</v>
      </c>
      <c r="J78" s="4"/>
      <c r="K78" s="4" t="s">
        <v>356</v>
      </c>
      <c r="L78" s="4" t="s">
        <v>357</v>
      </c>
      <c r="M78" s="4" t="s">
        <v>358</v>
      </c>
      <c r="N78" s="6" t="n">
        <v>16206</v>
      </c>
      <c r="O78" s="6" t="n">
        <v>45993</v>
      </c>
      <c r="P78" s="4" t="s">
        <v>46</v>
      </c>
      <c r="Q78" s="6" t="n">
        <v>230000</v>
      </c>
      <c r="R78" s="15" t="n">
        <v>44798</v>
      </c>
      <c r="S78" s="6" t="n">
        <v>183920</v>
      </c>
      <c r="T78" s="15" t="n">
        <v>44798</v>
      </c>
      <c r="U78" s="6"/>
      <c r="V78" s="15"/>
      <c r="W78" s="4" t="s">
        <v>47</v>
      </c>
      <c r="X78" s="4" t="s">
        <v>47</v>
      </c>
      <c r="Y78" s="4" t="s">
        <v>359</v>
      </c>
      <c r="Z78" s="4" t="s">
        <v>317</v>
      </c>
      <c r="AA78" s="6" t="n">
        <v>0</v>
      </c>
      <c r="AB78" s="6" t="n">
        <v>4072.88</v>
      </c>
      <c r="AC78" s="6" t="n">
        <v>4357.8</v>
      </c>
      <c r="AD78" s="14" t="b">
        <f aca="false">FALSE()</f>
        <v>0</v>
      </c>
    </row>
    <row r="79" customFormat="false" ht="15" hidden="false" customHeight="false" outlineLevel="0" collapsed="false">
      <c r="A79" s="14" t="b">
        <f aca="false">TRUE()</f>
        <v>1</v>
      </c>
      <c r="B79" s="14" t="b">
        <f aca="false">FALSE()</f>
        <v>0</v>
      </c>
      <c r="C79" s="4" t="n">
        <v>2</v>
      </c>
      <c r="D79" s="4"/>
      <c r="E79" s="4"/>
      <c r="F79" s="4"/>
      <c r="G79" s="4"/>
      <c r="H79" s="14" t="b">
        <f aca="false">FALSE()</f>
        <v>0</v>
      </c>
      <c r="I79" s="14" t="b">
        <f aca="false">FALSE()</f>
        <v>0</v>
      </c>
      <c r="J79" s="4"/>
      <c r="K79" s="4" t="s">
        <v>360</v>
      </c>
      <c r="L79" s="4" t="s">
        <v>361</v>
      </c>
      <c r="M79" s="4" t="s">
        <v>362</v>
      </c>
      <c r="N79" s="6" t="n">
        <v>17113</v>
      </c>
      <c r="O79" s="6" t="n">
        <v>76687</v>
      </c>
      <c r="P79" s="4" t="s">
        <v>46</v>
      </c>
      <c r="Q79" s="6" t="n">
        <v>250000</v>
      </c>
      <c r="R79" s="15" t="n">
        <v>44894</v>
      </c>
      <c r="S79" s="6"/>
      <c r="T79" s="15"/>
      <c r="U79" s="6"/>
      <c r="V79" s="15"/>
      <c r="W79" s="4" t="s">
        <v>47</v>
      </c>
      <c r="X79" s="4" t="s">
        <v>47</v>
      </c>
      <c r="Y79" s="4" t="s">
        <v>363</v>
      </c>
      <c r="Z79" s="4" t="s">
        <v>317</v>
      </c>
      <c r="AA79" s="6" t="n">
        <v>0</v>
      </c>
      <c r="AB79" s="6" t="n">
        <v>6447.62</v>
      </c>
      <c r="AC79" s="6" t="n">
        <v>6892.83</v>
      </c>
      <c r="AD79" s="14" t="b">
        <f aca="false">FALSE()</f>
        <v>0</v>
      </c>
    </row>
    <row r="80" customFormat="false" ht="15" hidden="false" customHeight="false" outlineLevel="0" collapsed="false">
      <c r="A80" s="14" t="b">
        <f aca="false">TRUE()</f>
        <v>1</v>
      </c>
      <c r="B80" s="14" t="b">
        <f aca="false">FALSE()</f>
        <v>0</v>
      </c>
      <c r="C80" s="4" t="n">
        <v>2</v>
      </c>
      <c r="D80" s="4"/>
      <c r="E80" s="4"/>
      <c r="F80" s="4"/>
      <c r="G80" s="4"/>
      <c r="H80" s="14" t="b">
        <f aca="false">FALSE()</f>
        <v>0</v>
      </c>
      <c r="I80" s="14" t="b">
        <f aca="false">FALSE()</f>
        <v>0</v>
      </c>
      <c r="J80" s="4"/>
      <c r="K80" s="4" t="s">
        <v>364</v>
      </c>
      <c r="L80" s="4" t="s">
        <v>365</v>
      </c>
      <c r="M80" s="4" t="s">
        <v>366</v>
      </c>
      <c r="N80" s="6" t="n">
        <v>17113</v>
      </c>
      <c r="O80" s="6" t="n">
        <v>74774</v>
      </c>
      <c r="P80" s="4" t="s">
        <v>46</v>
      </c>
      <c r="Q80" s="6"/>
      <c r="R80" s="15" t="n">
        <v>42391</v>
      </c>
      <c r="S80" s="6" t="n">
        <v>50000</v>
      </c>
      <c r="T80" s="15" t="n">
        <v>43357</v>
      </c>
      <c r="U80" s="6"/>
      <c r="V80" s="15"/>
      <c r="W80" s="4" t="s">
        <v>47</v>
      </c>
      <c r="X80" s="4" t="s">
        <v>47</v>
      </c>
      <c r="Y80" s="4" t="s">
        <v>367</v>
      </c>
      <c r="Z80" s="4" t="s">
        <v>317</v>
      </c>
      <c r="AA80" s="6" t="n">
        <v>0</v>
      </c>
      <c r="AB80" s="6" t="n">
        <v>4349.5</v>
      </c>
      <c r="AC80" s="6" t="n">
        <v>2282.61</v>
      </c>
      <c r="AD80" s="14" t="b">
        <f aca="false">TRUE()</f>
        <v>1</v>
      </c>
    </row>
    <row r="81" customFormat="false" ht="15" hidden="false" customHeight="false" outlineLevel="0" collapsed="false">
      <c r="A81" s="14" t="b">
        <f aca="false">TRUE()</f>
        <v>1</v>
      </c>
      <c r="B81" s="14" t="b">
        <f aca="false">FALSE()</f>
        <v>0</v>
      </c>
      <c r="C81" s="4" t="n">
        <v>3</v>
      </c>
      <c r="D81" s="4"/>
      <c r="E81" s="4"/>
      <c r="F81" s="4"/>
      <c r="G81" s="4"/>
      <c r="H81" s="14" t="b">
        <f aca="false">FALSE()</f>
        <v>0</v>
      </c>
      <c r="I81" s="14" t="b">
        <f aca="false">FALSE()</f>
        <v>0</v>
      </c>
      <c r="J81" s="4"/>
      <c r="K81" s="4" t="s">
        <v>368</v>
      </c>
      <c r="L81" s="4" t="s">
        <v>369</v>
      </c>
      <c r="M81" s="4" t="s">
        <v>370</v>
      </c>
      <c r="N81" s="6" t="n">
        <v>44002</v>
      </c>
      <c r="O81" s="6" t="n">
        <v>81094</v>
      </c>
      <c r="P81" s="4" t="s">
        <v>46</v>
      </c>
      <c r="Q81" s="6" t="n">
        <v>200000</v>
      </c>
      <c r="R81" s="15" t="n">
        <v>44431</v>
      </c>
      <c r="S81" s="6" t="n">
        <v>560000</v>
      </c>
      <c r="T81" s="15" t="n">
        <v>44861</v>
      </c>
      <c r="U81" s="6" t="n">
        <v>70000</v>
      </c>
      <c r="V81" s="15" t="n">
        <v>44862</v>
      </c>
      <c r="W81" s="4" t="s">
        <v>47</v>
      </c>
      <c r="X81" s="4" t="s">
        <v>47</v>
      </c>
      <c r="Y81" s="4" t="s">
        <v>371</v>
      </c>
      <c r="Z81" s="4" t="s">
        <v>317</v>
      </c>
      <c r="AA81" s="6" t="n">
        <v>0</v>
      </c>
      <c r="AB81" s="6" t="n">
        <v>6920.76</v>
      </c>
      <c r="AC81" s="6" t="n">
        <v>7397.91</v>
      </c>
      <c r="AD81" s="14" t="b">
        <f aca="false">FALSE()</f>
        <v>0</v>
      </c>
    </row>
    <row r="82" customFormat="false" ht="15" hidden="false" customHeight="false" outlineLevel="0" collapsed="false">
      <c r="A82" s="14" t="b">
        <f aca="false">TRUE()</f>
        <v>1</v>
      </c>
      <c r="B82" s="14" t="b">
        <f aca="false">FALSE()</f>
        <v>0</v>
      </c>
      <c r="C82" s="4" t="n">
        <v>3</v>
      </c>
      <c r="D82" s="4"/>
      <c r="E82" s="4"/>
      <c r="F82" s="4"/>
      <c r="G82" s="4"/>
      <c r="H82" s="14" t="b">
        <f aca="false">FALSE()</f>
        <v>0</v>
      </c>
      <c r="I82" s="14" t="b">
        <f aca="false">FALSE()</f>
        <v>0</v>
      </c>
      <c r="J82" s="4"/>
      <c r="K82" s="4" t="s">
        <v>372</v>
      </c>
      <c r="L82" s="4" t="s">
        <v>373</v>
      </c>
      <c r="M82" s="4" t="s">
        <v>374</v>
      </c>
      <c r="N82" s="6" t="n">
        <v>38732</v>
      </c>
      <c r="O82" s="6" t="n">
        <v>90378</v>
      </c>
      <c r="P82" s="4" t="s">
        <v>46</v>
      </c>
      <c r="Q82" s="6"/>
      <c r="R82" s="15"/>
      <c r="S82" s="6" t="n">
        <v>412800</v>
      </c>
      <c r="T82" s="15" t="n">
        <v>38631</v>
      </c>
      <c r="U82" s="6"/>
      <c r="V82" s="15"/>
      <c r="W82" s="4" t="s">
        <v>47</v>
      </c>
      <c r="X82" s="4" t="s">
        <v>58</v>
      </c>
      <c r="Y82" s="4" t="s">
        <v>375</v>
      </c>
      <c r="Z82" s="4" t="s">
        <v>317</v>
      </c>
      <c r="AA82" s="6" t="n">
        <v>0</v>
      </c>
      <c r="AB82" s="6" t="n">
        <v>9115.1</v>
      </c>
      <c r="AC82" s="6" t="n">
        <v>9740.37</v>
      </c>
      <c r="AD82" s="14" t="b">
        <f aca="false">FALSE()</f>
        <v>0</v>
      </c>
    </row>
    <row r="83" customFormat="false" ht="15" hidden="false" customHeight="false" outlineLevel="0" collapsed="false">
      <c r="A83" s="14" t="b">
        <f aca="false">TRUE()</f>
        <v>1</v>
      </c>
      <c r="B83" s="14" t="b">
        <f aca="false">FALSE()</f>
        <v>0</v>
      </c>
      <c r="C83" s="4" t="n">
        <v>2</v>
      </c>
      <c r="D83" s="4"/>
      <c r="E83" s="4"/>
      <c r="F83" s="4"/>
      <c r="G83" s="4"/>
      <c r="H83" s="14" t="b">
        <f aca="false">TRUE()</f>
        <v>1</v>
      </c>
      <c r="I83" s="14" t="b">
        <f aca="false">FALSE()</f>
        <v>0</v>
      </c>
      <c r="J83" s="4"/>
      <c r="K83" s="4" t="s">
        <v>376</v>
      </c>
      <c r="L83" s="4" t="s">
        <v>377</v>
      </c>
      <c r="M83" s="4" t="s">
        <v>378</v>
      </c>
      <c r="N83" s="6" t="n">
        <v>38732</v>
      </c>
      <c r="O83" s="6" t="n">
        <v>88333</v>
      </c>
      <c r="P83" s="4" t="s">
        <v>46</v>
      </c>
      <c r="Q83" s="6" t="n">
        <v>295000</v>
      </c>
      <c r="R83" s="15" t="n">
        <v>37505</v>
      </c>
      <c r="S83" s="6"/>
      <c r="T83" s="15"/>
      <c r="U83" s="6"/>
      <c r="V83" s="15"/>
      <c r="W83" s="4" t="s">
        <v>47</v>
      </c>
      <c r="X83" s="4" t="s">
        <v>47</v>
      </c>
      <c r="Y83" s="4" t="s">
        <v>379</v>
      </c>
      <c r="Z83" s="4" t="s">
        <v>317</v>
      </c>
      <c r="AA83" s="6" t="n">
        <v>0</v>
      </c>
      <c r="AB83" s="6" t="n">
        <v>8961.2</v>
      </c>
      <c r="AC83" s="6" t="n">
        <v>9576.08</v>
      </c>
      <c r="AD83" s="14" t="b">
        <f aca="false">FALSE()</f>
        <v>0</v>
      </c>
    </row>
    <row r="84" customFormat="false" ht="15" hidden="false" customHeight="false" outlineLevel="0" collapsed="false">
      <c r="A84" s="14" t="b">
        <f aca="false">TRUE()</f>
        <v>1</v>
      </c>
      <c r="B84" s="14" t="b">
        <f aca="false">FALSE()</f>
        <v>0</v>
      </c>
      <c r="C84" s="4" t="n">
        <v>2</v>
      </c>
      <c r="D84" s="4"/>
      <c r="E84" s="4"/>
      <c r="F84" s="4"/>
      <c r="G84" s="4"/>
      <c r="H84" s="14" t="b">
        <f aca="false">FALSE()</f>
        <v>0</v>
      </c>
      <c r="I84" s="14" t="b">
        <f aca="false">FALSE()</f>
        <v>0</v>
      </c>
      <c r="J84" s="4"/>
      <c r="K84" s="4" t="s">
        <v>380</v>
      </c>
      <c r="L84" s="4" t="s">
        <v>381</v>
      </c>
      <c r="M84" s="4" t="s">
        <v>382</v>
      </c>
      <c r="N84" s="6" t="n">
        <v>40645</v>
      </c>
      <c r="O84" s="6" t="n">
        <v>107185</v>
      </c>
      <c r="P84" s="4" t="s">
        <v>46</v>
      </c>
      <c r="Q84" s="6" t="n">
        <v>250000</v>
      </c>
      <c r="R84" s="15" t="n">
        <v>37084</v>
      </c>
      <c r="S84" s="6"/>
      <c r="T84" s="15"/>
      <c r="U84" s="6"/>
      <c r="V84" s="15"/>
      <c r="W84" s="4" t="s">
        <v>47</v>
      </c>
      <c r="X84" s="4" t="s">
        <v>58</v>
      </c>
      <c r="Y84" s="4" t="s">
        <v>383</v>
      </c>
      <c r="Z84" s="4" t="s">
        <v>317</v>
      </c>
      <c r="AA84" s="6" t="n">
        <v>0</v>
      </c>
      <c r="AB84" s="6" t="n">
        <v>6960.12</v>
      </c>
      <c r="AC84" s="6" t="n">
        <v>3646.66</v>
      </c>
      <c r="AD84" s="14" t="b">
        <f aca="false">TRUE()</f>
        <v>1</v>
      </c>
    </row>
    <row r="85" customFormat="false" ht="15" hidden="false" customHeight="false" outlineLevel="0" collapsed="false">
      <c r="A85" s="14" t="b">
        <f aca="false">TRUE()</f>
        <v>1</v>
      </c>
      <c r="B85" s="14" t="b">
        <f aca="false">FALSE()</f>
        <v>0</v>
      </c>
      <c r="C85" s="4" t="n">
        <v>2</v>
      </c>
      <c r="D85" s="4"/>
      <c r="E85" s="4"/>
      <c r="F85" s="4"/>
      <c r="G85" s="4"/>
      <c r="H85" s="14" t="b">
        <f aca="false">FALSE()</f>
        <v>0</v>
      </c>
      <c r="I85" s="14" t="b">
        <f aca="false">FALSE()</f>
        <v>0</v>
      </c>
      <c r="J85" s="4"/>
      <c r="K85" s="4" t="s">
        <v>384</v>
      </c>
      <c r="L85" s="4" t="s">
        <v>385</v>
      </c>
      <c r="M85" s="4" t="s">
        <v>386</v>
      </c>
      <c r="N85" s="6" t="n">
        <v>12455</v>
      </c>
      <c r="O85" s="6" t="n">
        <v>56775</v>
      </c>
      <c r="P85" s="4" t="s">
        <v>46</v>
      </c>
      <c r="Q85" s="6" t="n">
        <v>265000</v>
      </c>
      <c r="R85" s="15" t="n">
        <v>45468</v>
      </c>
      <c r="S85" s="6"/>
      <c r="T85" s="15"/>
      <c r="U85" s="6"/>
      <c r="V85" s="15"/>
      <c r="W85" s="4" t="s">
        <v>47</v>
      </c>
      <c r="X85" s="4" t="s">
        <v>47</v>
      </c>
      <c r="Y85" s="4" t="s">
        <v>387</v>
      </c>
      <c r="Z85" s="4" t="s">
        <v>317</v>
      </c>
      <c r="AA85" s="6" t="n">
        <v>0</v>
      </c>
      <c r="AB85" s="6" t="n">
        <v>1879.32</v>
      </c>
      <c r="AC85" s="6" t="n">
        <v>991.94</v>
      </c>
      <c r="AD85" s="14" t="b">
        <f aca="false">TRUE()</f>
        <v>1</v>
      </c>
    </row>
    <row r="86" customFormat="false" ht="15" hidden="false" customHeight="false" outlineLevel="0" collapsed="false">
      <c r="A86" s="14" t="b">
        <f aca="false">TRUE()</f>
        <v>1</v>
      </c>
      <c r="B86" s="14" t="b">
        <f aca="false">FALSE()</f>
        <v>0</v>
      </c>
      <c r="C86" s="4" t="n">
        <v>2</v>
      </c>
      <c r="D86" s="4"/>
      <c r="E86" s="4"/>
      <c r="F86" s="4"/>
      <c r="G86" s="4"/>
      <c r="H86" s="14" t="b">
        <f aca="false">FALSE()</f>
        <v>0</v>
      </c>
      <c r="I86" s="14" t="b">
        <f aca="false">FALSE()</f>
        <v>0</v>
      </c>
      <c r="J86" s="4"/>
      <c r="K86" s="4" t="s">
        <v>388</v>
      </c>
      <c r="L86" s="4" t="s">
        <v>389</v>
      </c>
      <c r="M86" s="4" t="s">
        <v>390</v>
      </c>
      <c r="N86" s="6" t="n">
        <v>21640</v>
      </c>
      <c r="O86" s="6" t="n">
        <v>69240</v>
      </c>
      <c r="P86" s="4" t="s">
        <v>46</v>
      </c>
      <c r="Q86" s="6" t="n">
        <v>335000</v>
      </c>
      <c r="R86" s="15" t="n">
        <v>45531</v>
      </c>
      <c r="S86" s="6" t="n">
        <v>268000</v>
      </c>
      <c r="T86" s="15" t="n">
        <v>45531</v>
      </c>
      <c r="U86" s="6"/>
      <c r="V86" s="15"/>
      <c r="W86" s="4" t="s">
        <v>47</v>
      </c>
      <c r="X86" s="4" t="s">
        <v>47</v>
      </c>
      <c r="Y86" s="4" t="s">
        <v>391</v>
      </c>
      <c r="Z86" s="4" t="s">
        <v>317</v>
      </c>
      <c r="AA86" s="6" t="n">
        <v>0</v>
      </c>
      <c r="AB86" s="6" t="n">
        <v>6237.8</v>
      </c>
      <c r="AC86" s="6" t="n">
        <v>3269.25</v>
      </c>
      <c r="AD86" s="14" t="b">
        <f aca="false">TRUE()</f>
        <v>1</v>
      </c>
    </row>
    <row r="87" customFormat="false" ht="15" hidden="false" customHeight="false" outlineLevel="0" collapsed="false">
      <c r="A87" s="14" t="b">
        <f aca="false">TRUE()</f>
        <v>1</v>
      </c>
      <c r="B87" s="14" t="b">
        <f aca="false">FALSE()</f>
        <v>0</v>
      </c>
      <c r="C87" s="4" t="n">
        <v>3</v>
      </c>
      <c r="D87" s="4"/>
      <c r="E87" s="4"/>
      <c r="F87" s="4"/>
      <c r="G87" s="4" t="n">
        <v>2</v>
      </c>
      <c r="H87" s="14" t="b">
        <f aca="false">TRUE()</f>
        <v>1</v>
      </c>
      <c r="I87" s="14" t="b">
        <f aca="false">FALSE()</f>
        <v>0</v>
      </c>
      <c r="J87" s="4"/>
      <c r="K87" s="4" t="s">
        <v>392</v>
      </c>
      <c r="L87" s="4" t="s">
        <v>393</v>
      </c>
      <c r="M87" s="4" t="s">
        <v>394</v>
      </c>
      <c r="N87" s="6" t="n">
        <v>21640</v>
      </c>
      <c r="O87" s="6" t="n">
        <v>72882</v>
      </c>
      <c r="P87" s="4" t="s">
        <v>46</v>
      </c>
      <c r="Q87" s="6" t="n">
        <v>173500</v>
      </c>
      <c r="R87" s="15" t="n">
        <v>36074</v>
      </c>
      <c r="S87" s="6" t="n">
        <v>200000</v>
      </c>
      <c r="T87" s="15" t="n">
        <v>38090</v>
      </c>
      <c r="U87" s="6"/>
      <c r="V87" s="15"/>
      <c r="W87" s="4" t="s">
        <v>58</v>
      </c>
      <c r="X87" s="4" t="s">
        <v>58</v>
      </c>
      <c r="Y87" s="4" t="s">
        <v>395</v>
      </c>
      <c r="Z87" s="4" t="s">
        <v>317</v>
      </c>
      <c r="AA87" s="6" t="n">
        <v>0</v>
      </c>
      <c r="AB87" s="6" t="n">
        <v>5909.82</v>
      </c>
      <c r="AC87" s="6" t="n">
        <v>6318.73</v>
      </c>
      <c r="AD87" s="14" t="b">
        <f aca="false">FALSE()</f>
        <v>0</v>
      </c>
    </row>
    <row r="88" customFormat="false" ht="15" hidden="false" customHeight="false" outlineLevel="0" collapsed="false">
      <c r="A88" s="14" t="b">
        <f aca="false">TRUE()</f>
        <v>1</v>
      </c>
      <c r="B88" s="14" t="b">
        <f aca="false">FALSE()</f>
        <v>0</v>
      </c>
      <c r="C88" s="4" t="n">
        <v>3</v>
      </c>
      <c r="D88" s="4"/>
      <c r="E88" s="4"/>
      <c r="F88" s="4"/>
      <c r="G88" s="4"/>
      <c r="H88" s="14" t="b">
        <f aca="false">TRUE()</f>
        <v>1</v>
      </c>
      <c r="I88" s="14" t="b">
        <f aca="false">FALSE()</f>
        <v>0</v>
      </c>
      <c r="J88" s="4"/>
      <c r="K88" s="4" t="s">
        <v>396</v>
      </c>
      <c r="L88" s="4" t="s">
        <v>397</v>
      </c>
      <c r="M88" s="4" t="s">
        <v>398</v>
      </c>
      <c r="N88" s="6" t="n">
        <v>11044</v>
      </c>
      <c r="O88" s="6" t="n">
        <v>45260</v>
      </c>
      <c r="P88" s="4" t="s">
        <v>46</v>
      </c>
      <c r="Q88" s="6" t="n">
        <v>82000</v>
      </c>
      <c r="R88" s="15" t="n">
        <v>36040</v>
      </c>
      <c r="S88" s="6" t="n">
        <v>40000</v>
      </c>
      <c r="T88" s="15" t="n">
        <v>38072</v>
      </c>
      <c r="U88" s="6"/>
      <c r="V88" s="15"/>
      <c r="W88" s="4" t="s">
        <v>47</v>
      </c>
      <c r="X88" s="4" t="s">
        <v>58</v>
      </c>
      <c r="Y88" s="4" t="s">
        <v>399</v>
      </c>
      <c r="Z88" s="4" t="s">
        <v>49</v>
      </c>
      <c r="AA88" s="6" t="n">
        <v>0</v>
      </c>
      <c r="AB88" s="6" t="n">
        <v>4025.32</v>
      </c>
      <c r="AC88" s="6" t="n">
        <v>4307.03</v>
      </c>
      <c r="AD88" s="14" t="b">
        <f aca="false">FALSE()</f>
        <v>0</v>
      </c>
    </row>
    <row r="89" customFormat="false" ht="15" hidden="false" customHeight="false" outlineLevel="0" collapsed="false">
      <c r="A89" s="14" t="b">
        <f aca="false">TRUE()</f>
        <v>1</v>
      </c>
      <c r="B89" s="14" t="b">
        <f aca="false">FALSE()</f>
        <v>0</v>
      </c>
      <c r="C89" s="4" t="n">
        <v>3</v>
      </c>
      <c r="D89" s="4"/>
      <c r="E89" s="4"/>
      <c r="F89" s="4"/>
      <c r="G89" s="4" t="n">
        <v>2</v>
      </c>
      <c r="H89" s="14" t="b">
        <f aca="false">TRUE()</f>
        <v>1</v>
      </c>
      <c r="I89" s="14" t="b">
        <f aca="false">FALSE()</f>
        <v>0</v>
      </c>
      <c r="J89" s="4"/>
      <c r="K89" s="4" t="s">
        <v>400</v>
      </c>
      <c r="L89" s="4" t="s">
        <v>401</v>
      </c>
      <c r="M89" s="4" t="s">
        <v>402</v>
      </c>
      <c r="N89" s="6" t="n">
        <v>33606</v>
      </c>
      <c r="O89" s="6" t="n">
        <v>80141</v>
      </c>
      <c r="P89" s="4" t="s">
        <v>46</v>
      </c>
      <c r="Q89" s="6" t="n">
        <v>147500</v>
      </c>
      <c r="R89" s="15" t="n">
        <v>35244</v>
      </c>
      <c r="S89" s="6" t="n">
        <v>7765</v>
      </c>
      <c r="T89" s="15" t="n">
        <v>35857</v>
      </c>
      <c r="U89" s="6"/>
      <c r="V89" s="15"/>
      <c r="W89" s="4" t="s">
        <v>47</v>
      </c>
      <c r="X89" s="4" t="s">
        <v>47</v>
      </c>
      <c r="Y89" s="4" t="s">
        <v>403</v>
      </c>
      <c r="Z89" s="4" t="s">
        <v>165</v>
      </c>
      <c r="AA89" s="6" t="n">
        <v>0</v>
      </c>
      <c r="AB89" s="6" t="n">
        <v>6889.7</v>
      </c>
      <c r="AC89" s="6" t="n">
        <v>7364.76</v>
      </c>
      <c r="AD89" s="14" t="b">
        <f aca="false">FALSE()</f>
        <v>0</v>
      </c>
    </row>
    <row r="90" customFormat="false" ht="15" hidden="false" customHeight="false" outlineLevel="0" collapsed="false">
      <c r="A90" s="14" t="b">
        <f aca="false">TRUE()</f>
        <v>1</v>
      </c>
      <c r="B90" s="14" t="b">
        <f aca="false">FALSE()</f>
        <v>0</v>
      </c>
      <c r="C90" s="4" t="n">
        <v>3</v>
      </c>
      <c r="D90" s="4"/>
      <c r="E90" s="4"/>
      <c r="F90" s="4"/>
      <c r="G90" s="4"/>
      <c r="H90" s="14" t="b">
        <f aca="false">TRUE()</f>
        <v>1</v>
      </c>
      <c r="I90" s="14" t="b">
        <f aca="false">FALSE()</f>
        <v>0</v>
      </c>
      <c r="J90" s="4"/>
      <c r="K90" s="4" t="s">
        <v>404</v>
      </c>
      <c r="L90" s="4" t="s">
        <v>405</v>
      </c>
      <c r="M90" s="4" t="s">
        <v>406</v>
      </c>
      <c r="N90" s="6" t="n">
        <v>33606</v>
      </c>
      <c r="O90" s="6" t="n">
        <v>68744</v>
      </c>
      <c r="P90" s="4" t="s">
        <v>46</v>
      </c>
      <c r="Q90" s="6" t="n">
        <v>210000</v>
      </c>
      <c r="R90" s="15" t="n">
        <v>40648</v>
      </c>
      <c r="S90" s="6" t="n">
        <v>157475</v>
      </c>
      <c r="T90" s="15" t="n">
        <v>42727</v>
      </c>
      <c r="U90" s="6"/>
      <c r="V90" s="15"/>
      <c r="W90" s="4" t="s">
        <v>58</v>
      </c>
      <c r="X90" s="4" t="s">
        <v>58</v>
      </c>
      <c r="Y90" s="4" t="s">
        <v>407</v>
      </c>
      <c r="Z90" s="4" t="s">
        <v>165</v>
      </c>
      <c r="AA90" s="6" t="n">
        <v>0</v>
      </c>
      <c r="AB90" s="6" t="n">
        <v>6650.26</v>
      </c>
      <c r="AC90" s="6" t="n">
        <v>7109.15</v>
      </c>
      <c r="AD90" s="14" t="b">
        <f aca="false">FALSE()</f>
        <v>0</v>
      </c>
    </row>
    <row r="91" customFormat="false" ht="15" hidden="false" customHeight="false" outlineLevel="0" collapsed="false">
      <c r="A91" s="14" t="b">
        <f aca="false">TRUE()</f>
        <v>1</v>
      </c>
      <c r="B91" s="14" t="b">
        <f aca="false">FALSE()</f>
        <v>0</v>
      </c>
      <c r="C91" s="4" t="n">
        <v>2</v>
      </c>
      <c r="D91" s="4"/>
      <c r="E91" s="4"/>
      <c r="F91" s="4"/>
      <c r="G91" s="4"/>
      <c r="H91" s="14" t="b">
        <f aca="false">FALSE()</f>
        <v>0</v>
      </c>
      <c r="I91" s="14" t="b">
        <f aca="false">FALSE()</f>
        <v>0</v>
      </c>
      <c r="J91" s="4"/>
      <c r="K91" s="4" t="s">
        <v>408</v>
      </c>
      <c r="L91" s="4" t="s">
        <v>409</v>
      </c>
      <c r="M91" s="4" t="s">
        <v>410</v>
      </c>
      <c r="N91" s="6" t="n">
        <v>53820</v>
      </c>
      <c r="O91" s="6" t="n">
        <v>154187</v>
      </c>
      <c r="P91" s="4" t="s">
        <v>46</v>
      </c>
      <c r="Q91" s="6" t="n">
        <v>435000</v>
      </c>
      <c r="R91" s="15" t="n">
        <v>43172</v>
      </c>
      <c r="S91" s="6" t="n">
        <v>390000</v>
      </c>
      <c r="T91" s="15" t="n">
        <v>43573</v>
      </c>
      <c r="U91" s="6" t="n">
        <v>46000</v>
      </c>
      <c r="V91" s="15" t="n">
        <v>45593</v>
      </c>
      <c r="W91" s="4" t="s">
        <v>47</v>
      </c>
      <c r="X91" s="4" t="s">
        <v>47</v>
      </c>
      <c r="Y91" s="4" t="s">
        <v>411</v>
      </c>
      <c r="Z91" s="4" t="s">
        <v>165</v>
      </c>
      <c r="AA91" s="6" t="n">
        <v>0</v>
      </c>
      <c r="AB91" s="6" t="n">
        <v>13209.88</v>
      </c>
      <c r="AC91" s="6" t="n">
        <v>6912.16</v>
      </c>
      <c r="AD91" s="14" t="b">
        <f aca="false">TRUE()</f>
        <v>1</v>
      </c>
    </row>
    <row r="92" customFormat="false" ht="15" hidden="false" customHeight="false" outlineLevel="0" collapsed="false">
      <c r="A92" s="14" t="b">
        <f aca="false">TRUE()</f>
        <v>1</v>
      </c>
      <c r="B92" s="14" t="b">
        <f aca="false">FALSE()</f>
        <v>0</v>
      </c>
      <c r="C92" s="4" t="n">
        <v>2</v>
      </c>
      <c r="D92" s="4"/>
      <c r="E92" s="4"/>
      <c r="F92" s="4"/>
      <c r="G92" s="4"/>
      <c r="H92" s="14" t="b">
        <f aca="false">FALSE()</f>
        <v>0</v>
      </c>
      <c r="I92" s="14" t="b">
        <f aca="false">FALSE()</f>
        <v>0</v>
      </c>
      <c r="J92" s="4"/>
      <c r="K92" s="4" t="s">
        <v>412</v>
      </c>
      <c r="L92" s="4" t="s">
        <v>413</v>
      </c>
      <c r="M92" s="4" t="s">
        <v>414</v>
      </c>
      <c r="N92" s="6" t="n">
        <v>11044</v>
      </c>
      <c r="O92" s="6" t="n">
        <v>52718</v>
      </c>
      <c r="P92" s="4" t="s">
        <v>46</v>
      </c>
      <c r="Q92" s="6"/>
      <c r="R92" s="15" t="n">
        <v>42103</v>
      </c>
      <c r="S92" s="6"/>
      <c r="T92" s="15"/>
      <c r="U92" s="6"/>
      <c r="V92" s="15"/>
      <c r="W92" s="4" t="s">
        <v>47</v>
      </c>
      <c r="X92" s="4" t="s">
        <v>58</v>
      </c>
      <c r="Y92" s="4" t="s">
        <v>415</v>
      </c>
      <c r="Z92" s="4" t="s">
        <v>49</v>
      </c>
      <c r="AA92" s="6" t="n">
        <v>0</v>
      </c>
      <c r="AB92" s="6" t="n">
        <v>5313.48</v>
      </c>
      <c r="AC92" s="6" t="n">
        <v>5682.14</v>
      </c>
      <c r="AD92" s="14" t="b">
        <f aca="false">FALSE()</f>
        <v>0</v>
      </c>
    </row>
    <row r="93" customFormat="false" ht="15" hidden="false" customHeight="false" outlineLevel="0" collapsed="false">
      <c r="A93" s="14" t="b">
        <f aca="false">TRUE()</f>
        <v>1</v>
      </c>
      <c r="B93" s="14" t="b">
        <f aca="false">FALSE()</f>
        <v>0</v>
      </c>
      <c r="C93" s="4" t="n">
        <v>2</v>
      </c>
      <c r="D93" s="4"/>
      <c r="E93" s="4"/>
      <c r="F93" s="4"/>
      <c r="G93" s="4"/>
      <c r="H93" s="14" t="b">
        <f aca="false">FALSE()</f>
        <v>0</v>
      </c>
      <c r="I93" s="14" t="b">
        <f aca="false">FALSE()</f>
        <v>0</v>
      </c>
      <c r="J93" s="4"/>
      <c r="K93" s="4" t="s">
        <v>416</v>
      </c>
      <c r="L93" s="4" t="s">
        <v>417</v>
      </c>
      <c r="M93" s="4" t="s">
        <v>418</v>
      </c>
      <c r="N93" s="6" t="n">
        <v>11044</v>
      </c>
      <c r="O93" s="6" t="n">
        <v>49656</v>
      </c>
      <c r="P93" s="4" t="s">
        <v>46</v>
      </c>
      <c r="Q93" s="6" t="n">
        <v>125500</v>
      </c>
      <c r="R93" s="15" t="n">
        <v>37533</v>
      </c>
      <c r="S93" s="6"/>
      <c r="T93" s="15"/>
      <c r="U93" s="6"/>
      <c r="V93" s="15"/>
      <c r="W93" s="4" t="s">
        <v>47</v>
      </c>
      <c r="X93" s="4" t="s">
        <v>47</v>
      </c>
      <c r="Y93" s="4" t="s">
        <v>419</v>
      </c>
      <c r="Z93" s="4" t="s">
        <v>49</v>
      </c>
      <c r="AA93" s="6" t="n">
        <v>0</v>
      </c>
      <c r="AB93" s="6" t="n">
        <v>5058.34</v>
      </c>
      <c r="AC93" s="6" t="n">
        <v>5409.78</v>
      </c>
      <c r="AD93" s="14" t="b">
        <f aca="false">FALSE()</f>
        <v>0</v>
      </c>
    </row>
    <row r="94" customFormat="false" ht="15" hidden="false" customHeight="false" outlineLevel="0" collapsed="false">
      <c r="A94" s="14" t="b">
        <f aca="false">TRUE()</f>
        <v>1</v>
      </c>
      <c r="B94" s="14" t="b">
        <f aca="false">FALSE()</f>
        <v>0</v>
      </c>
      <c r="C94" s="4" t="n">
        <v>2</v>
      </c>
      <c r="D94" s="4"/>
      <c r="E94" s="4"/>
      <c r="F94" s="4"/>
      <c r="G94" s="4"/>
      <c r="H94" s="14" t="b">
        <f aca="false">FALSE()</f>
        <v>0</v>
      </c>
      <c r="I94" s="14" t="b">
        <f aca="false">FALSE()</f>
        <v>0</v>
      </c>
      <c r="J94" s="4"/>
      <c r="K94" s="4" t="s">
        <v>420</v>
      </c>
      <c r="L94" s="4" t="s">
        <v>421</v>
      </c>
      <c r="M94" s="4" t="s">
        <v>422</v>
      </c>
      <c r="N94" s="6" t="n">
        <v>9798</v>
      </c>
      <c r="O94" s="6" t="n">
        <v>47950</v>
      </c>
      <c r="P94" s="4" t="s">
        <v>46</v>
      </c>
      <c r="Q94" s="6" t="n">
        <v>35000</v>
      </c>
      <c r="R94" s="15" t="n">
        <v>40486</v>
      </c>
      <c r="S94" s="6"/>
      <c r="T94" s="15"/>
      <c r="U94" s="6"/>
      <c r="V94" s="15"/>
      <c r="W94" s="4" t="s">
        <v>47</v>
      </c>
      <c r="X94" s="4" t="s">
        <v>47</v>
      </c>
      <c r="Y94" s="4" t="s">
        <v>423</v>
      </c>
      <c r="Z94" s="4" t="s">
        <v>49</v>
      </c>
      <c r="AA94" s="6" t="n">
        <v>0</v>
      </c>
      <c r="AB94" s="6" t="n">
        <v>4812.32</v>
      </c>
      <c r="AC94" s="6" t="n">
        <v>2524.44</v>
      </c>
      <c r="AD94" s="14" t="b">
        <f aca="false">TRUE()</f>
        <v>1</v>
      </c>
    </row>
    <row r="95" customFormat="false" ht="15" hidden="false" customHeight="false" outlineLevel="0" collapsed="false">
      <c r="A95" s="14" t="b">
        <f aca="false">TRUE()</f>
        <v>1</v>
      </c>
      <c r="B95" s="14" t="b">
        <f aca="false">FALSE()</f>
        <v>0</v>
      </c>
      <c r="C95" s="4" t="n">
        <v>3</v>
      </c>
      <c r="D95" s="4"/>
      <c r="E95" s="4"/>
      <c r="F95" s="4"/>
      <c r="G95" s="4" t="n">
        <v>2</v>
      </c>
      <c r="H95" s="14" t="b">
        <f aca="false">TRUE()</f>
        <v>1</v>
      </c>
      <c r="I95" s="14" t="b">
        <f aca="false">FALSE()</f>
        <v>0</v>
      </c>
      <c r="J95" s="4"/>
      <c r="K95" s="4" t="s">
        <v>424</v>
      </c>
      <c r="L95" s="4" t="s">
        <v>425</v>
      </c>
      <c r="M95" s="4" t="s">
        <v>426</v>
      </c>
      <c r="N95" s="6" t="n">
        <v>30454</v>
      </c>
      <c r="O95" s="6" t="n">
        <v>71340</v>
      </c>
      <c r="P95" s="4" t="s">
        <v>46</v>
      </c>
      <c r="Q95" s="6" t="n">
        <v>160000</v>
      </c>
      <c r="R95" s="15" t="n">
        <v>43872</v>
      </c>
      <c r="S95" s="6" t="n">
        <v>120000</v>
      </c>
      <c r="T95" s="15" t="n">
        <v>43872</v>
      </c>
      <c r="U95" s="6"/>
      <c r="V95" s="15"/>
      <c r="W95" s="4" t="s">
        <v>47</v>
      </c>
      <c r="X95" s="4" t="s">
        <v>58</v>
      </c>
      <c r="Y95" s="4" t="s">
        <v>427</v>
      </c>
      <c r="Z95" s="4" t="s">
        <v>49</v>
      </c>
      <c r="AA95" s="6" t="n">
        <v>0</v>
      </c>
      <c r="AB95" s="6" t="n">
        <v>7816.14</v>
      </c>
      <c r="AC95" s="6" t="n">
        <v>8353.73</v>
      </c>
      <c r="AD95" s="14" t="b">
        <f aca="false">FALSE()</f>
        <v>0</v>
      </c>
    </row>
    <row r="96" customFormat="false" ht="15" hidden="false" customHeight="false" outlineLevel="0" collapsed="false">
      <c r="A96" s="14" t="b">
        <f aca="false">TRUE()</f>
        <v>1</v>
      </c>
      <c r="B96" s="14" t="b">
        <f aca="false">FALSE()</f>
        <v>0</v>
      </c>
      <c r="C96" s="4" t="n">
        <v>2</v>
      </c>
      <c r="D96" s="4"/>
      <c r="E96" s="4"/>
      <c r="F96" s="4"/>
      <c r="G96" s="4"/>
      <c r="H96" s="14" t="b">
        <f aca="false">FALSE()</f>
        <v>0</v>
      </c>
      <c r="I96" s="14" t="b">
        <f aca="false">FALSE()</f>
        <v>0</v>
      </c>
      <c r="J96" s="4"/>
      <c r="K96" s="4" t="s">
        <v>428</v>
      </c>
      <c r="L96" s="4" t="s">
        <v>429</v>
      </c>
      <c r="M96" s="4" t="s">
        <v>430</v>
      </c>
      <c r="N96" s="6" t="n">
        <v>6692</v>
      </c>
      <c r="O96" s="6" t="n">
        <v>55790</v>
      </c>
      <c r="P96" s="4" t="s">
        <v>46</v>
      </c>
      <c r="Q96" s="6" t="n">
        <v>69000</v>
      </c>
      <c r="R96" s="15" t="n">
        <v>41984</v>
      </c>
      <c r="S96" s="6"/>
      <c r="T96" s="15"/>
      <c r="U96" s="6"/>
      <c r="V96" s="15"/>
      <c r="W96" s="4" t="s">
        <v>47</v>
      </c>
      <c r="X96" s="4" t="s">
        <v>47</v>
      </c>
      <c r="Y96" s="4" t="s">
        <v>431</v>
      </c>
      <c r="Z96" s="4" t="s">
        <v>49</v>
      </c>
      <c r="AA96" s="6" t="n">
        <v>0</v>
      </c>
      <c r="AB96" s="6" t="n">
        <v>6151.9</v>
      </c>
      <c r="AC96" s="6" t="n">
        <v>6577.16</v>
      </c>
      <c r="AD96" s="14" t="b">
        <f aca="false">FALSE()</f>
        <v>0</v>
      </c>
    </row>
    <row r="97" customFormat="false" ht="15" hidden="false" customHeight="false" outlineLevel="0" collapsed="false">
      <c r="A97" s="14" t="b">
        <f aca="false">TRUE()</f>
        <v>1</v>
      </c>
      <c r="B97" s="14" t="b">
        <f aca="false">FALSE()</f>
        <v>0</v>
      </c>
      <c r="C97" s="4" t="n">
        <v>2</v>
      </c>
      <c r="D97" s="4"/>
      <c r="E97" s="4"/>
      <c r="F97" s="4"/>
      <c r="G97" s="4"/>
      <c r="H97" s="14" t="b">
        <f aca="false">FALSE()</f>
        <v>0</v>
      </c>
      <c r="I97" s="14" t="b">
        <f aca="false">FALSE()</f>
        <v>0</v>
      </c>
      <c r="J97" s="4"/>
      <c r="K97" s="4" t="s">
        <v>432</v>
      </c>
      <c r="L97" s="4" t="s">
        <v>433</v>
      </c>
      <c r="M97" s="4" t="s">
        <v>434</v>
      </c>
      <c r="N97" s="6" t="n">
        <v>36053</v>
      </c>
      <c r="O97" s="6" t="n">
        <v>59793</v>
      </c>
      <c r="P97" s="4" t="s">
        <v>46</v>
      </c>
      <c r="Q97" s="6" t="n">
        <v>168000</v>
      </c>
      <c r="R97" s="15" t="n">
        <v>37291</v>
      </c>
      <c r="S97" s="6" t="n">
        <v>131000</v>
      </c>
      <c r="T97" s="15" t="n">
        <v>37763</v>
      </c>
      <c r="U97" s="6"/>
      <c r="V97" s="15"/>
      <c r="W97" s="4" t="s">
        <v>47</v>
      </c>
      <c r="X97" s="4" t="s">
        <v>47</v>
      </c>
      <c r="Y97" s="4" t="s">
        <v>435</v>
      </c>
      <c r="Z97" s="4" t="s">
        <v>49</v>
      </c>
      <c r="AA97" s="6" t="n">
        <v>0</v>
      </c>
      <c r="AB97" s="6" t="n">
        <v>7320.48</v>
      </c>
      <c r="AC97" s="6" t="n">
        <v>3834.95</v>
      </c>
      <c r="AD97" s="14" t="b">
        <f aca="false">TRUE()</f>
        <v>1</v>
      </c>
    </row>
    <row r="98" customFormat="false" ht="15" hidden="false" customHeight="false" outlineLevel="0" collapsed="false">
      <c r="A98" s="14" t="b">
        <f aca="false">TRUE()</f>
        <v>1</v>
      </c>
      <c r="B98" s="14" t="b">
        <f aca="false">FALSE()</f>
        <v>0</v>
      </c>
      <c r="C98" s="4" t="n">
        <v>2</v>
      </c>
      <c r="D98" s="4"/>
      <c r="E98" s="4"/>
      <c r="F98" s="4"/>
      <c r="G98" s="4"/>
      <c r="H98" s="14" t="b">
        <f aca="false">FALSE()</f>
        <v>0</v>
      </c>
      <c r="I98" s="14" t="b">
        <f aca="false">FALSE()</f>
        <v>0</v>
      </c>
      <c r="J98" s="4"/>
      <c r="K98" s="4" t="s">
        <v>436</v>
      </c>
      <c r="L98" s="4" t="s">
        <v>437</v>
      </c>
      <c r="M98" s="4" t="s">
        <v>438</v>
      </c>
      <c r="N98" s="6" t="n">
        <v>6692</v>
      </c>
      <c r="O98" s="6" t="n">
        <v>61553</v>
      </c>
      <c r="P98" s="4" t="s">
        <v>46</v>
      </c>
      <c r="Q98" s="6" t="n">
        <v>197000</v>
      </c>
      <c r="R98" s="15" t="n">
        <v>45202</v>
      </c>
      <c r="S98" s="6"/>
      <c r="T98" s="15"/>
      <c r="U98" s="6"/>
      <c r="V98" s="15"/>
      <c r="W98" s="4" t="s">
        <v>47</v>
      </c>
      <c r="X98" s="4" t="s">
        <v>47</v>
      </c>
      <c r="Y98" s="4" t="s">
        <v>439</v>
      </c>
      <c r="Z98" s="4" t="s">
        <v>49</v>
      </c>
      <c r="AA98" s="6" t="n">
        <v>0</v>
      </c>
      <c r="AB98" s="6" t="n">
        <v>6719.34</v>
      </c>
      <c r="AC98" s="6" t="n">
        <v>7182.9</v>
      </c>
      <c r="AD98" s="14" t="b">
        <f aca="false">FALSE()</f>
        <v>0</v>
      </c>
    </row>
    <row r="99" customFormat="false" ht="15" hidden="false" customHeight="false" outlineLevel="0" collapsed="false">
      <c r="A99" s="14" t="b">
        <f aca="false">TRUE()</f>
        <v>1</v>
      </c>
      <c r="B99" s="14" t="b">
        <f aca="false">FALSE()</f>
        <v>0</v>
      </c>
      <c r="C99" s="4" t="n">
        <v>2</v>
      </c>
      <c r="D99" s="4"/>
      <c r="E99" s="4"/>
      <c r="F99" s="4" t="s">
        <v>440</v>
      </c>
      <c r="G99" s="4"/>
      <c r="H99" s="14" t="b">
        <f aca="false">FALSE()</f>
        <v>0</v>
      </c>
      <c r="I99" s="14" t="b">
        <f aca="false">FALSE()</f>
        <v>0</v>
      </c>
      <c r="J99" s="4"/>
      <c r="K99" s="4" t="s">
        <v>441</v>
      </c>
      <c r="L99" s="4" t="s">
        <v>442</v>
      </c>
      <c r="M99" s="4" t="s">
        <v>443</v>
      </c>
      <c r="N99" s="6" t="n">
        <v>6692</v>
      </c>
      <c r="O99" s="6" t="n">
        <v>64877</v>
      </c>
      <c r="P99" s="4" t="s">
        <v>46</v>
      </c>
      <c r="Q99" s="6" t="n">
        <v>131000</v>
      </c>
      <c r="R99" s="15" t="n">
        <v>39602</v>
      </c>
      <c r="S99" s="6"/>
      <c r="T99" s="15"/>
      <c r="U99" s="6"/>
      <c r="V99" s="15"/>
      <c r="W99" s="4" t="s">
        <v>47</v>
      </c>
      <c r="X99" s="4" t="s">
        <v>58</v>
      </c>
      <c r="Y99" s="4" t="s">
        <v>444</v>
      </c>
      <c r="Z99" s="4" t="s">
        <v>49</v>
      </c>
      <c r="AA99" s="6" t="n">
        <v>0</v>
      </c>
      <c r="AB99" s="6" t="n">
        <v>7046.62</v>
      </c>
      <c r="AC99" s="6" t="n">
        <v>3691.86</v>
      </c>
      <c r="AD99" s="14" t="b">
        <f aca="false">TRUE()</f>
        <v>1</v>
      </c>
    </row>
    <row r="100" customFormat="false" ht="15" hidden="false" customHeight="false" outlineLevel="0" collapsed="false">
      <c r="A100" s="14" t="b">
        <f aca="false">TRUE()</f>
        <v>1</v>
      </c>
      <c r="B100" s="14" t="b">
        <f aca="false">FALSE()</f>
        <v>0</v>
      </c>
      <c r="C100" s="4" t="n">
        <v>2</v>
      </c>
      <c r="D100" s="4"/>
      <c r="E100" s="4"/>
      <c r="F100" s="4"/>
      <c r="G100" s="4" t="n">
        <v>3</v>
      </c>
      <c r="H100" s="14" t="b">
        <f aca="false">FALSE()</f>
        <v>0</v>
      </c>
      <c r="I100" s="14" t="b">
        <f aca="false">FALSE()</f>
        <v>0</v>
      </c>
      <c r="J100" s="4"/>
      <c r="K100" s="4" t="s">
        <v>445</v>
      </c>
      <c r="L100" s="4" t="s">
        <v>446</v>
      </c>
      <c r="M100" s="4" t="s">
        <v>447</v>
      </c>
      <c r="N100" s="6" t="n">
        <v>6692</v>
      </c>
      <c r="O100" s="6" t="n">
        <v>61553</v>
      </c>
      <c r="P100" s="4" t="s">
        <v>46</v>
      </c>
      <c r="Q100" s="6" t="n">
        <v>94000</v>
      </c>
      <c r="R100" s="15" t="n">
        <v>35072</v>
      </c>
      <c r="S100" s="6"/>
      <c r="T100" s="15"/>
      <c r="U100" s="6"/>
      <c r="V100" s="15"/>
      <c r="W100" s="4" t="s">
        <v>47</v>
      </c>
      <c r="X100" s="4" t="s">
        <v>58</v>
      </c>
      <c r="Y100" s="4" t="s">
        <v>448</v>
      </c>
      <c r="Z100" s="4" t="s">
        <v>49</v>
      </c>
      <c r="AA100" s="6" t="n">
        <v>0</v>
      </c>
      <c r="AB100" s="6" t="n">
        <v>5931.68</v>
      </c>
      <c r="AC100" s="6" t="n">
        <v>6342.07</v>
      </c>
      <c r="AD100" s="14" t="b">
        <f aca="false">FALSE()</f>
        <v>0</v>
      </c>
    </row>
    <row r="101" customFormat="false" ht="15" hidden="false" customHeight="false" outlineLevel="0" collapsed="false">
      <c r="A101" s="14" t="b">
        <f aca="false">TRUE()</f>
        <v>1</v>
      </c>
      <c r="B101" s="14" t="b">
        <f aca="false">FALSE()</f>
        <v>0</v>
      </c>
      <c r="C101" s="4" t="n">
        <v>2</v>
      </c>
      <c r="D101" s="4"/>
      <c r="E101" s="4"/>
      <c r="F101" s="4"/>
      <c r="G101" s="4" t="n">
        <v>2</v>
      </c>
      <c r="H101" s="14" t="b">
        <f aca="false">TRUE()</f>
        <v>1</v>
      </c>
      <c r="I101" s="14" t="b">
        <f aca="false">FALSE()</f>
        <v>0</v>
      </c>
      <c r="J101" s="4"/>
      <c r="K101" s="4" t="s">
        <v>449</v>
      </c>
      <c r="L101" s="4" t="s">
        <v>450</v>
      </c>
      <c r="M101" s="4" t="s">
        <v>451</v>
      </c>
      <c r="N101" s="6" t="n">
        <v>6703</v>
      </c>
      <c r="O101" s="6" t="n">
        <v>48322</v>
      </c>
      <c r="P101" s="4" t="s">
        <v>46</v>
      </c>
      <c r="Q101" s="6"/>
      <c r="R101" s="15" t="n">
        <v>40925</v>
      </c>
      <c r="S101" s="6"/>
      <c r="T101" s="15"/>
      <c r="U101" s="6"/>
      <c r="V101" s="15"/>
      <c r="W101" s="4" t="s">
        <v>47</v>
      </c>
      <c r="X101" s="4" t="s">
        <v>58</v>
      </c>
      <c r="Y101" s="4" t="s">
        <v>452</v>
      </c>
      <c r="Z101" s="4" t="s">
        <v>49</v>
      </c>
      <c r="AA101" s="6" t="n">
        <v>0</v>
      </c>
      <c r="AB101" s="6" t="n">
        <v>4630.04</v>
      </c>
      <c r="AC101" s="6" t="n">
        <v>4952.57</v>
      </c>
      <c r="AD101" s="14" t="b">
        <f aca="false">FALSE()</f>
        <v>0</v>
      </c>
    </row>
    <row r="102" customFormat="false" ht="15" hidden="false" customHeight="false" outlineLevel="0" collapsed="false">
      <c r="A102" s="14" t="b">
        <f aca="false">TRUE()</f>
        <v>1</v>
      </c>
      <c r="B102" s="14" t="b">
        <f aca="false">FALSE()</f>
        <v>0</v>
      </c>
      <c r="C102" s="4" t="n">
        <v>3</v>
      </c>
      <c r="D102" s="4"/>
      <c r="E102" s="4"/>
      <c r="F102" s="4"/>
      <c r="G102" s="4"/>
      <c r="H102" s="14" t="b">
        <f aca="false">FALSE()</f>
        <v>0</v>
      </c>
      <c r="I102" s="14" t="b">
        <f aca="false">FALSE()</f>
        <v>0</v>
      </c>
      <c r="J102" s="4"/>
      <c r="K102" s="4" t="s">
        <v>453</v>
      </c>
      <c r="L102" s="4" t="s">
        <v>454</v>
      </c>
      <c r="M102" s="4" t="s">
        <v>455</v>
      </c>
      <c r="N102" s="6" t="n">
        <v>31526</v>
      </c>
      <c r="O102" s="6" t="n">
        <v>50498</v>
      </c>
      <c r="P102" s="4" t="s">
        <v>46</v>
      </c>
      <c r="Q102" s="6"/>
      <c r="R102" s="15"/>
      <c r="S102" s="6" t="n">
        <v>315267.99</v>
      </c>
      <c r="T102" s="15" t="n">
        <v>40217</v>
      </c>
      <c r="U102" s="6" t="n">
        <v>26000</v>
      </c>
      <c r="V102" s="15" t="n">
        <v>43720</v>
      </c>
      <c r="W102" s="4" t="s">
        <v>47</v>
      </c>
      <c r="X102" s="4" t="s">
        <v>58</v>
      </c>
      <c r="Y102" s="4" t="s">
        <v>456</v>
      </c>
      <c r="Z102" s="4" t="s">
        <v>457</v>
      </c>
      <c r="AA102" s="6" t="n">
        <v>0</v>
      </c>
      <c r="AB102" s="6" t="n">
        <v>5782.76</v>
      </c>
      <c r="AC102" s="6" t="n">
        <v>6183.09</v>
      </c>
      <c r="AD102" s="14" t="b">
        <f aca="false">FALSE()</f>
        <v>0</v>
      </c>
    </row>
    <row r="103" customFormat="false" ht="15" hidden="false" customHeight="false" outlineLevel="0" collapsed="false">
      <c r="A103" s="14" t="b">
        <f aca="false">TRUE()</f>
        <v>1</v>
      </c>
      <c r="B103" s="14" t="b">
        <f aca="false">FALSE()</f>
        <v>0</v>
      </c>
      <c r="C103" s="4" t="n">
        <v>3</v>
      </c>
      <c r="D103" s="4"/>
      <c r="E103" s="4"/>
      <c r="F103" s="4"/>
      <c r="G103" s="4"/>
      <c r="H103" s="14" t="b">
        <f aca="false">FALSE()</f>
        <v>0</v>
      </c>
      <c r="I103" s="14" t="b">
        <f aca="false">FALSE()</f>
        <v>0</v>
      </c>
      <c r="J103" s="4"/>
      <c r="K103" s="4" t="s">
        <v>458</v>
      </c>
      <c r="L103" s="4" t="s">
        <v>459</v>
      </c>
      <c r="M103" s="4" t="s">
        <v>460</v>
      </c>
      <c r="N103" s="6" t="n">
        <v>31526</v>
      </c>
      <c r="O103" s="6" t="n">
        <v>52630</v>
      </c>
      <c r="P103" s="4" t="s">
        <v>46</v>
      </c>
      <c r="Q103" s="6"/>
      <c r="R103" s="15" t="n">
        <v>33826</v>
      </c>
      <c r="S103" s="6" t="n">
        <v>315267.99</v>
      </c>
      <c r="T103" s="15" t="n">
        <v>40217</v>
      </c>
      <c r="U103" s="6" t="n">
        <v>26000</v>
      </c>
      <c r="V103" s="15" t="n">
        <v>43720</v>
      </c>
      <c r="W103" s="4" t="s">
        <v>47</v>
      </c>
      <c r="X103" s="4" t="s">
        <v>47</v>
      </c>
      <c r="Y103" s="4" t="s">
        <v>461</v>
      </c>
      <c r="Z103" s="4" t="s">
        <v>317</v>
      </c>
      <c r="AA103" s="6" t="n">
        <v>0</v>
      </c>
      <c r="AB103" s="6" t="n">
        <v>5369.06</v>
      </c>
      <c r="AC103" s="6" t="n">
        <v>5741.47</v>
      </c>
      <c r="AD103" s="14" t="b">
        <f aca="false">FALSE()</f>
        <v>0</v>
      </c>
    </row>
    <row r="104" customFormat="false" ht="15" hidden="false" customHeight="false" outlineLevel="0" collapsed="false">
      <c r="A104" s="14" t="b">
        <f aca="false">TRUE()</f>
        <v>1</v>
      </c>
      <c r="B104" s="14" t="b">
        <f aca="false">FALSE()</f>
        <v>0</v>
      </c>
      <c r="C104" s="4" t="n">
        <v>2</v>
      </c>
      <c r="D104" s="4"/>
      <c r="E104" s="4"/>
      <c r="F104" s="4"/>
      <c r="G104" s="4"/>
      <c r="H104" s="14" t="b">
        <f aca="false">FALSE()</f>
        <v>0</v>
      </c>
      <c r="I104" s="14" t="b">
        <f aca="false">FALSE()</f>
        <v>0</v>
      </c>
      <c r="J104" s="4"/>
      <c r="K104" s="4" t="s">
        <v>462</v>
      </c>
      <c r="L104" s="4" t="s">
        <v>463</v>
      </c>
      <c r="M104" s="4" t="s">
        <v>464</v>
      </c>
      <c r="N104" s="6" t="n">
        <v>14336</v>
      </c>
      <c r="O104" s="6" t="n">
        <v>90531</v>
      </c>
      <c r="P104" s="4" t="s">
        <v>46</v>
      </c>
      <c r="Q104" s="6" t="n">
        <v>360000</v>
      </c>
      <c r="R104" s="15" t="n">
        <v>45672</v>
      </c>
      <c r="S104" s="6"/>
      <c r="T104" s="15"/>
      <c r="U104" s="6"/>
      <c r="V104" s="15"/>
      <c r="W104" s="4" t="s">
        <v>58</v>
      </c>
      <c r="X104" s="4" t="s">
        <v>47</v>
      </c>
      <c r="Y104" s="4" t="s">
        <v>465</v>
      </c>
      <c r="Z104" s="4" t="s">
        <v>49</v>
      </c>
      <c r="AA104" s="6" t="n">
        <v>0</v>
      </c>
      <c r="AB104" s="6" t="n">
        <v>7900.78</v>
      </c>
      <c r="AC104" s="6" t="n">
        <v>4138.16</v>
      </c>
      <c r="AD104" s="14" t="b">
        <f aca="false">TRUE()</f>
        <v>1</v>
      </c>
    </row>
    <row r="105" customFormat="false" ht="15" hidden="false" customHeight="false" outlineLevel="0" collapsed="false">
      <c r="A105" s="14" t="b">
        <f aca="false">TRUE()</f>
        <v>1</v>
      </c>
      <c r="B105" s="14" t="b">
        <f aca="false">FALSE()</f>
        <v>0</v>
      </c>
      <c r="C105" s="4" t="n">
        <v>3</v>
      </c>
      <c r="D105" s="4"/>
      <c r="E105" s="4"/>
      <c r="F105" s="4"/>
      <c r="G105" s="4" t="n">
        <v>2</v>
      </c>
      <c r="H105" s="14" t="b">
        <f aca="false">TRUE()</f>
        <v>1</v>
      </c>
      <c r="I105" s="14" t="b">
        <f aca="false">FALSE()</f>
        <v>0</v>
      </c>
      <c r="J105" s="4"/>
      <c r="K105" s="4" t="s">
        <v>466</v>
      </c>
      <c r="L105" s="4" t="s">
        <v>467</v>
      </c>
      <c r="M105" s="4" t="s">
        <v>468</v>
      </c>
      <c r="N105" s="6" t="n">
        <v>35397</v>
      </c>
      <c r="O105" s="6" t="n">
        <v>79399</v>
      </c>
      <c r="P105" s="4" t="s">
        <v>46</v>
      </c>
      <c r="Q105" s="6"/>
      <c r="R105" s="15"/>
      <c r="S105" s="6" t="n">
        <v>80000</v>
      </c>
      <c r="T105" s="15" t="n">
        <v>42486</v>
      </c>
      <c r="U105" s="6"/>
      <c r="V105" s="15"/>
      <c r="W105" s="4" t="s">
        <v>58</v>
      </c>
      <c r="X105" s="4" t="s">
        <v>58</v>
      </c>
      <c r="Y105" s="4" t="s">
        <v>469</v>
      </c>
      <c r="Z105" s="4" t="s">
        <v>317</v>
      </c>
      <c r="AA105" s="6" t="n">
        <v>0</v>
      </c>
      <c r="AB105" s="6" t="n">
        <v>7435.68</v>
      </c>
      <c r="AC105" s="6" t="n">
        <v>7947.59</v>
      </c>
      <c r="AD105" s="14" t="b">
        <f aca="false">FALSE()</f>
        <v>0</v>
      </c>
    </row>
    <row r="106" customFormat="false" ht="15" hidden="false" customHeight="false" outlineLevel="0" collapsed="false">
      <c r="A106" s="14" t="b">
        <f aca="false">TRUE()</f>
        <v>1</v>
      </c>
      <c r="B106" s="14" t="b">
        <f aca="false">FALSE()</f>
        <v>0</v>
      </c>
      <c r="C106" s="4" t="n">
        <v>2</v>
      </c>
      <c r="D106" s="4"/>
      <c r="E106" s="4"/>
      <c r="F106" s="4"/>
      <c r="G106" s="4"/>
      <c r="H106" s="14" t="b">
        <f aca="false">TRUE()</f>
        <v>1</v>
      </c>
      <c r="I106" s="14" t="b">
        <f aca="false">FALSE()</f>
        <v>0</v>
      </c>
      <c r="J106" s="4"/>
      <c r="K106" s="4" t="s">
        <v>470</v>
      </c>
      <c r="L106" s="4" t="s">
        <v>471</v>
      </c>
      <c r="M106" s="4" t="s">
        <v>472</v>
      </c>
      <c r="N106" s="6" t="n">
        <v>31526</v>
      </c>
      <c r="O106" s="6" t="n">
        <v>41116</v>
      </c>
      <c r="P106" s="4" t="s">
        <v>46</v>
      </c>
      <c r="Q106" s="6" t="n">
        <v>93000</v>
      </c>
      <c r="R106" s="15" t="n">
        <v>42012</v>
      </c>
      <c r="S106" s="6"/>
      <c r="T106" s="15"/>
      <c r="U106" s="6"/>
      <c r="V106" s="15"/>
      <c r="W106" s="4" t="s">
        <v>47</v>
      </c>
      <c r="X106" s="4" t="s">
        <v>58</v>
      </c>
      <c r="Y106" s="4" t="s">
        <v>473</v>
      </c>
      <c r="Z106" s="4" t="s">
        <v>317</v>
      </c>
      <c r="AA106" s="6" t="n">
        <v>0</v>
      </c>
      <c r="AB106" s="6" t="n">
        <v>4252.54</v>
      </c>
      <c r="AC106" s="6" t="n">
        <v>4549.58</v>
      </c>
      <c r="AD106" s="14" t="b">
        <f aca="false">FALSE()</f>
        <v>0</v>
      </c>
    </row>
    <row r="107" customFormat="false" ht="15" hidden="false" customHeight="false" outlineLevel="0" collapsed="false">
      <c r="A107" s="14" t="b">
        <f aca="false">TRUE()</f>
        <v>1</v>
      </c>
      <c r="B107" s="14" t="b">
        <f aca="false">FALSE()</f>
        <v>0</v>
      </c>
      <c r="C107" s="4" t="n">
        <v>2</v>
      </c>
      <c r="D107" s="4"/>
      <c r="E107" s="4"/>
      <c r="F107" s="4"/>
      <c r="G107" s="4"/>
      <c r="H107" s="14" t="b">
        <f aca="false">FALSE()</f>
        <v>0</v>
      </c>
      <c r="I107" s="14" t="b">
        <f aca="false">FALSE()</f>
        <v>0</v>
      </c>
      <c r="J107" s="4"/>
      <c r="K107" s="4" t="s">
        <v>474</v>
      </c>
      <c r="L107" s="4" t="s">
        <v>475</v>
      </c>
      <c r="M107" s="4" t="s">
        <v>476</v>
      </c>
      <c r="N107" s="6" t="n">
        <v>7611</v>
      </c>
      <c r="O107" s="6" t="n">
        <v>42406</v>
      </c>
      <c r="P107" s="4" t="s">
        <v>46</v>
      </c>
      <c r="Q107" s="6" t="n">
        <v>67500</v>
      </c>
      <c r="R107" s="15" t="n">
        <v>41766</v>
      </c>
      <c r="S107" s="6"/>
      <c r="T107" s="15"/>
      <c r="U107" s="6"/>
      <c r="V107" s="15"/>
      <c r="W107" s="4" t="s">
        <v>47</v>
      </c>
      <c r="X107" s="4" t="s">
        <v>47</v>
      </c>
      <c r="Y107" s="4" t="s">
        <v>477</v>
      </c>
      <c r="Z107" s="4" t="s">
        <v>317</v>
      </c>
      <c r="AA107" s="6" t="n">
        <v>0</v>
      </c>
      <c r="AB107" s="6" t="n">
        <v>3162.32</v>
      </c>
      <c r="AC107" s="6" t="n">
        <v>3362.05</v>
      </c>
      <c r="AD107" s="14" t="b">
        <f aca="false">FALSE()</f>
        <v>0</v>
      </c>
    </row>
    <row r="108" customFormat="false" ht="15" hidden="false" customHeight="false" outlineLevel="0" collapsed="false">
      <c r="A108" s="14" t="b">
        <f aca="false">TRUE()</f>
        <v>1</v>
      </c>
      <c r="B108" s="14" t="b">
        <f aca="false">FALSE()</f>
        <v>0</v>
      </c>
      <c r="C108" s="4" t="n">
        <v>3</v>
      </c>
      <c r="D108" s="4"/>
      <c r="E108" s="4"/>
      <c r="F108" s="4"/>
      <c r="G108" s="4" t="n">
        <v>2</v>
      </c>
      <c r="H108" s="14" t="b">
        <f aca="false">FALSE()</f>
        <v>0</v>
      </c>
      <c r="I108" s="14" t="b">
        <f aca="false">FALSE()</f>
        <v>0</v>
      </c>
      <c r="J108" s="4"/>
      <c r="K108" s="4" t="s">
        <v>478</v>
      </c>
      <c r="L108" s="4" t="s">
        <v>479</v>
      </c>
      <c r="M108" s="4" t="s">
        <v>480</v>
      </c>
      <c r="N108" s="6" t="n">
        <v>31526</v>
      </c>
      <c r="O108" s="6" t="n">
        <v>61630</v>
      </c>
      <c r="P108" s="4" t="s">
        <v>46</v>
      </c>
      <c r="Q108" s="6" t="n">
        <v>225000</v>
      </c>
      <c r="R108" s="15" t="n">
        <v>44684</v>
      </c>
      <c r="S108" s="6" t="n">
        <v>130000</v>
      </c>
      <c r="T108" s="15" t="n">
        <v>45281</v>
      </c>
      <c r="U108" s="6"/>
      <c r="V108" s="15"/>
      <c r="W108" s="4" t="s">
        <v>58</v>
      </c>
      <c r="X108" s="4" t="s">
        <v>58</v>
      </c>
      <c r="Y108" s="4" t="s">
        <v>481</v>
      </c>
      <c r="Z108" s="4" t="s">
        <v>317</v>
      </c>
      <c r="AA108" s="6" t="n">
        <v>0</v>
      </c>
      <c r="AB108" s="6" t="n">
        <v>5848.86</v>
      </c>
      <c r="AC108" s="6" t="n">
        <v>6253.66</v>
      </c>
      <c r="AD108" s="14" t="b">
        <f aca="false">FALSE()</f>
        <v>0</v>
      </c>
    </row>
    <row r="109" customFormat="false" ht="15" hidden="false" customHeight="false" outlineLevel="0" collapsed="false">
      <c r="A109" s="14" t="b">
        <f aca="false">TRUE()</f>
        <v>1</v>
      </c>
      <c r="B109" s="14" t="b">
        <f aca="false">FALSE()</f>
        <v>0</v>
      </c>
      <c r="C109" s="4" t="n">
        <v>2</v>
      </c>
      <c r="D109" s="4"/>
      <c r="E109" s="4"/>
      <c r="F109" s="4"/>
      <c r="G109" s="4" t="n">
        <v>3</v>
      </c>
      <c r="H109" s="14" t="b">
        <f aca="false">TRUE()</f>
        <v>1</v>
      </c>
      <c r="I109" s="14" t="b">
        <f aca="false">FALSE()</f>
        <v>0</v>
      </c>
      <c r="J109" s="4"/>
      <c r="K109" s="4" t="s">
        <v>482</v>
      </c>
      <c r="L109" s="4" t="s">
        <v>483</v>
      </c>
      <c r="M109" s="4" t="s">
        <v>484</v>
      </c>
      <c r="N109" s="6" t="n">
        <v>59497</v>
      </c>
      <c r="O109" s="6" t="n">
        <v>58830</v>
      </c>
      <c r="P109" s="4" t="s">
        <v>46</v>
      </c>
      <c r="Q109" s="6"/>
      <c r="R109" s="15"/>
      <c r="S109" s="6"/>
      <c r="T109" s="15"/>
      <c r="U109" s="6"/>
      <c r="V109" s="15"/>
      <c r="W109" s="4" t="s">
        <v>47</v>
      </c>
      <c r="X109" s="4" t="s">
        <v>47</v>
      </c>
      <c r="Y109" s="4" t="s">
        <v>485</v>
      </c>
      <c r="Z109" s="4" t="s">
        <v>317</v>
      </c>
      <c r="AA109" s="6" t="n">
        <v>0</v>
      </c>
      <c r="AB109" s="6" t="n">
        <v>8891.9</v>
      </c>
      <c r="AC109" s="6" t="n">
        <v>9502.11</v>
      </c>
      <c r="AD109" s="14" t="b">
        <f aca="false">FALSE()</f>
        <v>0</v>
      </c>
    </row>
    <row r="110" customFormat="false" ht="15" hidden="false" customHeight="false" outlineLevel="0" collapsed="false">
      <c r="A110" s="14" t="b">
        <f aca="false">TRUE()</f>
        <v>1</v>
      </c>
      <c r="B110" s="14" t="b">
        <f aca="false">FALSE()</f>
        <v>0</v>
      </c>
      <c r="C110" s="4" t="n">
        <v>2</v>
      </c>
      <c r="D110" s="4"/>
      <c r="E110" s="4"/>
      <c r="F110" s="4"/>
      <c r="G110" s="4"/>
      <c r="H110" s="14" t="b">
        <f aca="false">FALSE()</f>
        <v>0</v>
      </c>
      <c r="I110" s="14" t="b">
        <f aca="false">FALSE()</f>
        <v>0</v>
      </c>
      <c r="J110" s="4"/>
      <c r="K110" s="4" t="s">
        <v>486</v>
      </c>
      <c r="L110" s="4" t="s">
        <v>487</v>
      </c>
      <c r="M110" s="4" t="s">
        <v>488</v>
      </c>
      <c r="N110" s="6" t="n">
        <v>59497</v>
      </c>
      <c r="O110" s="6" t="n">
        <v>35648</v>
      </c>
      <c r="P110" s="4" t="s">
        <v>46</v>
      </c>
      <c r="Q110" s="6"/>
      <c r="R110" s="15"/>
      <c r="S110" s="6"/>
      <c r="T110" s="15"/>
      <c r="U110" s="6"/>
      <c r="V110" s="15"/>
      <c r="W110" s="4" t="s">
        <v>58</v>
      </c>
      <c r="X110" s="4" t="s">
        <v>47</v>
      </c>
      <c r="Y110" s="4" t="s">
        <v>489</v>
      </c>
      <c r="Z110" s="4" t="s">
        <v>317</v>
      </c>
      <c r="AA110" s="6" t="n">
        <v>0</v>
      </c>
      <c r="AB110" s="6" t="n">
        <v>6531.5</v>
      </c>
      <c r="AC110" s="6" t="n">
        <v>6982.38</v>
      </c>
      <c r="AD110" s="14" t="b">
        <f aca="false">FALSE()</f>
        <v>0</v>
      </c>
    </row>
    <row r="111" customFormat="false" ht="15" hidden="false" customHeight="false" outlineLevel="0" collapsed="false">
      <c r="A111" s="14" t="b">
        <f aca="false">TRUE()</f>
        <v>1</v>
      </c>
      <c r="B111" s="14" t="b">
        <f aca="false">FALSE()</f>
        <v>0</v>
      </c>
      <c r="C111" s="4" t="n">
        <v>2</v>
      </c>
      <c r="D111" s="4"/>
      <c r="E111" s="4"/>
      <c r="F111" s="4"/>
      <c r="G111" s="4"/>
      <c r="H111" s="14" t="b">
        <f aca="false">TRUE()</f>
        <v>1</v>
      </c>
      <c r="I111" s="14" t="b">
        <f aca="false">FALSE()</f>
        <v>0</v>
      </c>
      <c r="J111" s="4"/>
      <c r="K111" s="4" t="s">
        <v>490</v>
      </c>
      <c r="L111" s="4" t="s">
        <v>491</v>
      </c>
      <c r="M111" s="4" t="s">
        <v>492</v>
      </c>
      <c r="N111" s="6" t="n">
        <v>44002</v>
      </c>
      <c r="O111" s="6" t="n">
        <v>58196</v>
      </c>
      <c r="P111" s="4" t="s">
        <v>46</v>
      </c>
      <c r="Q111" s="6" t="n">
        <v>164500</v>
      </c>
      <c r="R111" s="15" t="n">
        <v>36787</v>
      </c>
      <c r="S111" s="6"/>
      <c r="T111" s="15"/>
      <c r="U111" s="6"/>
      <c r="V111" s="15"/>
      <c r="W111" s="4" t="s">
        <v>47</v>
      </c>
      <c r="X111" s="4" t="s">
        <v>47</v>
      </c>
      <c r="Y111" s="4" t="s">
        <v>493</v>
      </c>
      <c r="Z111" s="4" t="s">
        <v>317</v>
      </c>
      <c r="AA111" s="6" t="n">
        <v>0</v>
      </c>
      <c r="AB111" s="6" t="n">
        <v>7679.88</v>
      </c>
      <c r="AC111" s="6" t="n">
        <v>8208.27</v>
      </c>
      <c r="AD111" s="14" t="b">
        <f aca="false">FALSE()</f>
        <v>0</v>
      </c>
    </row>
    <row r="112" customFormat="false" ht="15" hidden="false" customHeight="false" outlineLevel="0" collapsed="false">
      <c r="A112" s="14" t="b">
        <f aca="false">TRUE()</f>
        <v>1</v>
      </c>
      <c r="B112" s="14" t="b">
        <f aca="false">FALSE()</f>
        <v>0</v>
      </c>
      <c r="C112" s="4" t="n">
        <v>3</v>
      </c>
      <c r="D112" s="4"/>
      <c r="E112" s="4"/>
      <c r="F112" s="4"/>
      <c r="G112" s="4"/>
      <c r="H112" s="14" t="b">
        <f aca="false">TRUE()</f>
        <v>1</v>
      </c>
      <c r="I112" s="14" t="b">
        <f aca="false">FALSE()</f>
        <v>0</v>
      </c>
      <c r="J112" s="4"/>
      <c r="K112" s="4" t="s">
        <v>494</v>
      </c>
      <c r="L112" s="4" t="s">
        <v>495</v>
      </c>
      <c r="M112" s="4" t="s">
        <v>496</v>
      </c>
      <c r="N112" s="6" t="n">
        <v>44024</v>
      </c>
      <c r="O112" s="6" t="n">
        <v>97157</v>
      </c>
      <c r="P112" s="4" t="s">
        <v>46</v>
      </c>
      <c r="Q112" s="6"/>
      <c r="R112" s="15"/>
      <c r="S112" s="6"/>
      <c r="T112" s="15"/>
      <c r="U112" s="6"/>
      <c r="V112" s="15"/>
      <c r="W112" s="4" t="s">
        <v>58</v>
      </c>
      <c r="X112" s="4" t="s">
        <v>47</v>
      </c>
      <c r="Y112" s="4" t="s">
        <v>497</v>
      </c>
      <c r="Z112" s="4" t="s">
        <v>317</v>
      </c>
      <c r="AA112" s="6" t="n">
        <v>0</v>
      </c>
      <c r="AB112" s="6" t="n">
        <v>10008.16</v>
      </c>
      <c r="AC112" s="6" t="n">
        <v>10693.71</v>
      </c>
      <c r="AD112" s="14" t="b">
        <f aca="false">FALSE()</f>
        <v>0</v>
      </c>
    </row>
    <row r="113" customFormat="false" ht="15" hidden="false" customHeight="false" outlineLevel="0" collapsed="false">
      <c r="A113" s="14" t="b">
        <f aca="false">TRUE()</f>
        <v>1</v>
      </c>
      <c r="B113" s="14" t="b">
        <f aca="false">FALSE()</f>
        <v>0</v>
      </c>
      <c r="C113" s="4" t="n">
        <v>2</v>
      </c>
      <c r="D113" s="4"/>
      <c r="E113" s="4"/>
      <c r="F113" s="4"/>
      <c r="G113" s="4"/>
      <c r="H113" s="14" t="b">
        <f aca="false">FALSE()</f>
        <v>0</v>
      </c>
      <c r="I113" s="14" t="b">
        <f aca="false">FALSE()</f>
        <v>0</v>
      </c>
      <c r="J113" s="4"/>
      <c r="K113" s="4" t="s">
        <v>498</v>
      </c>
      <c r="L113" s="4" t="s">
        <v>499</v>
      </c>
      <c r="M113" s="4" t="s">
        <v>500</v>
      </c>
      <c r="N113" s="6" t="n">
        <v>44024</v>
      </c>
      <c r="O113" s="6" t="n">
        <v>62133</v>
      </c>
      <c r="P113" s="4" t="s">
        <v>46</v>
      </c>
      <c r="Q113" s="6"/>
      <c r="R113" s="15"/>
      <c r="S113" s="6"/>
      <c r="T113" s="15"/>
      <c r="U113" s="6"/>
      <c r="V113" s="15"/>
      <c r="W113" s="4" t="s">
        <v>47</v>
      </c>
      <c r="X113" s="4" t="s">
        <v>47</v>
      </c>
      <c r="Y113" s="4" t="s">
        <v>501</v>
      </c>
      <c r="Z113" s="4" t="s">
        <v>317</v>
      </c>
      <c r="AA113" s="6" t="n">
        <v>0</v>
      </c>
      <c r="AB113" s="6" t="n">
        <v>3226.82</v>
      </c>
      <c r="AC113" s="6" t="n">
        <v>3454.63</v>
      </c>
      <c r="AD113" s="14" t="b">
        <f aca="false">FALSE()</f>
        <v>0</v>
      </c>
    </row>
    <row r="114" customFormat="false" ht="15" hidden="false" customHeight="false" outlineLevel="0" collapsed="false">
      <c r="A114" s="14" t="b">
        <f aca="false">TRUE()</f>
        <v>1</v>
      </c>
      <c r="B114" s="14" t="b">
        <f aca="false">FALSE()</f>
        <v>0</v>
      </c>
      <c r="C114" s="4" t="n">
        <v>2</v>
      </c>
      <c r="D114" s="4"/>
      <c r="E114" s="4"/>
      <c r="F114" s="4"/>
      <c r="G114" s="4"/>
      <c r="H114" s="14" t="b">
        <f aca="false">FALSE()</f>
        <v>0</v>
      </c>
      <c r="I114" s="14" t="b">
        <f aca="false">FALSE()</f>
        <v>0</v>
      </c>
      <c r="J114" s="4"/>
      <c r="K114" s="4" t="s">
        <v>502</v>
      </c>
      <c r="L114" s="4" t="s">
        <v>503</v>
      </c>
      <c r="M114" s="4" t="s">
        <v>504</v>
      </c>
      <c r="N114" s="6" t="n">
        <v>44024</v>
      </c>
      <c r="O114" s="6" t="n">
        <v>72646</v>
      </c>
      <c r="P114" s="4" t="s">
        <v>46</v>
      </c>
      <c r="Q114" s="6" t="n">
        <v>350000</v>
      </c>
      <c r="R114" s="15" t="n">
        <v>44725</v>
      </c>
      <c r="S114" s="6" t="n">
        <v>280000</v>
      </c>
      <c r="T114" s="15" t="n">
        <v>44725</v>
      </c>
      <c r="U114" s="6"/>
      <c r="V114" s="15"/>
      <c r="W114" s="4" t="s">
        <v>47</v>
      </c>
      <c r="X114" s="4" t="s">
        <v>47</v>
      </c>
      <c r="Y114" s="4" t="s">
        <v>505</v>
      </c>
      <c r="Z114" s="4" t="s">
        <v>317</v>
      </c>
      <c r="AA114" s="6" t="n">
        <v>0</v>
      </c>
      <c r="AB114" s="6" t="n">
        <v>8166.24</v>
      </c>
      <c r="AC114" s="6" t="n">
        <v>4276.86</v>
      </c>
      <c r="AD114" s="14" t="b">
        <f aca="false">TRUE()</f>
        <v>1</v>
      </c>
    </row>
    <row r="115" customFormat="false" ht="15" hidden="false" customHeight="false" outlineLevel="0" collapsed="false">
      <c r="A115" s="14" t="b">
        <f aca="false">TRUE()</f>
        <v>1</v>
      </c>
      <c r="B115" s="14" t="b">
        <f aca="false">FALSE()</f>
        <v>0</v>
      </c>
      <c r="C115" s="4" t="n">
        <v>2</v>
      </c>
      <c r="D115" s="4"/>
      <c r="E115" s="4"/>
      <c r="F115" s="4"/>
      <c r="G115" s="4"/>
      <c r="H115" s="14" t="b">
        <f aca="false">FALSE()</f>
        <v>0</v>
      </c>
      <c r="I115" s="14" t="b">
        <f aca="false">FALSE()</f>
        <v>0</v>
      </c>
      <c r="J115" s="4"/>
      <c r="K115" s="4" t="s">
        <v>506</v>
      </c>
      <c r="L115" s="4" t="s">
        <v>507</v>
      </c>
      <c r="M115" s="4" t="s">
        <v>508</v>
      </c>
      <c r="N115" s="6" t="n">
        <v>73625</v>
      </c>
      <c r="O115" s="6" t="n">
        <v>59708</v>
      </c>
      <c r="P115" s="4" t="s">
        <v>46</v>
      </c>
      <c r="Q115" s="6" t="n">
        <v>350000</v>
      </c>
      <c r="R115" s="15" t="n">
        <v>42507</v>
      </c>
      <c r="S115" s="6"/>
      <c r="T115" s="15"/>
      <c r="U115" s="6"/>
      <c r="V115" s="15"/>
      <c r="W115" s="4" t="s">
        <v>47</v>
      </c>
      <c r="X115" s="4" t="s">
        <v>58</v>
      </c>
      <c r="Y115" s="4" t="s">
        <v>509</v>
      </c>
      <c r="Z115" s="4" t="s">
        <v>312</v>
      </c>
      <c r="AA115" s="6" t="n">
        <v>0</v>
      </c>
      <c r="AB115" s="6" t="n">
        <v>8608.38</v>
      </c>
      <c r="AC115" s="6" t="n">
        <v>9199.45</v>
      </c>
      <c r="AD115" s="14" t="b">
        <f aca="false">FALSE()</f>
        <v>0</v>
      </c>
    </row>
    <row r="116" customFormat="false" ht="15" hidden="false" customHeight="false" outlineLevel="0" collapsed="false">
      <c r="A116" s="14" t="b">
        <f aca="false">TRUE()</f>
        <v>1</v>
      </c>
      <c r="B116" s="14" t="b">
        <f aca="false">FALSE()</f>
        <v>0</v>
      </c>
      <c r="C116" s="4" t="n">
        <v>3</v>
      </c>
      <c r="D116" s="4"/>
      <c r="E116" s="4"/>
      <c r="F116" s="4"/>
      <c r="G116" s="4" t="n">
        <v>3</v>
      </c>
      <c r="H116" s="14" t="b">
        <f aca="false">TRUE()</f>
        <v>1</v>
      </c>
      <c r="I116" s="14" t="b">
        <f aca="false">FALSE()</f>
        <v>0</v>
      </c>
      <c r="J116" s="4"/>
      <c r="K116" s="4" t="s">
        <v>510</v>
      </c>
      <c r="L116" s="4" t="s">
        <v>511</v>
      </c>
      <c r="M116" s="4" t="s">
        <v>512</v>
      </c>
      <c r="N116" s="6" t="n">
        <v>51121</v>
      </c>
      <c r="O116" s="6" t="n">
        <v>145807</v>
      </c>
      <c r="P116" s="4" t="s">
        <v>46</v>
      </c>
      <c r="Q116" s="6"/>
      <c r="R116" s="15"/>
      <c r="S116" s="6"/>
      <c r="T116" s="15"/>
      <c r="U116" s="6"/>
      <c r="V116" s="15"/>
      <c r="W116" s="4" t="s">
        <v>47</v>
      </c>
      <c r="X116" s="4" t="s">
        <v>47</v>
      </c>
      <c r="Y116" s="4" t="s">
        <v>513</v>
      </c>
      <c r="Z116" s="4" t="s">
        <v>312</v>
      </c>
      <c r="AA116" s="6" t="n">
        <v>0</v>
      </c>
      <c r="AB116" s="6" t="n">
        <v>12426.84</v>
      </c>
      <c r="AC116" s="6" t="n">
        <v>13275.65</v>
      </c>
      <c r="AD116" s="14" t="b">
        <f aca="false">FALSE()</f>
        <v>0</v>
      </c>
    </row>
    <row r="117" customFormat="false" ht="15" hidden="false" customHeight="false" outlineLevel="0" collapsed="false">
      <c r="A117" s="14" t="b">
        <f aca="false">TRUE()</f>
        <v>1</v>
      </c>
      <c r="B117" s="14" t="b">
        <f aca="false">FALSE()</f>
        <v>0</v>
      </c>
      <c r="C117" s="4" t="n">
        <v>2</v>
      </c>
      <c r="D117" s="4"/>
      <c r="E117" s="4"/>
      <c r="F117" s="4"/>
      <c r="G117" s="4"/>
      <c r="H117" s="14" t="b">
        <f aca="false">FALSE()</f>
        <v>0</v>
      </c>
      <c r="I117" s="14" t="b">
        <f aca="false">FALSE()</f>
        <v>0</v>
      </c>
      <c r="J117" s="4"/>
      <c r="K117" s="4" t="s">
        <v>514</v>
      </c>
      <c r="L117" s="4" t="s">
        <v>515</v>
      </c>
      <c r="M117" s="4" t="s">
        <v>516</v>
      </c>
      <c r="N117" s="6" t="n">
        <v>63248</v>
      </c>
      <c r="O117" s="6" t="n">
        <v>300625</v>
      </c>
      <c r="P117" s="4" t="s">
        <v>46</v>
      </c>
      <c r="Q117" s="6" t="n">
        <v>253000</v>
      </c>
      <c r="R117" s="15" t="n">
        <v>44069</v>
      </c>
      <c r="S117" s="6" t="n">
        <v>4250000</v>
      </c>
      <c r="T117" s="15" t="n">
        <v>44925</v>
      </c>
      <c r="U117" s="6" t="n">
        <v>850000</v>
      </c>
      <c r="V117" s="15" t="n">
        <v>44433</v>
      </c>
      <c r="W117" s="4" t="s">
        <v>47</v>
      </c>
      <c r="X117" s="4" t="s">
        <v>58</v>
      </c>
      <c r="Y117" s="4" t="s">
        <v>517</v>
      </c>
      <c r="Z117" s="4" t="s">
        <v>518</v>
      </c>
      <c r="AA117" s="6" t="n">
        <v>0</v>
      </c>
      <c r="AB117" s="6" t="n">
        <v>25199.08</v>
      </c>
      <c r="AC117" s="6" t="n">
        <v>13176.52</v>
      </c>
      <c r="AD117" s="14" t="b">
        <f aca="false">TRUE()</f>
        <v>1</v>
      </c>
    </row>
    <row r="118" customFormat="false" ht="15" hidden="false" customHeight="false" outlineLevel="0" collapsed="false">
      <c r="A118" s="14" t="b">
        <f aca="false">TRUE()</f>
        <v>1</v>
      </c>
      <c r="B118" s="14" t="b">
        <f aca="false">FALSE()</f>
        <v>0</v>
      </c>
      <c r="C118" s="4" t="n">
        <v>2</v>
      </c>
      <c r="D118" s="4"/>
      <c r="E118" s="4"/>
      <c r="F118" s="4"/>
      <c r="G118" s="4"/>
      <c r="H118" s="14" t="b">
        <f aca="false">FALSE()</f>
        <v>0</v>
      </c>
      <c r="I118" s="14" t="b">
        <f aca="false">FALSE()</f>
        <v>0</v>
      </c>
      <c r="J118" s="4"/>
      <c r="K118" s="4" t="s">
        <v>519</v>
      </c>
      <c r="L118" s="4" t="s">
        <v>520</v>
      </c>
      <c r="M118" s="4" t="s">
        <v>521</v>
      </c>
      <c r="N118" s="6" t="n">
        <v>41553</v>
      </c>
      <c r="O118" s="6" t="n">
        <v>67688</v>
      </c>
      <c r="P118" s="4" t="s">
        <v>46</v>
      </c>
      <c r="Q118" s="6" t="n">
        <v>430000</v>
      </c>
      <c r="R118" s="15" t="n">
        <v>45609</v>
      </c>
      <c r="S118" s="6"/>
      <c r="T118" s="15"/>
      <c r="U118" s="6"/>
      <c r="V118" s="15"/>
      <c r="W118" s="4" t="s">
        <v>47</v>
      </c>
      <c r="X118" s="4" t="s">
        <v>47</v>
      </c>
      <c r="Y118" s="4" t="s">
        <v>522</v>
      </c>
      <c r="Z118" s="4" t="s">
        <v>312</v>
      </c>
      <c r="AA118" s="6" t="n">
        <v>0</v>
      </c>
      <c r="AB118" s="6" t="n">
        <v>3776.94</v>
      </c>
      <c r="AC118" s="6" t="n">
        <v>4041.88</v>
      </c>
      <c r="AD118" s="14" t="b">
        <f aca="false">FALSE()</f>
        <v>0</v>
      </c>
    </row>
    <row r="119" customFormat="false" ht="15" hidden="false" customHeight="false" outlineLevel="0" collapsed="false">
      <c r="A119" s="14" t="b">
        <f aca="false">TRUE()</f>
        <v>1</v>
      </c>
      <c r="B119" s="14" t="b">
        <f aca="false">FALSE()</f>
        <v>0</v>
      </c>
      <c r="C119" s="4" t="n">
        <v>2</v>
      </c>
      <c r="D119" s="4"/>
      <c r="E119" s="4"/>
      <c r="F119" s="4"/>
      <c r="G119" s="4"/>
      <c r="H119" s="14" t="b">
        <f aca="false">FALSE()</f>
        <v>0</v>
      </c>
      <c r="I119" s="14" t="b">
        <f aca="false">FALSE()</f>
        <v>0</v>
      </c>
      <c r="J119" s="4"/>
      <c r="K119" s="4" t="s">
        <v>523</v>
      </c>
      <c r="L119" s="4" t="s">
        <v>524</v>
      </c>
      <c r="M119" s="4" t="s">
        <v>525</v>
      </c>
      <c r="N119" s="6" t="n">
        <v>41564</v>
      </c>
      <c r="O119" s="6" t="n">
        <v>140482</v>
      </c>
      <c r="P119" s="4" t="s">
        <v>46</v>
      </c>
      <c r="Q119" s="6" t="n">
        <v>315000</v>
      </c>
      <c r="R119" s="15" t="n">
        <v>37505</v>
      </c>
      <c r="S119" s="6"/>
      <c r="T119" s="15"/>
      <c r="U119" s="6"/>
      <c r="V119" s="15"/>
      <c r="W119" s="4" t="s">
        <v>47</v>
      </c>
      <c r="X119" s="4" t="s">
        <v>58</v>
      </c>
      <c r="Y119" s="4" t="s">
        <v>526</v>
      </c>
      <c r="Z119" s="4" t="s">
        <v>312</v>
      </c>
      <c r="AA119" s="6" t="n">
        <v>0</v>
      </c>
      <c r="AB119" s="6" t="n">
        <v>10409.52</v>
      </c>
      <c r="AC119" s="6" t="n">
        <v>5448.97</v>
      </c>
      <c r="AD119" s="14" t="b">
        <f aca="false">TRUE()</f>
        <v>1</v>
      </c>
    </row>
    <row r="120" customFormat="false" ht="15" hidden="false" customHeight="false" outlineLevel="0" collapsed="false">
      <c r="A120" s="14" t="b">
        <f aca="false">TRUE()</f>
        <v>1</v>
      </c>
      <c r="B120" s="14" t="b">
        <f aca="false">FALSE()</f>
        <v>0</v>
      </c>
      <c r="C120" s="4" t="n">
        <v>3</v>
      </c>
      <c r="D120" s="4"/>
      <c r="E120" s="4"/>
      <c r="F120" s="4"/>
      <c r="G120" s="4" t="n">
        <v>3</v>
      </c>
      <c r="H120" s="14" t="b">
        <f aca="false">TRUE()</f>
        <v>1</v>
      </c>
      <c r="I120" s="14" t="b">
        <f aca="false">FALSE()</f>
        <v>0</v>
      </c>
      <c r="J120" s="4"/>
      <c r="K120" s="4" t="s">
        <v>527</v>
      </c>
      <c r="L120" s="4" t="s">
        <v>528</v>
      </c>
      <c r="M120" s="4" t="s">
        <v>529</v>
      </c>
      <c r="N120" s="6" t="n">
        <v>65632</v>
      </c>
      <c r="O120" s="6" t="n">
        <v>124342</v>
      </c>
      <c r="P120" s="4" t="s">
        <v>46</v>
      </c>
      <c r="Q120" s="6"/>
      <c r="R120" s="15" t="n">
        <v>43231</v>
      </c>
      <c r="S120" s="6" t="n">
        <v>150000</v>
      </c>
      <c r="T120" s="15" t="n">
        <v>43231</v>
      </c>
      <c r="U120" s="6"/>
      <c r="V120" s="15"/>
      <c r="W120" s="4" t="s">
        <v>47</v>
      </c>
      <c r="X120" s="4" t="s">
        <v>47</v>
      </c>
      <c r="Y120" s="4" t="s">
        <v>530</v>
      </c>
      <c r="Z120" s="4" t="s">
        <v>531</v>
      </c>
      <c r="AA120" s="6" t="n">
        <v>0</v>
      </c>
      <c r="AB120" s="6" t="n">
        <v>11445.44</v>
      </c>
      <c r="AC120" s="6" t="n">
        <v>12228</v>
      </c>
      <c r="AD120" s="14" t="b">
        <f aca="false">FALSE()</f>
        <v>0</v>
      </c>
    </row>
    <row r="121" customFormat="false" ht="15" hidden="false" customHeight="false" outlineLevel="0" collapsed="false">
      <c r="A121" s="14" t="b">
        <f aca="false">TRUE()</f>
        <v>1</v>
      </c>
      <c r="B121" s="14" t="b">
        <f aca="false">FALSE()</f>
        <v>0</v>
      </c>
      <c r="C121" s="4" t="n">
        <v>2</v>
      </c>
      <c r="D121" s="4"/>
      <c r="E121" s="4"/>
      <c r="F121" s="4"/>
      <c r="G121" s="4"/>
      <c r="H121" s="14" t="b">
        <f aca="false">FALSE()</f>
        <v>0</v>
      </c>
      <c r="I121" s="14" t="b">
        <f aca="false">FALSE()</f>
        <v>0</v>
      </c>
      <c r="J121" s="4"/>
      <c r="K121" s="4" t="s">
        <v>532</v>
      </c>
      <c r="L121" s="4" t="s">
        <v>533</v>
      </c>
      <c r="M121" s="4" t="s">
        <v>534</v>
      </c>
      <c r="N121" s="6" t="n">
        <v>84025</v>
      </c>
      <c r="O121" s="6" t="n">
        <v>153331</v>
      </c>
      <c r="P121" s="4" t="s">
        <v>46</v>
      </c>
      <c r="Q121" s="6"/>
      <c r="R121" s="15" t="n">
        <v>36763</v>
      </c>
      <c r="S121" s="6"/>
      <c r="T121" s="15"/>
      <c r="U121" s="6"/>
      <c r="V121" s="15"/>
      <c r="W121" s="4" t="s">
        <v>47</v>
      </c>
      <c r="X121" s="4" t="s">
        <v>47</v>
      </c>
      <c r="Y121" s="4" t="s">
        <v>535</v>
      </c>
      <c r="Z121" s="4" t="s">
        <v>531</v>
      </c>
      <c r="AA121" s="6" t="n">
        <v>0</v>
      </c>
      <c r="AB121" s="6" t="n">
        <v>15038.48</v>
      </c>
      <c r="AC121" s="6" t="n">
        <v>7867.61</v>
      </c>
      <c r="AD121" s="14" t="b">
        <f aca="false">TRUE()</f>
        <v>1</v>
      </c>
    </row>
    <row r="122" customFormat="false" ht="15" hidden="false" customHeight="false" outlineLevel="0" collapsed="false">
      <c r="A122" s="14" t="b">
        <f aca="false">TRUE()</f>
        <v>1</v>
      </c>
      <c r="B122" s="14" t="b">
        <f aca="false">FALSE()</f>
        <v>0</v>
      </c>
      <c r="C122" s="4" t="n">
        <v>3</v>
      </c>
      <c r="D122" s="4"/>
      <c r="E122" s="4"/>
      <c r="F122" s="4"/>
      <c r="G122" s="4"/>
      <c r="H122" s="14" t="b">
        <f aca="false">FALSE()</f>
        <v>0</v>
      </c>
      <c r="I122" s="14" t="b">
        <f aca="false">FALSE()</f>
        <v>0</v>
      </c>
      <c r="J122" s="4"/>
      <c r="K122" s="4" t="s">
        <v>536</v>
      </c>
      <c r="L122" s="4" t="s">
        <v>537</v>
      </c>
      <c r="M122" s="4" t="s">
        <v>538</v>
      </c>
      <c r="N122" s="6" t="n">
        <v>88202</v>
      </c>
      <c r="O122" s="6" t="n">
        <v>155627</v>
      </c>
      <c r="P122" s="4" t="s">
        <v>46</v>
      </c>
      <c r="Q122" s="6" t="n">
        <v>810000</v>
      </c>
      <c r="R122" s="15" t="n">
        <v>45783</v>
      </c>
      <c r="S122" s="6"/>
      <c r="T122" s="15"/>
      <c r="U122" s="6"/>
      <c r="V122" s="15"/>
      <c r="W122" s="4" t="s">
        <v>58</v>
      </c>
      <c r="X122" s="4" t="s">
        <v>58</v>
      </c>
      <c r="Y122" s="4" t="s">
        <v>539</v>
      </c>
      <c r="Z122" s="4" t="s">
        <v>531</v>
      </c>
      <c r="AA122" s="6" t="n">
        <v>0</v>
      </c>
      <c r="AB122" s="6" t="n">
        <v>16565.26</v>
      </c>
      <c r="AC122" s="6" t="n">
        <v>17693.42</v>
      </c>
      <c r="AD122" s="14" t="b">
        <f aca="false">FALSE()</f>
        <v>0</v>
      </c>
    </row>
    <row r="123" customFormat="false" ht="15" hidden="false" customHeight="false" outlineLevel="0" collapsed="false">
      <c r="A123" s="14" t="b">
        <f aca="false">TRUE()</f>
        <v>1</v>
      </c>
      <c r="B123" s="14" t="b">
        <f aca="false">FALSE()</f>
        <v>0</v>
      </c>
      <c r="C123" s="4" t="n">
        <v>2</v>
      </c>
      <c r="D123" s="4"/>
      <c r="E123" s="4"/>
      <c r="F123" s="4"/>
      <c r="G123" s="4"/>
      <c r="H123" s="14" t="b">
        <f aca="false">FALSE()</f>
        <v>0</v>
      </c>
      <c r="I123" s="14" t="b">
        <f aca="false">FALSE()</f>
        <v>0</v>
      </c>
      <c r="J123" s="4"/>
      <c r="K123" s="4" t="s">
        <v>540</v>
      </c>
      <c r="L123" s="4" t="s">
        <v>541</v>
      </c>
      <c r="M123" s="4" t="s">
        <v>542</v>
      </c>
      <c r="N123" s="6" t="n">
        <v>31373</v>
      </c>
      <c r="O123" s="6" t="n">
        <v>142888</v>
      </c>
      <c r="P123" s="4" t="s">
        <v>46</v>
      </c>
      <c r="Q123" s="6" t="n">
        <v>280000</v>
      </c>
      <c r="R123" s="15" t="n">
        <v>41653</v>
      </c>
      <c r="S123" s="6"/>
      <c r="T123" s="15"/>
      <c r="U123" s="6"/>
      <c r="V123" s="15"/>
      <c r="W123" s="4" t="s">
        <v>58</v>
      </c>
      <c r="X123" s="4" t="s">
        <v>47</v>
      </c>
      <c r="Y123" s="4" t="s">
        <v>543</v>
      </c>
      <c r="Z123" s="4" t="s">
        <v>531</v>
      </c>
      <c r="AA123" s="6" t="n">
        <v>0</v>
      </c>
      <c r="AB123" s="6" t="n">
        <v>10299.68</v>
      </c>
      <c r="AC123" s="6" t="n">
        <v>5391.58</v>
      </c>
      <c r="AD123" s="14" t="b">
        <f aca="false">TRUE()</f>
        <v>1</v>
      </c>
    </row>
    <row r="124" customFormat="false" ht="15" hidden="false" customHeight="false" outlineLevel="0" collapsed="false">
      <c r="A124" s="14" t="b">
        <f aca="false">TRUE()</f>
        <v>1</v>
      </c>
      <c r="B124" s="14" t="b">
        <f aca="false">FALSE()</f>
        <v>0</v>
      </c>
      <c r="C124" s="4" t="n">
        <v>2</v>
      </c>
      <c r="D124" s="4"/>
      <c r="E124" s="4"/>
      <c r="F124" s="4"/>
      <c r="G124" s="4"/>
      <c r="H124" s="14" t="b">
        <f aca="false">FALSE()</f>
        <v>0</v>
      </c>
      <c r="I124" s="14" t="b">
        <f aca="false">FALSE()</f>
        <v>0</v>
      </c>
      <c r="J124" s="4"/>
      <c r="K124" s="4" t="s">
        <v>544</v>
      </c>
      <c r="L124" s="4" t="s">
        <v>545</v>
      </c>
      <c r="M124" s="4" t="s">
        <v>546</v>
      </c>
      <c r="N124" s="6" t="n">
        <v>69426</v>
      </c>
      <c r="O124" s="6" t="n">
        <v>131504</v>
      </c>
      <c r="P124" s="4" t="s">
        <v>46</v>
      </c>
      <c r="Q124" s="6" t="n">
        <v>385000</v>
      </c>
      <c r="R124" s="15" t="n">
        <v>44264</v>
      </c>
      <c r="S124" s="6"/>
      <c r="T124" s="15"/>
      <c r="U124" s="6"/>
      <c r="V124" s="15"/>
      <c r="W124" s="4" t="s">
        <v>47</v>
      </c>
      <c r="X124" s="4" t="s">
        <v>47</v>
      </c>
      <c r="Y124" s="4" t="s">
        <v>547</v>
      </c>
      <c r="Z124" s="4" t="s">
        <v>312</v>
      </c>
      <c r="AA124" s="6" t="n">
        <v>0</v>
      </c>
      <c r="AB124" s="6" t="n">
        <v>11538.98</v>
      </c>
      <c r="AC124" s="6" t="n">
        <v>6039.12</v>
      </c>
      <c r="AD124" s="14" t="b">
        <f aca="false">TRUE()</f>
        <v>1</v>
      </c>
    </row>
    <row r="125" customFormat="false" ht="15" hidden="false" customHeight="false" outlineLevel="0" collapsed="false">
      <c r="A125" s="14" t="b">
        <f aca="false">TRUE()</f>
        <v>1</v>
      </c>
      <c r="B125" s="14" t="b">
        <f aca="false">FALSE()</f>
        <v>0</v>
      </c>
      <c r="C125" s="4" t="n">
        <v>3</v>
      </c>
      <c r="D125" s="4"/>
      <c r="E125" s="4"/>
      <c r="F125" s="4"/>
      <c r="G125" s="4" t="n">
        <v>2</v>
      </c>
      <c r="H125" s="14" t="b">
        <f aca="false">FALSE()</f>
        <v>0</v>
      </c>
      <c r="I125" s="14" t="b">
        <f aca="false">FALSE()</f>
        <v>0</v>
      </c>
      <c r="J125" s="4"/>
      <c r="K125" s="4" t="s">
        <v>548</v>
      </c>
      <c r="L125" s="4" t="s">
        <v>549</v>
      </c>
      <c r="M125" s="4" t="s">
        <v>550</v>
      </c>
      <c r="N125" s="6" t="n">
        <v>32444</v>
      </c>
      <c r="O125" s="6" t="n">
        <v>93593</v>
      </c>
      <c r="P125" s="4" t="s">
        <v>46</v>
      </c>
      <c r="Q125" s="6"/>
      <c r="R125" s="15" t="n">
        <v>43082</v>
      </c>
      <c r="S125" s="6" t="n">
        <v>165500</v>
      </c>
      <c r="T125" s="15" t="n">
        <v>43880</v>
      </c>
      <c r="U125" s="6" t="n">
        <v>145000</v>
      </c>
      <c r="V125" s="15" t="n">
        <v>45938</v>
      </c>
      <c r="W125" s="4" t="s">
        <v>47</v>
      </c>
      <c r="X125" s="4" t="s">
        <v>47</v>
      </c>
      <c r="Y125" s="4" t="s">
        <v>551</v>
      </c>
      <c r="Z125" s="4" t="s">
        <v>518</v>
      </c>
      <c r="AA125" s="6" t="n">
        <v>0</v>
      </c>
      <c r="AB125" s="6" t="n">
        <v>8738.88</v>
      </c>
      <c r="AC125" s="6" t="n">
        <v>9338.75</v>
      </c>
      <c r="AD125" s="14" t="b">
        <f aca="false">FALSE()</f>
        <v>0</v>
      </c>
    </row>
    <row r="126" customFormat="false" ht="15" hidden="false" customHeight="false" outlineLevel="0" collapsed="false">
      <c r="A126" s="14" t="b">
        <f aca="false">TRUE()</f>
        <v>1</v>
      </c>
      <c r="B126" s="14" t="b">
        <f aca="false">FALSE()</f>
        <v>0</v>
      </c>
      <c r="C126" s="4" t="n">
        <v>3</v>
      </c>
      <c r="D126" s="4"/>
      <c r="E126" s="4"/>
      <c r="F126" s="4"/>
      <c r="G126" s="4"/>
      <c r="H126" s="14" t="b">
        <f aca="false">FALSE()</f>
        <v>0</v>
      </c>
      <c r="I126" s="14" t="b">
        <f aca="false">FALSE()</f>
        <v>0</v>
      </c>
      <c r="J126" s="4"/>
      <c r="K126" s="4" t="s">
        <v>552</v>
      </c>
      <c r="L126" s="4" t="s">
        <v>553</v>
      </c>
      <c r="M126" s="4" t="s">
        <v>554</v>
      </c>
      <c r="N126" s="6" t="n">
        <v>34806</v>
      </c>
      <c r="O126" s="6" t="n">
        <v>92816</v>
      </c>
      <c r="P126" s="4" t="s">
        <v>46</v>
      </c>
      <c r="Q126" s="6" t="n">
        <v>277000</v>
      </c>
      <c r="R126" s="15" t="n">
        <v>42178</v>
      </c>
      <c r="S126" s="6" t="n">
        <v>342383</v>
      </c>
      <c r="T126" s="15" t="n">
        <v>45559</v>
      </c>
      <c r="U126" s="6"/>
      <c r="V126" s="15"/>
      <c r="W126" s="4" t="s">
        <v>47</v>
      </c>
      <c r="X126" s="4" t="s">
        <v>58</v>
      </c>
      <c r="Y126" s="4" t="s">
        <v>555</v>
      </c>
      <c r="Z126" s="4" t="s">
        <v>518</v>
      </c>
      <c r="AA126" s="6" t="n">
        <v>0</v>
      </c>
      <c r="AB126" s="6" t="n">
        <v>8856.2</v>
      </c>
      <c r="AC126" s="6" t="n">
        <v>9463.99</v>
      </c>
      <c r="AD126" s="14" t="b">
        <f aca="false">FALSE()</f>
        <v>0</v>
      </c>
    </row>
    <row r="127" customFormat="false" ht="15" hidden="false" customHeight="false" outlineLevel="0" collapsed="false">
      <c r="A127" s="14" t="b">
        <f aca="false">TRUE()</f>
        <v>1</v>
      </c>
      <c r="B127" s="14" t="b">
        <f aca="false">FALSE()</f>
        <v>0</v>
      </c>
      <c r="C127" s="4" t="n">
        <v>2</v>
      </c>
      <c r="D127" s="4"/>
      <c r="E127" s="4"/>
      <c r="F127" s="4"/>
      <c r="G127" s="4"/>
      <c r="H127" s="14" t="b">
        <f aca="false">TRUE()</f>
        <v>1</v>
      </c>
      <c r="I127" s="14" t="b">
        <f aca="false">FALSE()</f>
        <v>0</v>
      </c>
      <c r="J127" s="4"/>
      <c r="K127" s="4" t="s">
        <v>556</v>
      </c>
      <c r="L127" s="4" t="s">
        <v>557</v>
      </c>
      <c r="M127" s="4" t="s">
        <v>558</v>
      </c>
      <c r="N127" s="6" t="n">
        <v>34806</v>
      </c>
      <c r="O127" s="6" t="n">
        <v>83839</v>
      </c>
      <c r="P127" s="4" t="s">
        <v>46</v>
      </c>
      <c r="Q127" s="6" t="n">
        <v>176500</v>
      </c>
      <c r="R127" s="15" t="n">
        <v>35611</v>
      </c>
      <c r="S127" s="6"/>
      <c r="T127" s="15"/>
      <c r="U127" s="6"/>
      <c r="V127" s="15"/>
      <c r="W127" s="4" t="s">
        <v>47</v>
      </c>
      <c r="X127" s="4" t="s">
        <v>47</v>
      </c>
      <c r="Y127" s="4" t="s">
        <v>559</v>
      </c>
      <c r="Z127" s="4" t="s">
        <v>518</v>
      </c>
      <c r="AA127" s="6" t="n">
        <v>0</v>
      </c>
      <c r="AB127" s="6" t="n">
        <v>7599.34</v>
      </c>
      <c r="AC127" s="6" t="n">
        <v>3980.66</v>
      </c>
      <c r="AD127" s="14" t="b">
        <f aca="false">TRUE()</f>
        <v>1</v>
      </c>
    </row>
    <row r="128" customFormat="false" ht="15" hidden="false" customHeight="false" outlineLevel="0" collapsed="false">
      <c r="A128" s="14" t="b">
        <f aca="false">TRUE()</f>
        <v>1</v>
      </c>
      <c r="B128" s="14" t="b">
        <f aca="false">FALSE()</f>
        <v>0</v>
      </c>
      <c r="C128" s="4" t="n">
        <v>2</v>
      </c>
      <c r="D128" s="4"/>
      <c r="E128" s="4"/>
      <c r="F128" s="4"/>
      <c r="G128" s="4"/>
      <c r="H128" s="14" t="b">
        <f aca="false">FALSE()</f>
        <v>0</v>
      </c>
      <c r="I128" s="14" t="b">
        <f aca="false">FALSE()</f>
        <v>0</v>
      </c>
      <c r="J128" s="4"/>
      <c r="K128" s="4" t="s">
        <v>560</v>
      </c>
      <c r="L128" s="4" t="s">
        <v>561</v>
      </c>
      <c r="M128" s="4" t="s">
        <v>562</v>
      </c>
      <c r="N128" s="6" t="n">
        <v>34806</v>
      </c>
      <c r="O128" s="6" t="n">
        <v>107764</v>
      </c>
      <c r="P128" s="4" t="s">
        <v>46</v>
      </c>
      <c r="Q128" s="6" t="n">
        <v>830000</v>
      </c>
      <c r="R128" s="15" t="n">
        <v>45012</v>
      </c>
      <c r="S128" s="6" t="n">
        <v>332000</v>
      </c>
      <c r="T128" s="15" t="n">
        <v>45012</v>
      </c>
      <c r="U128" s="6"/>
      <c r="V128" s="15"/>
      <c r="W128" s="4" t="s">
        <v>47</v>
      </c>
      <c r="X128" s="4" t="s">
        <v>58</v>
      </c>
      <c r="Y128" s="4" t="s">
        <v>563</v>
      </c>
      <c r="Z128" s="4" t="s">
        <v>518</v>
      </c>
      <c r="AA128" s="6" t="n">
        <v>0</v>
      </c>
      <c r="AB128" s="6" t="n">
        <v>9962.9</v>
      </c>
      <c r="AC128" s="6" t="n">
        <v>5215.62</v>
      </c>
      <c r="AD128" s="14" t="b">
        <f aca="false">TRUE()</f>
        <v>1</v>
      </c>
    </row>
    <row r="129" customFormat="false" ht="15" hidden="false" customHeight="false" outlineLevel="0" collapsed="false">
      <c r="A129" s="14" t="b">
        <f aca="false">TRUE()</f>
        <v>1</v>
      </c>
      <c r="B129" s="14" t="b">
        <f aca="false">FALSE()</f>
        <v>0</v>
      </c>
      <c r="C129" s="4" t="n">
        <v>2</v>
      </c>
      <c r="D129" s="4"/>
      <c r="E129" s="4"/>
      <c r="F129" s="4"/>
      <c r="G129" s="4"/>
      <c r="H129" s="14" t="b">
        <f aca="false">FALSE()</f>
        <v>0</v>
      </c>
      <c r="I129" s="14" t="b">
        <f aca="false">FALSE()</f>
        <v>0</v>
      </c>
      <c r="J129" s="4"/>
      <c r="K129" s="4" t="s">
        <v>564</v>
      </c>
      <c r="L129" s="4" t="s">
        <v>565</v>
      </c>
      <c r="M129" s="4" t="s">
        <v>566</v>
      </c>
      <c r="N129" s="6" t="n">
        <v>9142</v>
      </c>
      <c r="O129" s="6" t="n">
        <v>51788</v>
      </c>
      <c r="P129" s="4" t="s">
        <v>46</v>
      </c>
      <c r="Q129" s="6" t="n">
        <v>145000</v>
      </c>
      <c r="R129" s="15" t="n">
        <v>37754</v>
      </c>
      <c r="S129" s="6"/>
      <c r="T129" s="15"/>
      <c r="U129" s="6"/>
      <c r="V129" s="15"/>
      <c r="W129" s="4" t="s">
        <v>58</v>
      </c>
      <c r="X129" s="4" t="s">
        <v>47</v>
      </c>
      <c r="Y129" s="4" t="s">
        <v>567</v>
      </c>
      <c r="Z129" s="4" t="s">
        <v>518</v>
      </c>
      <c r="AA129" s="6" t="n">
        <v>0</v>
      </c>
      <c r="AB129" s="6" t="n">
        <v>3918.7</v>
      </c>
      <c r="AC129" s="6" t="n">
        <v>4193.21</v>
      </c>
      <c r="AD129" s="14" t="b">
        <f aca="false">FALSE()</f>
        <v>0</v>
      </c>
    </row>
    <row r="130" customFormat="false" ht="15" hidden="false" customHeight="false" outlineLevel="0" collapsed="false">
      <c r="A130" s="14" t="b">
        <f aca="false">TRUE()</f>
        <v>1</v>
      </c>
      <c r="B130" s="14" t="b">
        <f aca="false">FALSE()</f>
        <v>0</v>
      </c>
      <c r="C130" s="4" t="n">
        <v>2</v>
      </c>
      <c r="D130" s="4"/>
      <c r="E130" s="4"/>
      <c r="F130" s="4"/>
      <c r="G130" s="4"/>
      <c r="H130" s="14" t="b">
        <f aca="false">TRUE()</f>
        <v>1</v>
      </c>
      <c r="I130" s="14" t="b">
        <f aca="false">FALSE()</f>
        <v>0</v>
      </c>
      <c r="J130" s="4"/>
      <c r="K130" s="4" t="s">
        <v>568</v>
      </c>
      <c r="L130" s="4" t="s">
        <v>569</v>
      </c>
      <c r="M130" s="4" t="s">
        <v>570</v>
      </c>
      <c r="N130" s="6" t="n">
        <v>41651</v>
      </c>
      <c r="O130" s="6" t="n">
        <v>128322</v>
      </c>
      <c r="P130" s="4" t="s">
        <v>46</v>
      </c>
      <c r="Q130" s="6" t="n">
        <v>320000</v>
      </c>
      <c r="R130" s="15" t="n">
        <v>40668</v>
      </c>
      <c r="S130" s="6"/>
      <c r="T130" s="15"/>
      <c r="U130" s="6"/>
      <c r="V130" s="15"/>
      <c r="W130" s="4" t="s">
        <v>47</v>
      </c>
      <c r="X130" s="4" t="s">
        <v>58</v>
      </c>
      <c r="Y130" s="4" t="s">
        <v>571</v>
      </c>
      <c r="Z130" s="4" t="s">
        <v>518</v>
      </c>
      <c r="AA130" s="6" t="n">
        <v>0</v>
      </c>
      <c r="AB130" s="6" t="n">
        <v>13718.96</v>
      </c>
      <c r="AC130" s="6" t="n">
        <v>7178.16</v>
      </c>
      <c r="AD130" s="14" t="b">
        <f aca="false">TRUE()</f>
        <v>1</v>
      </c>
    </row>
    <row r="131" customFormat="false" ht="15" hidden="false" customHeight="false" outlineLevel="0" collapsed="false">
      <c r="A131" s="14" t="b">
        <f aca="false">TRUE()</f>
        <v>1</v>
      </c>
      <c r="B131" s="14" t="b">
        <f aca="false">FALSE()</f>
        <v>0</v>
      </c>
      <c r="C131" s="4" t="n">
        <v>3</v>
      </c>
      <c r="D131" s="4"/>
      <c r="E131" s="4"/>
      <c r="F131" s="4"/>
      <c r="G131" s="4"/>
      <c r="H131" s="14" t="b">
        <f aca="false">FALSE()</f>
        <v>0</v>
      </c>
      <c r="I131" s="14" t="b">
        <f aca="false">FALSE()</f>
        <v>0</v>
      </c>
      <c r="J131" s="4"/>
      <c r="K131" s="4" t="s">
        <v>572</v>
      </c>
      <c r="L131" s="4" t="s">
        <v>573</v>
      </c>
      <c r="M131" s="4" t="s">
        <v>574</v>
      </c>
      <c r="N131" s="6" t="n">
        <v>21695</v>
      </c>
      <c r="O131" s="6" t="n">
        <v>107250</v>
      </c>
      <c r="P131" s="4" t="s">
        <v>46</v>
      </c>
      <c r="Q131" s="6" t="n">
        <v>292000</v>
      </c>
      <c r="R131" s="15" t="n">
        <v>37242</v>
      </c>
      <c r="S131" s="6" t="n">
        <v>102000</v>
      </c>
      <c r="T131" s="15" t="n">
        <v>44011</v>
      </c>
      <c r="U131" s="6"/>
      <c r="V131" s="15"/>
      <c r="W131" s="4" t="s">
        <v>47</v>
      </c>
      <c r="X131" s="4" t="s">
        <v>47</v>
      </c>
      <c r="Y131" s="4" t="s">
        <v>575</v>
      </c>
      <c r="Z131" s="4" t="s">
        <v>518</v>
      </c>
      <c r="AA131" s="6" t="n">
        <v>0</v>
      </c>
      <c r="AB131" s="6" t="n">
        <v>8361.9</v>
      </c>
      <c r="AC131" s="6" t="n">
        <v>8936.33</v>
      </c>
      <c r="AD131" s="14" t="b">
        <f aca="false">FALSE()</f>
        <v>0</v>
      </c>
    </row>
    <row r="132" customFormat="false" ht="15" hidden="false" customHeight="false" outlineLevel="0" collapsed="false">
      <c r="A132" s="14" t="b">
        <f aca="false">TRUE()</f>
        <v>1</v>
      </c>
      <c r="B132" s="14" t="b">
        <f aca="false">FALSE()</f>
        <v>0</v>
      </c>
      <c r="C132" s="4" t="n">
        <v>2</v>
      </c>
      <c r="D132" s="4"/>
      <c r="E132" s="4"/>
      <c r="F132" s="4"/>
      <c r="G132" s="4"/>
      <c r="H132" s="14" t="b">
        <f aca="false">FALSE()</f>
        <v>0</v>
      </c>
      <c r="I132" s="14" t="b">
        <f aca="false">FALSE()</f>
        <v>0</v>
      </c>
      <c r="J132" s="4"/>
      <c r="K132" s="4" t="s">
        <v>576</v>
      </c>
      <c r="L132" s="4" t="s">
        <v>577</v>
      </c>
      <c r="M132" s="4" t="s">
        <v>578</v>
      </c>
      <c r="N132" s="6" t="n">
        <v>40285</v>
      </c>
      <c r="O132" s="6" t="n">
        <v>125895</v>
      </c>
      <c r="P132" s="4" t="s">
        <v>46</v>
      </c>
      <c r="Q132" s="6"/>
      <c r="R132" s="15" t="n">
        <v>42961</v>
      </c>
      <c r="S132" s="6" t="n">
        <v>315000</v>
      </c>
      <c r="T132" s="15" t="n">
        <v>43214</v>
      </c>
      <c r="U132" s="6" t="n">
        <v>100000</v>
      </c>
      <c r="V132" s="15" t="n">
        <v>45653</v>
      </c>
      <c r="W132" s="4" t="s">
        <v>47</v>
      </c>
      <c r="X132" s="4" t="s">
        <v>47</v>
      </c>
      <c r="Y132" s="4" t="s">
        <v>579</v>
      </c>
      <c r="Z132" s="4" t="s">
        <v>518</v>
      </c>
      <c r="AA132" s="6" t="n">
        <v>0</v>
      </c>
      <c r="AB132" s="6" t="n">
        <v>11710.86</v>
      </c>
      <c r="AC132" s="6" t="n">
        <v>6128.92</v>
      </c>
      <c r="AD132" s="14" t="b">
        <f aca="false">TRUE()</f>
        <v>1</v>
      </c>
    </row>
    <row r="133" customFormat="false" ht="15" hidden="false" customHeight="false" outlineLevel="0" collapsed="false">
      <c r="A133" s="14" t="b">
        <f aca="false">TRUE()</f>
        <v>1</v>
      </c>
      <c r="B133" s="14" t="b">
        <f aca="false">FALSE()</f>
        <v>0</v>
      </c>
      <c r="C133" s="4" t="n">
        <v>3</v>
      </c>
      <c r="D133" s="4"/>
      <c r="E133" s="4"/>
      <c r="F133" s="4"/>
      <c r="G133" s="4"/>
      <c r="H133" s="14" t="b">
        <f aca="false">FALSE()</f>
        <v>0</v>
      </c>
      <c r="I133" s="14" t="b">
        <f aca="false">FALSE()</f>
        <v>0</v>
      </c>
      <c r="J133" s="4"/>
      <c r="K133" s="4" t="s">
        <v>580</v>
      </c>
      <c r="L133" s="4" t="s">
        <v>581</v>
      </c>
      <c r="M133" s="4" t="s">
        <v>582</v>
      </c>
      <c r="N133" s="6" t="n">
        <v>31263</v>
      </c>
      <c r="O133" s="6" t="n">
        <v>96950</v>
      </c>
      <c r="P133" s="4" t="s">
        <v>46</v>
      </c>
      <c r="Q133" s="6" t="n">
        <v>224000</v>
      </c>
      <c r="R133" s="15" t="n">
        <v>36088</v>
      </c>
      <c r="S133" s="6" t="n">
        <v>38512.08</v>
      </c>
      <c r="T133" s="15" t="n">
        <v>39009</v>
      </c>
      <c r="U133" s="6"/>
      <c r="V133" s="15"/>
      <c r="W133" s="4" t="s">
        <v>47</v>
      </c>
      <c r="X133" s="4" t="s">
        <v>47</v>
      </c>
      <c r="Y133" s="4" t="s">
        <v>583</v>
      </c>
      <c r="Z133" s="4" t="s">
        <v>518</v>
      </c>
      <c r="AA133" s="6" t="n">
        <v>0</v>
      </c>
      <c r="AB133" s="6" t="n">
        <v>9504.34</v>
      </c>
      <c r="AC133" s="6" t="n">
        <v>10155.89</v>
      </c>
      <c r="AD133" s="14" t="b">
        <f aca="false">FALSE()</f>
        <v>0</v>
      </c>
    </row>
    <row r="134" customFormat="false" ht="15" hidden="false" customHeight="false" outlineLevel="0" collapsed="false">
      <c r="A134" s="14" t="b">
        <f aca="false">TRUE()</f>
        <v>1</v>
      </c>
      <c r="B134" s="14" t="b">
        <f aca="false">FALSE()</f>
        <v>0</v>
      </c>
      <c r="C134" s="4" t="n">
        <v>2</v>
      </c>
      <c r="D134" s="4"/>
      <c r="E134" s="4"/>
      <c r="F134" s="4"/>
      <c r="G134" s="4" t="n">
        <v>3</v>
      </c>
      <c r="H134" s="14" t="b">
        <f aca="false">FALSE()</f>
        <v>0</v>
      </c>
      <c r="I134" s="14" t="b">
        <f aca="false">FALSE()</f>
        <v>0</v>
      </c>
      <c r="J134" s="4"/>
      <c r="K134" s="4" t="s">
        <v>584</v>
      </c>
      <c r="L134" s="4" t="s">
        <v>585</v>
      </c>
      <c r="M134" s="4" t="s">
        <v>586</v>
      </c>
      <c r="N134" s="6" t="n">
        <v>23773</v>
      </c>
      <c r="O134" s="6" t="n">
        <v>118286</v>
      </c>
      <c r="P134" s="4" t="s">
        <v>46</v>
      </c>
      <c r="Q134" s="6" t="n">
        <v>426500</v>
      </c>
      <c r="R134" s="15" t="n">
        <v>44580</v>
      </c>
      <c r="S134" s="6" t="n">
        <v>383500</v>
      </c>
      <c r="T134" s="15" t="n">
        <v>44580</v>
      </c>
      <c r="U134" s="6"/>
      <c r="V134" s="15"/>
      <c r="W134" s="4" t="s">
        <v>47</v>
      </c>
      <c r="X134" s="4" t="s">
        <v>47</v>
      </c>
      <c r="Y134" s="4" t="s">
        <v>587</v>
      </c>
      <c r="Z134" s="4" t="s">
        <v>518</v>
      </c>
      <c r="AA134" s="6" t="n">
        <v>0</v>
      </c>
      <c r="AB134" s="6" t="n">
        <v>11354.66</v>
      </c>
      <c r="AC134" s="6" t="n">
        <v>5942.81</v>
      </c>
      <c r="AD134" s="14" t="b">
        <f aca="false">TRUE()</f>
        <v>1</v>
      </c>
    </row>
    <row r="135" customFormat="false" ht="15" hidden="false" customHeight="false" outlineLevel="0" collapsed="false">
      <c r="A135" s="14" t="b">
        <f aca="false">TRUE()</f>
        <v>1</v>
      </c>
      <c r="B135" s="14" t="b">
        <f aca="false">FALSE()</f>
        <v>0</v>
      </c>
      <c r="C135" s="4" t="n">
        <v>3</v>
      </c>
      <c r="D135" s="4"/>
      <c r="E135" s="4"/>
      <c r="F135" s="4"/>
      <c r="G135" s="4" t="n">
        <v>3</v>
      </c>
      <c r="H135" s="14" t="b">
        <f aca="false">FALSE()</f>
        <v>0</v>
      </c>
      <c r="I135" s="14" t="b">
        <f aca="false">FALSE()</f>
        <v>0</v>
      </c>
      <c r="J135" s="4"/>
      <c r="K135" s="4" t="s">
        <v>588</v>
      </c>
      <c r="L135" s="4" t="s">
        <v>589</v>
      </c>
      <c r="M135" s="4" t="s">
        <v>590</v>
      </c>
      <c r="N135" s="6" t="n">
        <v>42745</v>
      </c>
      <c r="O135" s="6" t="n">
        <v>136622</v>
      </c>
      <c r="P135" s="4" t="s">
        <v>46</v>
      </c>
      <c r="Q135" s="6" t="n">
        <v>295000</v>
      </c>
      <c r="R135" s="15" t="n">
        <v>42598</v>
      </c>
      <c r="S135" s="6" t="n">
        <v>232000</v>
      </c>
      <c r="T135" s="15" t="n">
        <v>42598</v>
      </c>
      <c r="U135" s="6"/>
      <c r="V135" s="15"/>
      <c r="W135" s="4" t="s">
        <v>47</v>
      </c>
      <c r="X135" s="4" t="s">
        <v>58</v>
      </c>
      <c r="Y135" s="4" t="s">
        <v>591</v>
      </c>
      <c r="Z135" s="4" t="s">
        <v>518</v>
      </c>
      <c r="AA135" s="6" t="n">
        <v>0</v>
      </c>
      <c r="AB135" s="6" t="n">
        <v>12264.14</v>
      </c>
      <c r="AC135" s="6" t="n">
        <v>12734.04</v>
      </c>
      <c r="AD135" s="14" t="b">
        <f aca="false">FALSE()</f>
        <v>0</v>
      </c>
    </row>
    <row r="136" customFormat="false" ht="15" hidden="false" customHeight="false" outlineLevel="0" collapsed="false">
      <c r="A136" s="14" t="b">
        <f aca="false">TRUE()</f>
        <v>1</v>
      </c>
      <c r="B136" s="14" t="b">
        <f aca="false">FALSE()</f>
        <v>0</v>
      </c>
      <c r="C136" s="4" t="n">
        <v>3</v>
      </c>
      <c r="D136" s="4"/>
      <c r="E136" s="4"/>
      <c r="F136" s="4"/>
      <c r="G136" s="4" t="n">
        <v>3</v>
      </c>
      <c r="H136" s="14" t="b">
        <f aca="false">FALSE()</f>
        <v>0</v>
      </c>
      <c r="I136" s="14" t="b">
        <f aca="false">FALSE()</f>
        <v>0</v>
      </c>
      <c r="J136" s="4"/>
      <c r="K136" s="4" t="s">
        <v>592</v>
      </c>
      <c r="L136" s="4" t="s">
        <v>593</v>
      </c>
      <c r="M136" s="4" t="s">
        <v>594</v>
      </c>
      <c r="N136" s="6" t="n">
        <v>42865</v>
      </c>
      <c r="O136" s="6" t="n">
        <v>170520</v>
      </c>
      <c r="P136" s="4" t="s">
        <v>46</v>
      </c>
      <c r="Q136" s="6" t="n">
        <v>720000</v>
      </c>
      <c r="R136" s="15" t="n">
        <v>45112</v>
      </c>
      <c r="S136" s="6" t="n">
        <v>468000</v>
      </c>
      <c r="T136" s="15" t="n">
        <v>45112</v>
      </c>
      <c r="U136" s="6"/>
      <c r="V136" s="15"/>
      <c r="W136" s="4" t="s">
        <v>47</v>
      </c>
      <c r="X136" s="4" t="s">
        <v>58</v>
      </c>
      <c r="Y136" s="4" t="s">
        <v>595</v>
      </c>
      <c r="Z136" s="4" t="s">
        <v>518</v>
      </c>
      <c r="AA136" s="6" t="n">
        <v>0</v>
      </c>
      <c r="AB136" s="6" t="n">
        <v>15418.46</v>
      </c>
      <c r="AC136" s="6" t="n">
        <v>16469.21</v>
      </c>
      <c r="AD136" s="14" t="b">
        <f aca="false">FALSE()</f>
        <v>0</v>
      </c>
    </row>
    <row r="137" customFormat="false" ht="15" hidden="false" customHeight="false" outlineLevel="0" collapsed="false">
      <c r="A137" s="14" t="b">
        <f aca="false">TRUE()</f>
        <v>1</v>
      </c>
      <c r="B137" s="14" t="b">
        <f aca="false">FALSE()</f>
        <v>0</v>
      </c>
      <c r="C137" s="4" t="n">
        <v>2</v>
      </c>
      <c r="D137" s="4"/>
      <c r="E137" s="4"/>
      <c r="F137" s="4"/>
      <c r="G137" s="4"/>
      <c r="H137" s="14" t="b">
        <f aca="false">FALSE()</f>
        <v>0</v>
      </c>
      <c r="I137" s="14" t="b">
        <f aca="false">FALSE()</f>
        <v>0</v>
      </c>
      <c r="J137" s="4"/>
      <c r="K137" s="4" t="s">
        <v>596</v>
      </c>
      <c r="L137" s="4" t="s">
        <v>597</v>
      </c>
      <c r="M137" s="4" t="s">
        <v>598</v>
      </c>
      <c r="N137" s="6" t="n">
        <v>20077</v>
      </c>
      <c r="O137" s="6" t="n">
        <v>56195</v>
      </c>
      <c r="P137" s="4" t="s">
        <v>46</v>
      </c>
      <c r="Q137" s="6"/>
      <c r="R137" s="15" t="n">
        <v>40596</v>
      </c>
      <c r="S137" s="6"/>
      <c r="T137" s="15"/>
      <c r="U137" s="6"/>
      <c r="V137" s="15"/>
      <c r="W137" s="4" t="s">
        <v>47</v>
      </c>
      <c r="X137" s="4" t="s">
        <v>47</v>
      </c>
      <c r="Y137" s="4" t="s">
        <v>599</v>
      </c>
      <c r="Z137" s="4" t="s">
        <v>49</v>
      </c>
      <c r="AA137" s="6" t="n">
        <v>0</v>
      </c>
      <c r="AB137" s="6" t="n">
        <v>6323.22</v>
      </c>
      <c r="AC137" s="6" t="n">
        <v>6760.03</v>
      </c>
      <c r="AD137" s="14" t="b">
        <f aca="false">FALSE()</f>
        <v>0</v>
      </c>
    </row>
    <row r="138" customFormat="false" ht="15" hidden="false" customHeight="false" outlineLevel="0" collapsed="false">
      <c r="A138" s="14" t="b">
        <f aca="false">TRUE()</f>
        <v>1</v>
      </c>
      <c r="B138" s="14" t="b">
        <f aca="false">FALSE()</f>
        <v>0</v>
      </c>
      <c r="C138" s="4" t="n">
        <v>2</v>
      </c>
      <c r="D138" s="4"/>
      <c r="E138" s="4"/>
      <c r="F138" s="4"/>
      <c r="G138" s="4"/>
      <c r="H138" s="14" t="b">
        <f aca="false">FALSE()</f>
        <v>0</v>
      </c>
      <c r="I138" s="14" t="b">
        <f aca="false">FALSE()</f>
        <v>0</v>
      </c>
      <c r="J138" s="4"/>
      <c r="K138" s="4" t="s">
        <v>600</v>
      </c>
      <c r="L138" s="4" t="s">
        <v>601</v>
      </c>
      <c r="M138" s="4" t="s">
        <v>602</v>
      </c>
      <c r="N138" s="6" t="n">
        <v>16906</v>
      </c>
      <c r="O138" s="6" t="n">
        <v>69547</v>
      </c>
      <c r="P138" s="4" t="s">
        <v>46</v>
      </c>
      <c r="Q138" s="6"/>
      <c r="R138" s="15"/>
      <c r="S138" s="6"/>
      <c r="T138" s="15"/>
      <c r="U138" s="6"/>
      <c r="V138" s="15"/>
      <c r="W138" s="4" t="s">
        <v>47</v>
      </c>
      <c r="X138" s="4" t="s">
        <v>47</v>
      </c>
      <c r="Y138" s="4" t="s">
        <v>603</v>
      </c>
      <c r="Z138" s="4" t="s">
        <v>186</v>
      </c>
      <c r="AA138" s="6" t="n">
        <v>0</v>
      </c>
      <c r="AB138" s="6" t="n">
        <v>6044.18</v>
      </c>
      <c r="AC138" s="6" t="n">
        <v>3168.08</v>
      </c>
      <c r="AD138" s="14" t="b">
        <f aca="false">TRUE()</f>
        <v>1</v>
      </c>
    </row>
    <row r="139" customFormat="false" ht="15" hidden="false" customHeight="false" outlineLevel="0" collapsed="false">
      <c r="A139" s="14" t="b">
        <f aca="false">TRUE()</f>
        <v>1</v>
      </c>
      <c r="B139" s="14" t="b">
        <f aca="false">FALSE()</f>
        <v>0</v>
      </c>
      <c r="C139" s="4" t="n">
        <v>2</v>
      </c>
      <c r="D139" s="4"/>
      <c r="E139" s="4"/>
      <c r="F139" s="4"/>
      <c r="G139" s="4"/>
      <c r="H139" s="14" t="b">
        <f aca="false">FALSE()</f>
        <v>0</v>
      </c>
      <c r="I139" s="14" t="b">
        <f aca="false">FALSE()</f>
        <v>0</v>
      </c>
      <c r="J139" s="4"/>
      <c r="K139" s="4" t="s">
        <v>604</v>
      </c>
      <c r="L139" s="4" t="s">
        <v>605</v>
      </c>
      <c r="M139" s="4" t="s">
        <v>606</v>
      </c>
      <c r="N139" s="6" t="n">
        <v>16534</v>
      </c>
      <c r="O139" s="6" t="n">
        <v>52477</v>
      </c>
      <c r="P139" s="4" t="s">
        <v>46</v>
      </c>
      <c r="Q139" s="6" t="n">
        <v>156000</v>
      </c>
      <c r="R139" s="15" t="n">
        <v>42178</v>
      </c>
      <c r="S139" s="6"/>
      <c r="T139" s="15"/>
      <c r="U139" s="6"/>
      <c r="V139" s="15"/>
      <c r="W139" s="4" t="s">
        <v>47</v>
      </c>
      <c r="X139" s="4" t="s">
        <v>47</v>
      </c>
      <c r="Y139" s="4" t="s">
        <v>607</v>
      </c>
      <c r="Z139" s="4" t="s">
        <v>186</v>
      </c>
      <c r="AA139" s="6" t="n">
        <v>0</v>
      </c>
      <c r="AB139" s="6" t="n">
        <v>5234.12</v>
      </c>
      <c r="AC139" s="6" t="n">
        <v>5597.43</v>
      </c>
      <c r="AD139" s="14" t="b">
        <f aca="false">FALSE()</f>
        <v>0</v>
      </c>
    </row>
    <row r="140" customFormat="false" ht="15" hidden="false" customHeight="false" outlineLevel="0" collapsed="false">
      <c r="A140" s="14" t="b">
        <f aca="false">TRUE()</f>
        <v>1</v>
      </c>
      <c r="B140" s="14" t="b">
        <f aca="false">FALSE()</f>
        <v>0</v>
      </c>
      <c r="C140" s="4" t="n">
        <v>3</v>
      </c>
      <c r="D140" s="4"/>
      <c r="E140" s="4"/>
      <c r="F140" s="4"/>
      <c r="G140" s="4"/>
      <c r="H140" s="14" t="b">
        <f aca="false">FALSE()</f>
        <v>0</v>
      </c>
      <c r="I140" s="14" t="b">
        <f aca="false">FALSE()</f>
        <v>0</v>
      </c>
      <c r="J140" s="4"/>
      <c r="K140" s="4" t="s">
        <v>608</v>
      </c>
      <c r="L140" s="4" t="s">
        <v>609</v>
      </c>
      <c r="M140" s="4" t="s">
        <v>610</v>
      </c>
      <c r="N140" s="6" t="n">
        <v>33625</v>
      </c>
      <c r="O140" s="6" t="n">
        <v>107316</v>
      </c>
      <c r="P140" s="4" t="s">
        <v>46</v>
      </c>
      <c r="Q140" s="6" t="n">
        <v>312000</v>
      </c>
      <c r="R140" s="15" t="n">
        <v>37874</v>
      </c>
      <c r="S140" s="6"/>
      <c r="T140" s="15"/>
      <c r="U140" s="6"/>
      <c r="V140" s="15"/>
      <c r="W140" s="4" t="s">
        <v>47</v>
      </c>
      <c r="X140" s="4" t="s">
        <v>47</v>
      </c>
      <c r="Y140" s="4" t="s">
        <v>611</v>
      </c>
      <c r="Z140" s="4" t="s">
        <v>186</v>
      </c>
      <c r="AA140" s="6" t="n">
        <v>0</v>
      </c>
      <c r="AB140" s="6" t="n">
        <v>11405.02</v>
      </c>
      <c r="AC140" s="6" t="n">
        <v>12184.86</v>
      </c>
      <c r="AD140" s="14" t="b">
        <f aca="false">FALSE()</f>
        <v>0</v>
      </c>
    </row>
    <row r="141" customFormat="false" ht="15" hidden="false" customHeight="false" outlineLevel="0" collapsed="false">
      <c r="A141" s="14" t="b">
        <f aca="false">TRUE()</f>
        <v>1</v>
      </c>
      <c r="B141" s="14" t="b">
        <f aca="false">FALSE()</f>
        <v>0</v>
      </c>
      <c r="C141" s="4" t="n">
        <v>2</v>
      </c>
      <c r="D141" s="4"/>
      <c r="E141" s="4"/>
      <c r="F141" s="4"/>
      <c r="G141" s="4"/>
      <c r="H141" s="14" t="b">
        <f aca="false">TRUE()</f>
        <v>1</v>
      </c>
      <c r="I141" s="14" t="b">
        <f aca="false">FALSE()</f>
        <v>0</v>
      </c>
      <c r="J141" s="4"/>
      <c r="K141" s="4" t="s">
        <v>612</v>
      </c>
      <c r="L141" s="4" t="s">
        <v>613</v>
      </c>
      <c r="M141" s="4" t="s">
        <v>614</v>
      </c>
      <c r="N141" s="6" t="n">
        <v>22067</v>
      </c>
      <c r="O141" s="6" t="n">
        <v>72051</v>
      </c>
      <c r="P141" s="4" t="s">
        <v>46</v>
      </c>
      <c r="Q141" s="6" t="n">
        <v>92500</v>
      </c>
      <c r="R141" s="15" t="n">
        <v>40879</v>
      </c>
      <c r="S141" s="6"/>
      <c r="T141" s="15"/>
      <c r="U141" s="6"/>
      <c r="V141" s="15"/>
      <c r="W141" s="4" t="s">
        <v>47</v>
      </c>
      <c r="X141" s="4" t="s">
        <v>47</v>
      </c>
      <c r="Y141" s="4" t="s">
        <v>615</v>
      </c>
      <c r="Z141" s="4" t="s">
        <v>186</v>
      </c>
      <c r="AA141" s="6" t="n">
        <v>0</v>
      </c>
      <c r="AB141" s="6" t="n">
        <v>6701.74</v>
      </c>
      <c r="AC141" s="6" t="n">
        <v>3511.66</v>
      </c>
      <c r="AD141" s="14" t="b">
        <f aca="false">TRUE()</f>
        <v>1</v>
      </c>
    </row>
    <row r="142" customFormat="false" ht="15" hidden="false" customHeight="false" outlineLevel="0" collapsed="false">
      <c r="A142" s="14" t="b">
        <f aca="false">TRUE()</f>
        <v>1</v>
      </c>
      <c r="B142" s="14" t="b">
        <f aca="false">FALSE()</f>
        <v>0</v>
      </c>
      <c r="C142" s="4" t="n">
        <v>2</v>
      </c>
      <c r="D142" s="4"/>
      <c r="E142" s="4"/>
      <c r="F142" s="4"/>
      <c r="G142" s="4" t="n">
        <v>2</v>
      </c>
      <c r="H142" s="14" t="b">
        <f aca="false">FALSE()</f>
        <v>0</v>
      </c>
      <c r="I142" s="14" t="b">
        <f aca="false">FALSE()</f>
        <v>0</v>
      </c>
      <c r="J142" s="4"/>
      <c r="K142" s="4" t="s">
        <v>616</v>
      </c>
      <c r="L142" s="4" t="s">
        <v>617</v>
      </c>
      <c r="M142" s="4" t="s">
        <v>618</v>
      </c>
      <c r="N142" s="6" t="n">
        <v>16982</v>
      </c>
      <c r="O142" s="6" t="n">
        <v>58054</v>
      </c>
      <c r="P142" s="4" t="s">
        <v>46</v>
      </c>
      <c r="Q142" s="6" t="n">
        <v>106000</v>
      </c>
      <c r="R142" s="15" t="n">
        <v>33841</v>
      </c>
      <c r="S142" s="6" t="n">
        <v>107000</v>
      </c>
      <c r="T142" s="15" t="n">
        <v>39027</v>
      </c>
      <c r="U142" s="6"/>
      <c r="V142" s="15"/>
      <c r="W142" s="4" t="s">
        <v>47</v>
      </c>
      <c r="X142" s="4" t="s">
        <v>47</v>
      </c>
      <c r="Y142" s="4" t="s">
        <v>619</v>
      </c>
      <c r="Z142" s="4" t="s">
        <v>186</v>
      </c>
      <c r="AA142" s="6" t="n">
        <v>0</v>
      </c>
      <c r="AB142" s="6" t="n">
        <v>5064.7</v>
      </c>
      <c r="AC142" s="6" t="n">
        <v>2656.31</v>
      </c>
      <c r="AD142" s="14" t="b">
        <f aca="false">TRUE()</f>
        <v>1</v>
      </c>
    </row>
    <row r="143" customFormat="false" ht="15" hidden="false" customHeight="false" outlineLevel="0" collapsed="false">
      <c r="A143" s="14" t="b">
        <f aca="false">TRUE()</f>
        <v>1</v>
      </c>
      <c r="B143" s="14" t="b">
        <f aca="false">FALSE()</f>
        <v>0</v>
      </c>
      <c r="C143" s="4" t="n">
        <v>3</v>
      </c>
      <c r="D143" s="4"/>
      <c r="E143" s="4"/>
      <c r="F143" s="4"/>
      <c r="G143" s="4"/>
      <c r="H143" s="14" t="b">
        <f aca="false">FALSE()</f>
        <v>0</v>
      </c>
      <c r="I143" s="14" t="b">
        <f aca="false">FALSE()</f>
        <v>0</v>
      </c>
      <c r="J143" s="4"/>
      <c r="K143" s="4" t="s">
        <v>620</v>
      </c>
      <c r="L143" s="4" t="s">
        <v>621</v>
      </c>
      <c r="M143" s="4" t="s">
        <v>622</v>
      </c>
      <c r="N143" s="6" t="n">
        <v>44407</v>
      </c>
      <c r="O143" s="6" t="n">
        <v>151728</v>
      </c>
      <c r="P143" s="4" t="s">
        <v>46</v>
      </c>
      <c r="Q143" s="6" t="n">
        <v>1177000</v>
      </c>
      <c r="R143" s="15" t="n">
        <v>44875</v>
      </c>
      <c r="S143" s="6"/>
      <c r="T143" s="15"/>
      <c r="U143" s="6"/>
      <c r="V143" s="15"/>
      <c r="W143" s="4" t="s">
        <v>47</v>
      </c>
      <c r="X143" s="4" t="s">
        <v>47</v>
      </c>
      <c r="Y143" s="4" t="s">
        <v>623</v>
      </c>
      <c r="Z143" s="4" t="s">
        <v>518</v>
      </c>
      <c r="AA143" s="6" t="n">
        <v>0</v>
      </c>
      <c r="AB143" s="6" t="n">
        <v>15934.84</v>
      </c>
      <c r="AC143" s="6" t="n">
        <v>17020.44</v>
      </c>
      <c r="AD143" s="14" t="b">
        <f aca="false">FALSE()</f>
        <v>0</v>
      </c>
    </row>
    <row r="144" customFormat="false" ht="15" hidden="false" customHeight="false" outlineLevel="0" collapsed="false">
      <c r="A144" s="14" t="b">
        <f aca="false">TRUE()</f>
        <v>1</v>
      </c>
      <c r="B144" s="14" t="b">
        <f aca="false">FALSE()</f>
        <v>0</v>
      </c>
      <c r="C144" s="4" t="n">
        <v>2</v>
      </c>
      <c r="D144" s="4"/>
      <c r="E144" s="4"/>
      <c r="F144" s="4"/>
      <c r="G144" s="4"/>
      <c r="H144" s="14" t="b">
        <f aca="false">FALSE()</f>
        <v>0</v>
      </c>
      <c r="I144" s="14" t="b">
        <f aca="false">FALSE()</f>
        <v>0</v>
      </c>
      <c r="J144" s="4"/>
      <c r="K144" s="4" t="s">
        <v>624</v>
      </c>
      <c r="L144" s="4" t="s">
        <v>625</v>
      </c>
      <c r="M144" s="4" t="s">
        <v>626</v>
      </c>
      <c r="N144" s="6" t="n">
        <v>12477</v>
      </c>
      <c r="O144" s="6" t="n">
        <v>48158</v>
      </c>
      <c r="P144" s="4" t="s">
        <v>46</v>
      </c>
      <c r="Q144" s="6" t="n">
        <v>265000</v>
      </c>
      <c r="R144" s="15" t="n">
        <v>39084</v>
      </c>
      <c r="S144" s="6"/>
      <c r="T144" s="15"/>
      <c r="U144" s="6"/>
      <c r="V144" s="15"/>
      <c r="W144" s="4" t="s">
        <v>58</v>
      </c>
      <c r="X144" s="4" t="s">
        <v>58</v>
      </c>
      <c r="Y144" s="4" t="s">
        <v>627</v>
      </c>
      <c r="Z144" s="4" t="s">
        <v>518</v>
      </c>
      <c r="AA144" s="6" t="n">
        <v>0</v>
      </c>
      <c r="AB144" s="6" t="n">
        <v>5135.72</v>
      </c>
      <c r="AC144" s="6" t="n">
        <v>5492.38</v>
      </c>
      <c r="AD144" s="14" t="b">
        <f aca="false">FALSE()</f>
        <v>0</v>
      </c>
    </row>
    <row r="145" customFormat="false" ht="15" hidden="false" customHeight="false" outlineLevel="0" collapsed="false">
      <c r="A145" s="14" t="b">
        <f aca="false">TRUE()</f>
        <v>1</v>
      </c>
      <c r="B145" s="14" t="b">
        <f aca="false">FALSE()</f>
        <v>0</v>
      </c>
      <c r="C145" s="4" t="n">
        <v>3</v>
      </c>
      <c r="D145" s="4"/>
      <c r="E145" s="4"/>
      <c r="F145" s="4"/>
      <c r="G145" s="4" t="n">
        <v>2</v>
      </c>
      <c r="H145" s="14" t="b">
        <f aca="false">TRUE()</f>
        <v>1</v>
      </c>
      <c r="I145" s="14" t="b">
        <f aca="false">FALSE()</f>
        <v>0</v>
      </c>
      <c r="J145" s="4"/>
      <c r="K145" s="4" t="s">
        <v>628</v>
      </c>
      <c r="L145" s="4" t="s">
        <v>629</v>
      </c>
      <c r="M145" s="4" t="s">
        <v>630</v>
      </c>
      <c r="N145" s="6" t="n">
        <v>20438</v>
      </c>
      <c r="O145" s="6" t="n">
        <v>48694</v>
      </c>
      <c r="P145" s="4" t="s">
        <v>46</v>
      </c>
      <c r="Q145" s="6" t="n">
        <v>195000</v>
      </c>
      <c r="R145" s="15" t="n">
        <v>39093</v>
      </c>
      <c r="S145" s="6" t="n">
        <v>68000</v>
      </c>
      <c r="T145" s="15" t="n">
        <v>41533</v>
      </c>
      <c r="U145" s="6"/>
      <c r="V145" s="15"/>
      <c r="W145" s="4" t="s">
        <v>47</v>
      </c>
      <c r="X145" s="4" t="s">
        <v>58</v>
      </c>
      <c r="Y145" s="4" t="s">
        <v>631</v>
      </c>
      <c r="Z145" s="4" t="s">
        <v>632</v>
      </c>
      <c r="AA145" s="6" t="n">
        <v>0</v>
      </c>
      <c r="AB145" s="6" t="n">
        <v>4893.74</v>
      </c>
      <c r="AC145" s="6" t="n">
        <v>5234.07</v>
      </c>
      <c r="AD145" s="14" t="b">
        <f aca="false">FALSE()</f>
        <v>0</v>
      </c>
    </row>
    <row r="146" customFormat="false" ht="15" hidden="false" customHeight="false" outlineLevel="0" collapsed="false">
      <c r="A146" s="14" t="b">
        <f aca="false">TRUE()</f>
        <v>1</v>
      </c>
      <c r="B146" s="14" t="b">
        <f aca="false">FALSE()</f>
        <v>0</v>
      </c>
      <c r="C146" s="4" t="n">
        <v>2</v>
      </c>
      <c r="D146" s="4"/>
      <c r="E146" s="4"/>
      <c r="F146" s="4"/>
      <c r="G146" s="4"/>
      <c r="H146" s="14" t="b">
        <f aca="false">FALSE()</f>
        <v>0</v>
      </c>
      <c r="I146" s="14" t="b">
        <f aca="false">FALSE()</f>
        <v>0</v>
      </c>
      <c r="J146" s="4"/>
      <c r="K146" s="4" t="s">
        <v>633</v>
      </c>
      <c r="L146" s="4" t="s">
        <v>634</v>
      </c>
      <c r="M146" s="4" t="s">
        <v>635</v>
      </c>
      <c r="N146" s="6" t="n">
        <v>20438</v>
      </c>
      <c r="O146" s="6" t="n">
        <v>52215</v>
      </c>
      <c r="P146" s="4" t="s">
        <v>46</v>
      </c>
      <c r="Q146" s="6" t="n">
        <v>171500</v>
      </c>
      <c r="R146" s="15" t="n">
        <v>42913</v>
      </c>
      <c r="S146" s="6" t="n">
        <v>162000</v>
      </c>
      <c r="T146" s="15" t="n">
        <v>44369</v>
      </c>
      <c r="U146" s="6"/>
      <c r="V146" s="15"/>
      <c r="W146" s="4" t="s">
        <v>47</v>
      </c>
      <c r="X146" s="4" t="s">
        <v>47</v>
      </c>
      <c r="Y146" s="4" t="s">
        <v>636</v>
      </c>
      <c r="Z146" s="4" t="s">
        <v>632</v>
      </c>
      <c r="AA146" s="6" t="n">
        <v>0</v>
      </c>
      <c r="AB146" s="6" t="n">
        <v>5954.86</v>
      </c>
      <c r="AC146" s="6" t="n">
        <v>3121.41</v>
      </c>
      <c r="AD146" s="14" t="b">
        <f aca="false">TRUE()</f>
        <v>1</v>
      </c>
    </row>
    <row r="147" customFormat="false" ht="15" hidden="false" customHeight="false" outlineLevel="0" collapsed="false">
      <c r="A147" s="14" t="b">
        <f aca="false">TRUE()</f>
        <v>1</v>
      </c>
      <c r="B147" s="14" t="b">
        <f aca="false">FALSE()</f>
        <v>0</v>
      </c>
      <c r="C147" s="4" t="n">
        <v>3</v>
      </c>
      <c r="D147" s="4"/>
      <c r="E147" s="4"/>
      <c r="F147" s="4"/>
      <c r="G147" s="4"/>
      <c r="H147" s="14" t="b">
        <f aca="false">FALSE()</f>
        <v>0</v>
      </c>
      <c r="I147" s="14" t="b">
        <f aca="false">FALSE()</f>
        <v>0</v>
      </c>
      <c r="J147" s="4"/>
      <c r="K147" s="4" t="s">
        <v>637</v>
      </c>
      <c r="L147" s="4" t="s">
        <v>638</v>
      </c>
      <c r="M147" s="4" t="s">
        <v>639</v>
      </c>
      <c r="N147" s="6" t="n">
        <v>39235</v>
      </c>
      <c r="O147" s="6" t="n">
        <v>218995</v>
      </c>
      <c r="P147" s="4" t="s">
        <v>46</v>
      </c>
      <c r="Q147" s="6" t="n">
        <v>529000</v>
      </c>
      <c r="R147" s="15" t="n">
        <v>40840</v>
      </c>
      <c r="S147" s="6"/>
      <c r="T147" s="15"/>
      <c r="U147" s="6"/>
      <c r="V147" s="15"/>
      <c r="W147" s="4" t="s">
        <v>47</v>
      </c>
      <c r="X147" s="4" t="s">
        <v>58</v>
      </c>
      <c r="Y147" s="4" t="s">
        <v>640</v>
      </c>
      <c r="Z147" s="4" t="s">
        <v>518</v>
      </c>
      <c r="AA147" s="6" t="n">
        <v>0</v>
      </c>
      <c r="AB147" s="6" t="n">
        <v>18525.78</v>
      </c>
      <c r="AC147" s="6" t="n">
        <v>19786.27</v>
      </c>
      <c r="AD147" s="14" t="b">
        <f aca="false">FALSE()</f>
        <v>0</v>
      </c>
    </row>
    <row r="148" customFormat="false" ht="15" hidden="false" customHeight="false" outlineLevel="0" collapsed="false">
      <c r="A148" s="14" t="b">
        <f aca="false">TRUE()</f>
        <v>1</v>
      </c>
      <c r="B148" s="14" t="b">
        <f aca="false">FALSE()</f>
        <v>0</v>
      </c>
      <c r="C148" s="4" t="n">
        <v>2</v>
      </c>
      <c r="D148" s="4"/>
      <c r="E148" s="4"/>
      <c r="F148" s="4"/>
      <c r="G148" s="4"/>
      <c r="H148" s="14" t="b">
        <f aca="false">FALSE()</f>
        <v>0</v>
      </c>
      <c r="I148" s="14" t="b">
        <f aca="false">FALSE()</f>
        <v>0</v>
      </c>
      <c r="J148" s="4"/>
      <c r="K148" s="4" t="s">
        <v>641</v>
      </c>
      <c r="L148" s="4" t="s">
        <v>642</v>
      </c>
      <c r="M148" s="4" t="s">
        <v>643</v>
      </c>
      <c r="N148" s="6" t="n">
        <v>5369</v>
      </c>
      <c r="O148" s="6" t="n">
        <v>36031</v>
      </c>
      <c r="P148" s="4" t="s">
        <v>46</v>
      </c>
      <c r="Q148" s="6" t="n">
        <v>100000</v>
      </c>
      <c r="R148" s="15" t="n">
        <v>45859</v>
      </c>
      <c r="S148" s="6"/>
      <c r="T148" s="15"/>
      <c r="U148" s="6"/>
      <c r="V148" s="15"/>
      <c r="W148" s="4" t="s">
        <v>47</v>
      </c>
      <c r="X148" s="4" t="s">
        <v>47</v>
      </c>
      <c r="Y148" s="4" t="s">
        <v>644</v>
      </c>
      <c r="Z148" s="4" t="s">
        <v>632</v>
      </c>
      <c r="AA148" s="6" t="n">
        <v>0</v>
      </c>
      <c r="AB148" s="6" t="n">
        <v>2892.1</v>
      </c>
      <c r="AC148" s="6" t="n">
        <v>1521.12</v>
      </c>
      <c r="AD148" s="14" t="b">
        <f aca="false">TRUE()</f>
        <v>1</v>
      </c>
    </row>
    <row r="149" customFormat="false" ht="15" hidden="false" customHeight="false" outlineLevel="0" collapsed="false">
      <c r="A149" s="14" t="b">
        <f aca="false">TRUE()</f>
        <v>1</v>
      </c>
      <c r="B149" s="14" t="b">
        <f aca="false">FALSE()</f>
        <v>0</v>
      </c>
      <c r="C149" s="4" t="n">
        <v>3</v>
      </c>
      <c r="D149" s="4"/>
      <c r="E149" s="4"/>
      <c r="F149" s="4"/>
      <c r="G149" s="4"/>
      <c r="H149" s="14" t="b">
        <f aca="false">TRUE()</f>
        <v>1</v>
      </c>
      <c r="I149" s="14" t="b">
        <f aca="false">FALSE()</f>
        <v>0</v>
      </c>
      <c r="J149" s="4"/>
      <c r="K149" s="4" t="s">
        <v>645</v>
      </c>
      <c r="L149" s="4" t="s">
        <v>646</v>
      </c>
      <c r="M149" s="4" t="s">
        <v>647</v>
      </c>
      <c r="N149" s="6" t="n">
        <v>34806</v>
      </c>
      <c r="O149" s="6" t="n">
        <v>97179</v>
      </c>
      <c r="P149" s="4" t="s">
        <v>46</v>
      </c>
      <c r="Q149" s="6"/>
      <c r="R149" s="15" t="n">
        <v>43732</v>
      </c>
      <c r="S149" s="6" t="n">
        <v>539923.1</v>
      </c>
      <c r="T149" s="15" t="n">
        <v>44501</v>
      </c>
      <c r="U149" s="6" t="n">
        <v>120000</v>
      </c>
      <c r="V149" s="15" t="n">
        <v>45672</v>
      </c>
      <c r="W149" s="4" t="s">
        <v>47</v>
      </c>
      <c r="X149" s="4" t="s">
        <v>47</v>
      </c>
      <c r="Y149" s="4" t="s">
        <v>648</v>
      </c>
      <c r="Z149" s="4" t="s">
        <v>518</v>
      </c>
      <c r="AA149" s="6" t="n">
        <v>0</v>
      </c>
      <c r="AB149" s="6" t="n">
        <v>11129.38</v>
      </c>
      <c r="AC149" s="6" t="n">
        <v>11890.61</v>
      </c>
      <c r="AD149" s="14" t="b">
        <f aca="false">FALSE()</f>
        <v>0</v>
      </c>
    </row>
    <row r="150" customFormat="false" ht="15" hidden="false" customHeight="false" outlineLevel="0" collapsed="false">
      <c r="A150" s="14" t="b">
        <f aca="false">TRUE()</f>
        <v>1</v>
      </c>
      <c r="B150" s="14" t="b">
        <f aca="false">FALSE()</f>
        <v>0</v>
      </c>
      <c r="C150" s="4" t="n">
        <v>2</v>
      </c>
      <c r="D150" s="4"/>
      <c r="E150" s="4"/>
      <c r="F150" s="4"/>
      <c r="G150" s="4" t="n">
        <v>2</v>
      </c>
      <c r="H150" s="14" t="b">
        <f aca="false">FALSE()</f>
        <v>0</v>
      </c>
      <c r="I150" s="14" t="b">
        <f aca="false">FALSE()</f>
        <v>0</v>
      </c>
      <c r="J150" s="4"/>
      <c r="K150" s="4" t="s">
        <v>649</v>
      </c>
      <c r="L150" s="4" t="s">
        <v>650</v>
      </c>
      <c r="M150" s="4" t="s">
        <v>651</v>
      </c>
      <c r="N150" s="6" t="n">
        <v>32477</v>
      </c>
      <c r="O150" s="6" t="n">
        <v>53133</v>
      </c>
      <c r="P150" s="4" t="s">
        <v>46</v>
      </c>
      <c r="Q150" s="6" t="n">
        <v>115500</v>
      </c>
      <c r="R150" s="15" t="n">
        <v>34520</v>
      </c>
      <c r="S150" s="6"/>
      <c r="T150" s="15"/>
      <c r="U150" s="6"/>
      <c r="V150" s="15"/>
      <c r="W150" s="4" t="s">
        <v>47</v>
      </c>
      <c r="X150" s="4" t="s">
        <v>47</v>
      </c>
      <c r="Y150" s="4" t="s">
        <v>652</v>
      </c>
      <c r="Z150" s="4" t="s">
        <v>632</v>
      </c>
      <c r="AA150" s="6" t="n">
        <v>0</v>
      </c>
      <c r="AB150" s="6" t="n">
        <v>7148.26</v>
      </c>
      <c r="AC150" s="6" t="n">
        <v>7640.77</v>
      </c>
      <c r="AD150" s="14" t="b">
        <f aca="false">FALSE()</f>
        <v>0</v>
      </c>
    </row>
    <row r="151" customFormat="false" ht="15" hidden="false" customHeight="false" outlineLevel="0" collapsed="false">
      <c r="A151" s="14" t="b">
        <f aca="false">TRUE()</f>
        <v>1</v>
      </c>
      <c r="B151" s="14" t="b">
        <f aca="false">FALSE()</f>
        <v>0</v>
      </c>
      <c r="C151" s="4" t="n">
        <v>2</v>
      </c>
      <c r="D151" s="4"/>
      <c r="E151" s="4"/>
      <c r="F151" s="4"/>
      <c r="G151" s="4" t="n">
        <v>2</v>
      </c>
      <c r="H151" s="14" t="b">
        <f aca="false">FALSE()</f>
        <v>0</v>
      </c>
      <c r="I151" s="14" t="b">
        <f aca="false">FALSE()</f>
        <v>0</v>
      </c>
      <c r="J151" s="4"/>
      <c r="K151" s="4" t="s">
        <v>653</v>
      </c>
      <c r="L151" s="4" t="s">
        <v>654</v>
      </c>
      <c r="M151" s="4" t="s">
        <v>655</v>
      </c>
      <c r="N151" s="6" t="n">
        <v>20438</v>
      </c>
      <c r="O151" s="6" t="n">
        <v>62920</v>
      </c>
      <c r="P151" s="4" t="s">
        <v>46</v>
      </c>
      <c r="Q151" s="6"/>
      <c r="R151" s="15" t="n">
        <v>40750</v>
      </c>
      <c r="S151" s="6"/>
      <c r="T151" s="15"/>
      <c r="U151" s="6"/>
      <c r="V151" s="15"/>
      <c r="W151" s="4" t="s">
        <v>47</v>
      </c>
      <c r="X151" s="4" t="s">
        <v>47</v>
      </c>
      <c r="Y151" s="4" t="s">
        <v>656</v>
      </c>
      <c r="Z151" s="4" t="s">
        <v>632</v>
      </c>
      <c r="AA151" s="6" t="n">
        <v>0</v>
      </c>
      <c r="AB151" s="6" t="n">
        <v>6940.86</v>
      </c>
      <c r="AC151" s="6" t="n">
        <v>7419.37</v>
      </c>
      <c r="AD151" s="14" t="b">
        <f aca="false">FALSE()</f>
        <v>0</v>
      </c>
    </row>
    <row r="152" customFormat="false" ht="15" hidden="false" customHeight="false" outlineLevel="0" collapsed="false">
      <c r="A152" s="14" t="b">
        <f aca="false">TRUE()</f>
        <v>1</v>
      </c>
      <c r="B152" s="14" t="b">
        <f aca="false">FALSE()</f>
        <v>0</v>
      </c>
      <c r="C152" s="4" t="n">
        <v>2</v>
      </c>
      <c r="D152" s="4"/>
      <c r="E152" s="4"/>
      <c r="F152" s="4"/>
      <c r="G152" s="4"/>
      <c r="H152" s="14" t="b">
        <f aca="false">FALSE()</f>
        <v>0</v>
      </c>
      <c r="I152" s="14" t="b">
        <f aca="false">FALSE()</f>
        <v>0</v>
      </c>
      <c r="J152" s="4"/>
      <c r="K152" s="4" t="s">
        <v>657</v>
      </c>
      <c r="L152" s="4" t="s">
        <v>658</v>
      </c>
      <c r="M152" s="4" t="s">
        <v>659</v>
      </c>
      <c r="N152" s="6" t="n">
        <v>20438</v>
      </c>
      <c r="O152" s="6" t="n">
        <v>48694</v>
      </c>
      <c r="P152" s="4" t="s">
        <v>46</v>
      </c>
      <c r="Q152" s="6" t="n">
        <v>189000</v>
      </c>
      <c r="R152" s="15" t="n">
        <v>42611</v>
      </c>
      <c r="S152" s="6" t="n">
        <v>162400</v>
      </c>
      <c r="T152" s="15" t="n">
        <v>44410</v>
      </c>
      <c r="U152" s="6"/>
      <c r="V152" s="15"/>
      <c r="W152" s="4" t="s">
        <v>47</v>
      </c>
      <c r="X152" s="4" t="s">
        <v>47</v>
      </c>
      <c r="Y152" s="4" t="s">
        <v>660</v>
      </c>
      <c r="Z152" s="4" t="s">
        <v>632</v>
      </c>
      <c r="AA152" s="6" t="n">
        <v>0</v>
      </c>
      <c r="AB152" s="6" t="n">
        <v>5630.56</v>
      </c>
      <c r="AC152" s="6" t="n">
        <v>2951.97</v>
      </c>
      <c r="AD152" s="14" t="b">
        <f aca="false">TRUE()</f>
        <v>1</v>
      </c>
    </row>
    <row r="153" customFormat="false" ht="15" hidden="false" customHeight="false" outlineLevel="0" collapsed="false">
      <c r="A153" s="14" t="b">
        <f aca="false">TRUE()</f>
        <v>1</v>
      </c>
      <c r="B153" s="14" t="b">
        <f aca="false">FALSE()</f>
        <v>0</v>
      </c>
      <c r="C153" s="4" t="n">
        <v>2</v>
      </c>
      <c r="D153" s="4"/>
      <c r="E153" s="4"/>
      <c r="F153" s="4"/>
      <c r="G153" s="4"/>
      <c r="H153" s="14" t="b">
        <f aca="false">FALSE()</f>
        <v>0</v>
      </c>
      <c r="I153" s="14" t="b">
        <f aca="false">FALSE()</f>
        <v>0</v>
      </c>
      <c r="J153" s="4"/>
      <c r="K153" s="4" t="s">
        <v>661</v>
      </c>
      <c r="L153" s="4" t="s">
        <v>662</v>
      </c>
      <c r="M153" s="4" t="s">
        <v>663</v>
      </c>
      <c r="N153" s="6" t="n">
        <v>20000</v>
      </c>
      <c r="O153" s="6" t="n">
        <v>59552</v>
      </c>
      <c r="P153" s="4" t="s">
        <v>46</v>
      </c>
      <c r="Q153" s="6"/>
      <c r="R153" s="15"/>
      <c r="S153" s="6"/>
      <c r="T153" s="15"/>
      <c r="U153" s="6"/>
      <c r="V153" s="15"/>
      <c r="W153" s="4" t="s">
        <v>58</v>
      </c>
      <c r="X153" s="4" t="s">
        <v>47</v>
      </c>
      <c r="Y153" s="4" t="s">
        <v>664</v>
      </c>
      <c r="Z153" s="4" t="s">
        <v>518</v>
      </c>
      <c r="AA153" s="6" t="n">
        <v>0</v>
      </c>
      <c r="AB153" s="6" t="n">
        <v>6422.8</v>
      </c>
      <c r="AC153" s="6" t="n">
        <v>6866.34</v>
      </c>
      <c r="AD153" s="14" t="b">
        <f aca="false">FALSE()</f>
        <v>0</v>
      </c>
    </row>
    <row r="154" customFormat="false" ht="15" hidden="false" customHeight="false" outlineLevel="0" collapsed="false">
      <c r="A154" s="14" t="b">
        <f aca="false">TRUE()</f>
        <v>1</v>
      </c>
      <c r="B154" s="14" t="b">
        <f aca="false">FALSE()</f>
        <v>0</v>
      </c>
      <c r="C154" s="4" t="n">
        <v>3</v>
      </c>
      <c r="D154" s="4"/>
      <c r="E154" s="4"/>
      <c r="F154" s="4"/>
      <c r="G154" s="4"/>
      <c r="H154" s="14" t="b">
        <f aca="false">FALSE()</f>
        <v>0</v>
      </c>
      <c r="I154" s="14" t="b">
        <f aca="false">FALSE()</f>
        <v>0</v>
      </c>
      <c r="J154" s="4"/>
      <c r="K154" s="4" t="s">
        <v>665</v>
      </c>
      <c r="L154" s="4" t="s">
        <v>666</v>
      </c>
      <c r="M154" s="4" t="s">
        <v>667</v>
      </c>
      <c r="N154" s="6" t="n">
        <v>9415</v>
      </c>
      <c r="O154" s="6" t="n">
        <v>53428</v>
      </c>
      <c r="P154" s="4" t="s">
        <v>46</v>
      </c>
      <c r="Q154" s="6" t="n">
        <v>113500</v>
      </c>
      <c r="R154" s="15" t="n">
        <v>37025</v>
      </c>
      <c r="S154" s="6" t="n">
        <v>68525</v>
      </c>
      <c r="T154" s="15" t="n">
        <v>41416</v>
      </c>
      <c r="U154" s="6" t="n">
        <v>43000</v>
      </c>
      <c r="V154" s="15" t="n">
        <v>39148</v>
      </c>
      <c r="W154" s="4" t="s">
        <v>47</v>
      </c>
      <c r="X154" s="4" t="s">
        <v>58</v>
      </c>
      <c r="Y154" s="4" t="s">
        <v>668</v>
      </c>
      <c r="Z154" s="4" t="s">
        <v>518</v>
      </c>
      <c r="AA154" s="6" t="n">
        <v>0</v>
      </c>
      <c r="AB154" s="6" t="n">
        <v>4922.94</v>
      </c>
      <c r="AC154" s="6" t="n">
        <v>5265.24</v>
      </c>
      <c r="AD154" s="14" t="b">
        <f aca="false">FALSE()</f>
        <v>0</v>
      </c>
    </row>
    <row r="155" customFormat="false" ht="15" hidden="false" customHeight="false" outlineLevel="0" collapsed="false">
      <c r="A155" s="14" t="b">
        <f aca="false">TRUE()</f>
        <v>1</v>
      </c>
      <c r="B155" s="14" t="b">
        <f aca="false">FALSE()</f>
        <v>0</v>
      </c>
      <c r="C155" s="4" t="n">
        <v>3</v>
      </c>
      <c r="D155" s="4"/>
      <c r="E155" s="4"/>
      <c r="F155" s="4"/>
      <c r="G155" s="4" t="n">
        <v>2</v>
      </c>
      <c r="H155" s="14" t="b">
        <f aca="false">TRUE()</f>
        <v>1</v>
      </c>
      <c r="I155" s="14" t="b">
        <f aca="false">FALSE()</f>
        <v>0</v>
      </c>
      <c r="J155" s="4"/>
      <c r="K155" s="4" t="s">
        <v>669</v>
      </c>
      <c r="L155" s="4" t="s">
        <v>670</v>
      </c>
      <c r="M155" s="4" t="s">
        <v>671</v>
      </c>
      <c r="N155" s="6" t="n">
        <v>17310</v>
      </c>
      <c r="O155" s="6" t="n">
        <v>73877</v>
      </c>
      <c r="P155" s="4" t="s">
        <v>46</v>
      </c>
      <c r="Q155" s="6" t="n">
        <v>210000</v>
      </c>
      <c r="R155" s="15" t="n">
        <v>43591</v>
      </c>
      <c r="S155" s="6" t="n">
        <v>100000</v>
      </c>
      <c r="T155" s="15" t="n">
        <v>45754</v>
      </c>
      <c r="U155" s="6"/>
      <c r="V155" s="15"/>
      <c r="W155" s="4" t="s">
        <v>47</v>
      </c>
      <c r="X155" s="4" t="s">
        <v>47</v>
      </c>
      <c r="Y155" s="4" t="s">
        <v>672</v>
      </c>
      <c r="Z155" s="4" t="s">
        <v>518</v>
      </c>
      <c r="AA155" s="6" t="n">
        <v>0</v>
      </c>
      <c r="AB155" s="6" t="n">
        <v>7467.22</v>
      </c>
      <c r="AC155" s="6" t="n">
        <v>7981.25</v>
      </c>
      <c r="AD155" s="14" t="b">
        <f aca="false">FALSE()</f>
        <v>0</v>
      </c>
    </row>
    <row r="156" customFormat="false" ht="15" hidden="false" customHeight="false" outlineLevel="0" collapsed="false">
      <c r="A156" s="14" t="b">
        <f aca="false">TRUE()</f>
        <v>1</v>
      </c>
      <c r="B156" s="14" t="b">
        <f aca="false">FALSE()</f>
        <v>0</v>
      </c>
      <c r="C156" s="4" t="n">
        <v>2</v>
      </c>
      <c r="D156" s="4"/>
      <c r="E156" s="4"/>
      <c r="F156" s="4"/>
      <c r="G156" s="4"/>
      <c r="H156" s="14" t="b">
        <f aca="false">TRUE()</f>
        <v>1</v>
      </c>
      <c r="I156" s="14" t="b">
        <f aca="false">FALSE()</f>
        <v>0</v>
      </c>
      <c r="J156" s="4"/>
      <c r="K156" s="4" t="s">
        <v>673</v>
      </c>
      <c r="L156" s="4" t="s">
        <v>674</v>
      </c>
      <c r="M156" s="4" t="s">
        <v>675</v>
      </c>
      <c r="N156" s="6" t="n">
        <v>66397</v>
      </c>
      <c r="O156" s="6" t="n">
        <v>178262</v>
      </c>
      <c r="P156" s="4" t="s">
        <v>46</v>
      </c>
      <c r="Q156" s="6" t="n">
        <v>800000</v>
      </c>
      <c r="R156" s="15" t="n">
        <v>45203</v>
      </c>
      <c r="S156" s="6" t="n">
        <v>635950</v>
      </c>
      <c r="T156" s="15" t="n">
        <v>45646</v>
      </c>
      <c r="U156" s="6"/>
      <c r="V156" s="15"/>
      <c r="W156" s="4" t="s">
        <v>47</v>
      </c>
      <c r="X156" s="4" t="s">
        <v>47</v>
      </c>
      <c r="Y156" s="4" t="s">
        <v>676</v>
      </c>
      <c r="Z156" s="4" t="s">
        <v>518</v>
      </c>
      <c r="AA156" s="6" t="n">
        <v>0</v>
      </c>
      <c r="AB156" s="6" t="n">
        <v>20525.34</v>
      </c>
      <c r="AC156" s="6" t="n">
        <v>10734.49</v>
      </c>
      <c r="AD156" s="14" t="b">
        <f aca="false">TRUE()</f>
        <v>1</v>
      </c>
    </row>
    <row r="157" customFormat="false" ht="15" hidden="false" customHeight="false" outlineLevel="0" collapsed="false">
      <c r="A157" s="14" t="b">
        <f aca="false">TRUE()</f>
        <v>1</v>
      </c>
      <c r="B157" s="14" t="b">
        <f aca="false">FALSE()</f>
        <v>0</v>
      </c>
      <c r="C157" s="4" t="n">
        <v>2</v>
      </c>
      <c r="D157" s="4"/>
      <c r="E157" s="4"/>
      <c r="F157" s="4"/>
      <c r="G157" s="4"/>
      <c r="H157" s="14" t="b">
        <f aca="false">TRUE()</f>
        <v>1</v>
      </c>
      <c r="I157" s="14" t="b">
        <f aca="false">FALSE()</f>
        <v>0</v>
      </c>
      <c r="J157" s="4"/>
      <c r="K157" s="4" t="s">
        <v>677</v>
      </c>
      <c r="L157" s="4" t="s">
        <v>678</v>
      </c>
      <c r="M157" s="4" t="s">
        <v>679</v>
      </c>
      <c r="N157" s="6" t="n">
        <v>18086</v>
      </c>
      <c r="O157" s="6" t="n">
        <v>75703</v>
      </c>
      <c r="P157" s="4" t="s">
        <v>46</v>
      </c>
      <c r="Q157" s="6" t="n">
        <v>190000</v>
      </c>
      <c r="R157" s="15" t="n">
        <v>43605</v>
      </c>
      <c r="S157" s="6"/>
      <c r="T157" s="15"/>
      <c r="U157" s="6"/>
      <c r="V157" s="15"/>
      <c r="W157" s="4" t="s">
        <v>47</v>
      </c>
      <c r="X157" s="4" t="s">
        <v>47</v>
      </c>
      <c r="Y157" s="4" t="s">
        <v>680</v>
      </c>
      <c r="Z157" s="4" t="s">
        <v>518</v>
      </c>
      <c r="AA157" s="6" t="n">
        <v>0</v>
      </c>
      <c r="AB157" s="6" t="n">
        <v>7700.78</v>
      </c>
      <c r="AC157" s="6" t="n">
        <v>4033.66</v>
      </c>
      <c r="AD157" s="14" t="b">
        <f aca="false">TRUE()</f>
        <v>1</v>
      </c>
    </row>
    <row r="158" customFormat="false" ht="15" hidden="false" customHeight="false" outlineLevel="0" collapsed="false">
      <c r="A158" s="14" t="b">
        <f aca="false">TRUE()</f>
        <v>1</v>
      </c>
      <c r="B158" s="14" t="b">
        <f aca="false">FALSE()</f>
        <v>0</v>
      </c>
      <c r="C158" s="4" t="n">
        <v>2</v>
      </c>
      <c r="D158" s="4"/>
      <c r="E158" s="4"/>
      <c r="F158" s="4"/>
      <c r="G158" s="4"/>
      <c r="H158" s="14" t="b">
        <f aca="false">TRUE()</f>
        <v>1</v>
      </c>
      <c r="I158" s="14" t="b">
        <f aca="false">FALSE()</f>
        <v>0</v>
      </c>
      <c r="J158" s="4"/>
      <c r="K158" s="4" t="s">
        <v>681</v>
      </c>
      <c r="L158" s="4" t="s">
        <v>682</v>
      </c>
      <c r="M158" s="4" t="s">
        <v>683</v>
      </c>
      <c r="N158" s="6" t="n">
        <v>41422</v>
      </c>
      <c r="O158" s="6" t="n">
        <v>57343</v>
      </c>
      <c r="P158" s="4" t="s">
        <v>46</v>
      </c>
      <c r="Q158" s="6" t="n">
        <v>153000</v>
      </c>
      <c r="R158" s="15" t="n">
        <v>35711</v>
      </c>
      <c r="S158" s="6"/>
      <c r="T158" s="15"/>
      <c r="U158" s="6"/>
      <c r="V158" s="15"/>
      <c r="W158" s="4" t="s">
        <v>47</v>
      </c>
      <c r="X158" s="4" t="s">
        <v>58</v>
      </c>
      <c r="Y158" s="4" t="s">
        <v>684</v>
      </c>
      <c r="Z158" s="4" t="s">
        <v>518</v>
      </c>
      <c r="AA158" s="6" t="n">
        <v>0</v>
      </c>
      <c r="AB158" s="6" t="n">
        <v>7429.34</v>
      </c>
      <c r="AC158" s="6" t="n">
        <v>7940.82</v>
      </c>
      <c r="AD158" s="14" t="b">
        <f aca="false">FALSE()</f>
        <v>0</v>
      </c>
    </row>
    <row r="159" customFormat="false" ht="15" hidden="false" customHeight="false" outlineLevel="0" collapsed="false">
      <c r="A159" s="14" t="b">
        <f aca="false">TRUE()</f>
        <v>1</v>
      </c>
      <c r="B159" s="14" t="b">
        <f aca="false">FALSE()</f>
        <v>0</v>
      </c>
      <c r="C159" s="4" t="n">
        <v>2</v>
      </c>
      <c r="D159" s="4"/>
      <c r="E159" s="4"/>
      <c r="F159" s="4"/>
      <c r="G159" s="4"/>
      <c r="H159" s="14" t="b">
        <f aca="false">FALSE()</f>
        <v>0</v>
      </c>
      <c r="I159" s="14" t="b">
        <f aca="false">FALSE()</f>
        <v>0</v>
      </c>
      <c r="J159" s="4"/>
      <c r="K159" s="4" t="s">
        <v>685</v>
      </c>
      <c r="L159" s="4" t="s">
        <v>686</v>
      </c>
      <c r="M159" s="4" t="s">
        <v>687</v>
      </c>
      <c r="N159" s="6" t="n">
        <v>15582</v>
      </c>
      <c r="O159" s="6" t="n">
        <v>49076</v>
      </c>
      <c r="P159" s="4" t="s">
        <v>46</v>
      </c>
      <c r="Q159" s="6" t="n">
        <v>195000</v>
      </c>
      <c r="R159" s="15" t="n">
        <v>44698</v>
      </c>
      <c r="S159" s="6" t="n">
        <v>146250</v>
      </c>
      <c r="T159" s="15" t="n">
        <v>44698</v>
      </c>
      <c r="U159" s="6"/>
      <c r="V159" s="15"/>
      <c r="W159" s="4" t="s">
        <v>47</v>
      </c>
      <c r="X159" s="4" t="s">
        <v>58</v>
      </c>
      <c r="Y159" s="4" t="s">
        <v>688</v>
      </c>
      <c r="Z159" s="4" t="s">
        <v>518</v>
      </c>
      <c r="AA159" s="6" t="n">
        <v>0</v>
      </c>
      <c r="AB159" s="6" t="n">
        <v>5085.86</v>
      </c>
      <c r="AC159" s="6" t="n">
        <v>2667.36</v>
      </c>
      <c r="AD159" s="14" t="b">
        <f aca="false">TRUE()</f>
        <v>1</v>
      </c>
    </row>
    <row r="160" customFormat="false" ht="15" hidden="false" customHeight="false" outlineLevel="0" collapsed="false">
      <c r="A160" s="14" t="b">
        <f aca="false">TRUE()</f>
        <v>1</v>
      </c>
      <c r="B160" s="14" t="b">
        <f aca="false">FALSE()</f>
        <v>0</v>
      </c>
      <c r="C160" s="4" t="n">
        <v>2</v>
      </c>
      <c r="D160" s="4"/>
      <c r="E160" s="4"/>
      <c r="F160" s="4"/>
      <c r="G160" s="4"/>
      <c r="H160" s="14" t="b">
        <f aca="false">TRUE()</f>
        <v>1</v>
      </c>
      <c r="I160" s="14" t="b">
        <f aca="false">FALSE()</f>
        <v>0</v>
      </c>
      <c r="J160" s="4"/>
      <c r="K160" s="4" t="s">
        <v>689</v>
      </c>
      <c r="L160" s="4" t="s">
        <v>690</v>
      </c>
      <c r="M160" s="4" t="s">
        <v>691</v>
      </c>
      <c r="N160" s="6" t="n">
        <v>20000</v>
      </c>
      <c r="O160" s="6" t="n">
        <v>48825</v>
      </c>
      <c r="P160" s="4" t="s">
        <v>46</v>
      </c>
      <c r="Q160" s="6" t="n">
        <v>95000</v>
      </c>
      <c r="R160" s="15" t="n">
        <v>40225</v>
      </c>
      <c r="S160" s="6"/>
      <c r="T160" s="15"/>
      <c r="U160" s="6"/>
      <c r="V160" s="15"/>
      <c r="W160" s="4" t="s">
        <v>58</v>
      </c>
      <c r="X160" s="4" t="s">
        <v>58</v>
      </c>
      <c r="Y160" s="4" t="s">
        <v>692</v>
      </c>
      <c r="Z160" s="4" t="s">
        <v>518</v>
      </c>
      <c r="AA160" s="6" t="n">
        <v>0</v>
      </c>
      <c r="AB160" s="6" t="n">
        <v>5459.88</v>
      </c>
      <c r="AC160" s="6" t="n">
        <v>5838.42</v>
      </c>
      <c r="AD160" s="14" t="b">
        <f aca="false">FALSE()</f>
        <v>0</v>
      </c>
    </row>
    <row r="161" customFormat="false" ht="15" hidden="false" customHeight="false" outlineLevel="0" collapsed="false">
      <c r="A161" s="14" t="b">
        <f aca="false">TRUE()</f>
        <v>1</v>
      </c>
      <c r="B161" s="14" t="b">
        <f aca="false">FALSE()</f>
        <v>0</v>
      </c>
      <c r="C161" s="4" t="n">
        <v>3</v>
      </c>
      <c r="D161" s="4"/>
      <c r="E161" s="4"/>
      <c r="F161" s="4"/>
      <c r="G161" s="4" t="n">
        <v>2</v>
      </c>
      <c r="H161" s="14" t="b">
        <f aca="false">TRUE()</f>
        <v>1</v>
      </c>
      <c r="I161" s="14" t="b">
        <f aca="false">FALSE()</f>
        <v>0</v>
      </c>
      <c r="J161" s="4"/>
      <c r="K161" s="4" t="s">
        <v>693</v>
      </c>
      <c r="L161" s="4" t="s">
        <v>694</v>
      </c>
      <c r="M161" s="4" t="s">
        <v>695</v>
      </c>
      <c r="N161" s="6" t="n">
        <v>38491</v>
      </c>
      <c r="O161" s="6" t="n">
        <v>94489</v>
      </c>
      <c r="P161" s="4" t="s">
        <v>46</v>
      </c>
      <c r="Q161" s="6" t="n">
        <v>175000</v>
      </c>
      <c r="R161" s="15" t="n">
        <v>35285</v>
      </c>
      <c r="S161" s="6" t="n">
        <v>110000</v>
      </c>
      <c r="T161" s="15" t="n">
        <v>35285</v>
      </c>
      <c r="U161" s="6"/>
      <c r="V161" s="15"/>
      <c r="W161" s="4" t="s">
        <v>47</v>
      </c>
      <c r="X161" s="4" t="s">
        <v>47</v>
      </c>
      <c r="Y161" s="4" t="s">
        <v>696</v>
      </c>
      <c r="Z161" s="4" t="s">
        <v>697</v>
      </c>
      <c r="AA161" s="6" t="n">
        <v>0</v>
      </c>
      <c r="AB161" s="6" t="n">
        <v>8762.72</v>
      </c>
      <c r="AC161" s="6" t="n">
        <v>9364.2</v>
      </c>
      <c r="AD161" s="14" t="b">
        <f aca="false">FALSE()</f>
        <v>0</v>
      </c>
    </row>
    <row r="162" customFormat="false" ht="15" hidden="false" customHeight="false" outlineLevel="0" collapsed="false">
      <c r="A162" s="14" t="b">
        <f aca="false">TRUE()</f>
        <v>1</v>
      </c>
      <c r="B162" s="14" t="b">
        <f aca="false">FALSE()</f>
        <v>0</v>
      </c>
      <c r="C162" s="4" t="n">
        <v>2</v>
      </c>
      <c r="D162" s="4"/>
      <c r="E162" s="4"/>
      <c r="F162" s="4"/>
      <c r="G162" s="4"/>
      <c r="H162" s="14" t="b">
        <f aca="false">FALSE()</f>
        <v>0</v>
      </c>
      <c r="I162" s="14" t="b">
        <f aca="false">FALSE()</f>
        <v>0</v>
      </c>
      <c r="J162" s="4"/>
      <c r="K162" s="4" t="s">
        <v>698</v>
      </c>
      <c r="L162" s="4" t="s">
        <v>699</v>
      </c>
      <c r="M162" s="4" t="s">
        <v>700</v>
      </c>
      <c r="N162" s="6" t="n">
        <v>5500</v>
      </c>
      <c r="O162" s="6" t="n">
        <v>39246</v>
      </c>
      <c r="P162" s="4" t="s">
        <v>46</v>
      </c>
      <c r="Q162" s="6" t="n">
        <v>110000</v>
      </c>
      <c r="R162" s="15" t="n">
        <v>44860</v>
      </c>
      <c r="S162" s="6"/>
      <c r="T162" s="15"/>
      <c r="U162" s="6"/>
      <c r="V162" s="15"/>
      <c r="W162" s="4" t="s">
        <v>47</v>
      </c>
      <c r="X162" s="4" t="s">
        <v>58</v>
      </c>
      <c r="Y162" s="4" t="s">
        <v>701</v>
      </c>
      <c r="Z162" s="4" t="s">
        <v>697</v>
      </c>
      <c r="AA162" s="6" t="n">
        <v>0</v>
      </c>
      <c r="AB162" s="6" t="n">
        <v>2576.36</v>
      </c>
      <c r="AC162" s="6" t="n">
        <v>1356.15</v>
      </c>
      <c r="AD162" s="14" t="b">
        <f aca="false">TRUE()</f>
        <v>1</v>
      </c>
    </row>
    <row r="163" customFormat="false" ht="15" hidden="false" customHeight="false" outlineLevel="0" collapsed="false">
      <c r="A163" s="14" t="b">
        <f aca="false">TRUE()</f>
        <v>1</v>
      </c>
      <c r="B163" s="14" t="b">
        <f aca="false">FALSE()</f>
        <v>0</v>
      </c>
      <c r="C163" s="4" t="n">
        <v>3</v>
      </c>
      <c r="D163" s="4"/>
      <c r="E163" s="4"/>
      <c r="F163" s="4"/>
      <c r="G163" s="4"/>
      <c r="H163" s="14" t="b">
        <f aca="false">FALSE()</f>
        <v>0</v>
      </c>
      <c r="I163" s="14" t="b">
        <f aca="false">FALSE()</f>
        <v>0</v>
      </c>
      <c r="J163" s="4"/>
      <c r="K163" s="4" t="s">
        <v>702</v>
      </c>
      <c r="L163" s="4" t="s">
        <v>703</v>
      </c>
      <c r="M163" s="4" t="s">
        <v>704</v>
      </c>
      <c r="N163" s="6" t="n">
        <v>13964</v>
      </c>
      <c r="O163" s="6" t="n">
        <v>73866</v>
      </c>
      <c r="P163" s="4" t="s">
        <v>46</v>
      </c>
      <c r="Q163" s="6" t="n">
        <v>118000</v>
      </c>
      <c r="R163" s="15" t="n">
        <v>34520</v>
      </c>
      <c r="S163" s="6" t="n">
        <v>84000</v>
      </c>
      <c r="T163" s="15" t="n">
        <v>38526</v>
      </c>
      <c r="U163" s="6"/>
      <c r="V163" s="15"/>
      <c r="W163" s="4" t="s">
        <v>47</v>
      </c>
      <c r="X163" s="4" t="s">
        <v>58</v>
      </c>
      <c r="Y163" s="4" t="s">
        <v>705</v>
      </c>
      <c r="Z163" s="4" t="s">
        <v>697</v>
      </c>
      <c r="AA163" s="6" t="n">
        <v>0</v>
      </c>
      <c r="AB163" s="6" t="n">
        <v>7659.04</v>
      </c>
      <c r="AC163" s="6" t="n">
        <v>8186.03</v>
      </c>
      <c r="AD163" s="14" t="b">
        <f aca="false">FALSE()</f>
        <v>0</v>
      </c>
    </row>
    <row r="164" customFormat="false" ht="15" hidden="false" customHeight="false" outlineLevel="0" collapsed="false">
      <c r="A164" s="14" t="b">
        <f aca="false">TRUE()</f>
        <v>1</v>
      </c>
      <c r="B164" s="14" t="b">
        <f aca="false">FALSE()</f>
        <v>0</v>
      </c>
      <c r="C164" s="4" t="n">
        <v>3</v>
      </c>
      <c r="D164" s="4"/>
      <c r="E164" s="4"/>
      <c r="F164" s="4"/>
      <c r="G164" s="4"/>
      <c r="H164" s="14" t="b">
        <f aca="false">FALSE()</f>
        <v>0</v>
      </c>
      <c r="I164" s="14" t="b">
        <f aca="false">FALSE()</f>
        <v>0</v>
      </c>
      <c r="J164" s="4"/>
      <c r="K164" s="4" t="s">
        <v>706</v>
      </c>
      <c r="L164" s="4" t="s">
        <v>707</v>
      </c>
      <c r="M164" s="4" t="s">
        <v>708</v>
      </c>
      <c r="N164" s="6" t="n">
        <v>31908</v>
      </c>
      <c r="O164" s="6" t="n">
        <v>95692</v>
      </c>
      <c r="P164" s="4" t="s">
        <v>46</v>
      </c>
      <c r="Q164" s="6" t="n">
        <v>300000</v>
      </c>
      <c r="R164" s="15" t="n">
        <v>42888</v>
      </c>
      <c r="S164" s="6"/>
      <c r="T164" s="15"/>
      <c r="U164" s="6"/>
      <c r="V164" s="15"/>
      <c r="W164" s="4" t="s">
        <v>47</v>
      </c>
      <c r="X164" s="4" t="s">
        <v>58</v>
      </c>
      <c r="Y164" s="4" t="s">
        <v>709</v>
      </c>
      <c r="Z164" s="4" t="s">
        <v>697</v>
      </c>
      <c r="AA164" s="6" t="n">
        <v>0</v>
      </c>
      <c r="AB164" s="6" t="n">
        <v>11474.68</v>
      </c>
      <c r="AC164" s="6" t="n">
        <v>12259.22</v>
      </c>
      <c r="AD164" s="14" t="b">
        <f aca="false">FALSE()</f>
        <v>0</v>
      </c>
    </row>
    <row r="165" customFormat="false" ht="15" hidden="false" customHeight="false" outlineLevel="0" collapsed="false">
      <c r="A165" s="14" t="b">
        <f aca="false">TRUE()</f>
        <v>1</v>
      </c>
      <c r="B165" s="14" t="b">
        <f aca="false">FALSE()</f>
        <v>0</v>
      </c>
      <c r="C165" s="4" t="n">
        <v>2</v>
      </c>
      <c r="D165" s="4"/>
      <c r="E165" s="4"/>
      <c r="F165" s="4" t="s">
        <v>440</v>
      </c>
      <c r="G165" s="4"/>
      <c r="H165" s="14" t="b">
        <f aca="false">FALSE()</f>
        <v>0</v>
      </c>
      <c r="I165" s="14" t="b">
        <f aca="false">FALSE()</f>
        <v>0</v>
      </c>
      <c r="J165" s="4"/>
      <c r="K165" s="4" t="s">
        <v>710</v>
      </c>
      <c r="L165" s="4" t="s">
        <v>711</v>
      </c>
      <c r="M165" s="4" t="s">
        <v>712</v>
      </c>
      <c r="N165" s="6" t="n">
        <v>24746</v>
      </c>
      <c r="O165" s="6" t="n">
        <v>56042</v>
      </c>
      <c r="P165" s="4" t="s">
        <v>46</v>
      </c>
      <c r="Q165" s="6"/>
      <c r="R165" s="15"/>
      <c r="S165" s="6"/>
      <c r="T165" s="15"/>
      <c r="U165" s="6"/>
      <c r="V165" s="15"/>
      <c r="W165" s="4" t="s">
        <v>47</v>
      </c>
      <c r="X165" s="4" t="s">
        <v>58</v>
      </c>
      <c r="Y165" s="4" t="s">
        <v>713</v>
      </c>
      <c r="Z165" s="4" t="s">
        <v>697</v>
      </c>
      <c r="AA165" s="6" t="n">
        <v>0</v>
      </c>
      <c r="AB165" s="6" t="n">
        <v>5832.94</v>
      </c>
      <c r="AC165" s="6" t="n">
        <v>6236.66</v>
      </c>
      <c r="AD165" s="14" t="b">
        <f aca="false">FALSE()</f>
        <v>0</v>
      </c>
    </row>
    <row r="166" customFormat="false" ht="15" hidden="false" customHeight="false" outlineLevel="0" collapsed="false">
      <c r="A166" s="14" t="b">
        <f aca="false">TRUE()</f>
        <v>1</v>
      </c>
      <c r="B166" s="14" t="b">
        <f aca="false">FALSE()</f>
        <v>0</v>
      </c>
      <c r="C166" s="4" t="n">
        <v>2</v>
      </c>
      <c r="D166" s="4"/>
      <c r="E166" s="4"/>
      <c r="F166" s="4"/>
      <c r="G166" s="4"/>
      <c r="H166" s="14" t="b">
        <f aca="false">TRUE()</f>
        <v>1</v>
      </c>
      <c r="I166" s="14" t="b">
        <f aca="false">FALSE()</f>
        <v>0</v>
      </c>
      <c r="J166" s="4"/>
      <c r="K166" s="4" t="s">
        <v>714</v>
      </c>
      <c r="L166" s="4" t="s">
        <v>715</v>
      </c>
      <c r="M166" s="4" t="s">
        <v>716</v>
      </c>
      <c r="N166" s="6" t="n">
        <v>24746</v>
      </c>
      <c r="O166" s="6" t="n">
        <v>49470</v>
      </c>
      <c r="P166" s="4" t="s">
        <v>46</v>
      </c>
      <c r="Q166" s="6"/>
      <c r="R166" s="15" t="n">
        <v>44907</v>
      </c>
      <c r="S166" s="6"/>
      <c r="T166" s="15"/>
      <c r="U166" s="6"/>
      <c r="V166" s="15"/>
      <c r="W166" s="4" t="s">
        <v>58</v>
      </c>
      <c r="X166" s="4" t="s">
        <v>47</v>
      </c>
      <c r="Y166" s="4" t="s">
        <v>717</v>
      </c>
      <c r="Z166" s="4" t="s">
        <v>697</v>
      </c>
      <c r="AA166" s="6" t="n">
        <v>0</v>
      </c>
      <c r="AB166" s="6" t="n">
        <v>5306.28</v>
      </c>
      <c r="AC166" s="6" t="n">
        <v>5674.45</v>
      </c>
      <c r="AD166" s="14" t="b">
        <f aca="false">FALSE()</f>
        <v>0</v>
      </c>
    </row>
    <row r="167" customFormat="false" ht="15" hidden="false" customHeight="false" outlineLevel="0" collapsed="false">
      <c r="A167" s="14" t="b">
        <f aca="false">TRUE()</f>
        <v>1</v>
      </c>
      <c r="B167" s="14" t="b">
        <f aca="false">FALSE()</f>
        <v>0</v>
      </c>
      <c r="C167" s="4" t="n">
        <v>2</v>
      </c>
      <c r="D167" s="4"/>
      <c r="E167" s="4"/>
      <c r="F167" s="4"/>
      <c r="G167" s="4"/>
      <c r="H167" s="14" t="b">
        <f aca="false">FALSE()</f>
        <v>0</v>
      </c>
      <c r="I167" s="14" t="b">
        <f aca="false">FALSE()</f>
        <v>0</v>
      </c>
      <c r="J167" s="4"/>
      <c r="K167" s="4" t="s">
        <v>718</v>
      </c>
      <c r="L167" s="4" t="s">
        <v>719</v>
      </c>
      <c r="M167" s="4" t="s">
        <v>720</v>
      </c>
      <c r="N167" s="6" t="n">
        <v>19956</v>
      </c>
      <c r="O167" s="6" t="n">
        <v>68005</v>
      </c>
      <c r="P167" s="4" t="s">
        <v>46</v>
      </c>
      <c r="Q167" s="6" t="n">
        <v>315000</v>
      </c>
      <c r="R167" s="15" t="n">
        <v>45218</v>
      </c>
      <c r="S167" s="6"/>
      <c r="T167" s="15"/>
      <c r="U167" s="6"/>
      <c r="V167" s="15"/>
      <c r="W167" s="4" t="s">
        <v>47</v>
      </c>
      <c r="X167" s="4" t="s">
        <v>47</v>
      </c>
      <c r="Y167" s="4" t="s">
        <v>721</v>
      </c>
      <c r="Z167" s="4" t="s">
        <v>697</v>
      </c>
      <c r="AA167" s="6" t="n">
        <v>0</v>
      </c>
      <c r="AB167" s="6" t="n">
        <v>7671.62</v>
      </c>
      <c r="AC167" s="6" t="n">
        <v>8199.45</v>
      </c>
      <c r="AD167" s="14" t="b">
        <f aca="false">FALSE()</f>
        <v>0</v>
      </c>
    </row>
    <row r="168" customFormat="false" ht="15" hidden="false" customHeight="false" outlineLevel="0" collapsed="false">
      <c r="A168" s="14" t="b">
        <f aca="false">TRUE()</f>
        <v>1</v>
      </c>
      <c r="B168" s="14" t="b">
        <f aca="false">FALSE()</f>
        <v>0</v>
      </c>
      <c r="C168" s="4" t="n">
        <v>2</v>
      </c>
      <c r="D168" s="4"/>
      <c r="E168" s="4"/>
      <c r="F168" s="4"/>
      <c r="G168" s="4"/>
      <c r="H168" s="14" t="b">
        <f aca="false">FALSE()</f>
        <v>0</v>
      </c>
      <c r="I168" s="14" t="b">
        <f aca="false">FALSE()</f>
        <v>0</v>
      </c>
      <c r="J168" s="4"/>
      <c r="K168" s="4" t="s">
        <v>722</v>
      </c>
      <c r="L168" s="4" t="s">
        <v>723</v>
      </c>
      <c r="M168" s="4" t="s">
        <v>724</v>
      </c>
      <c r="N168" s="6" t="n">
        <v>19967</v>
      </c>
      <c r="O168" s="6" t="n">
        <v>65391</v>
      </c>
      <c r="P168" s="4" t="s">
        <v>46</v>
      </c>
      <c r="Q168" s="6" t="n">
        <v>250000</v>
      </c>
      <c r="R168" s="15" t="n">
        <v>44740</v>
      </c>
      <c r="S168" s="6" t="n">
        <v>187500</v>
      </c>
      <c r="T168" s="15" t="n">
        <v>44740</v>
      </c>
      <c r="U168" s="6"/>
      <c r="V168" s="15"/>
      <c r="W168" s="4" t="s">
        <v>47</v>
      </c>
      <c r="X168" s="4" t="s">
        <v>47</v>
      </c>
      <c r="Y168" s="4" t="s">
        <v>725</v>
      </c>
      <c r="Z168" s="4" t="s">
        <v>697</v>
      </c>
      <c r="AA168" s="6" t="n">
        <v>0</v>
      </c>
      <c r="AB168" s="6" t="n">
        <v>7421.88</v>
      </c>
      <c r="AC168" s="6" t="n">
        <v>3887.93</v>
      </c>
      <c r="AD168" s="14" t="b">
        <f aca="false">TRUE()</f>
        <v>1</v>
      </c>
    </row>
    <row r="169" customFormat="false" ht="15" hidden="false" customHeight="false" outlineLevel="0" collapsed="false">
      <c r="A169" s="14" t="b">
        <f aca="false">TRUE()</f>
        <v>1</v>
      </c>
      <c r="B169" s="14" t="b">
        <f aca="false">FALSE()</f>
        <v>0</v>
      </c>
      <c r="C169" s="4" t="n">
        <v>2</v>
      </c>
      <c r="D169" s="4"/>
      <c r="E169" s="4"/>
      <c r="F169" s="4"/>
      <c r="G169" s="4"/>
      <c r="H169" s="14" t="b">
        <f aca="false">TRUE()</f>
        <v>1</v>
      </c>
      <c r="I169" s="14" t="b">
        <f aca="false">FALSE()</f>
        <v>0</v>
      </c>
      <c r="J169" s="4"/>
      <c r="K169" s="4" t="s">
        <v>726</v>
      </c>
      <c r="L169" s="4" t="s">
        <v>727</v>
      </c>
      <c r="M169" s="4" t="s">
        <v>728</v>
      </c>
      <c r="N169" s="6" t="n">
        <v>15036</v>
      </c>
      <c r="O169" s="6" t="n">
        <v>47611</v>
      </c>
      <c r="P169" s="4" t="s">
        <v>46</v>
      </c>
      <c r="Q169" s="6" t="n">
        <v>168000</v>
      </c>
      <c r="R169" s="15" t="n">
        <v>38546</v>
      </c>
      <c r="S169" s="6"/>
      <c r="T169" s="15"/>
      <c r="U169" s="6"/>
      <c r="V169" s="15"/>
      <c r="W169" s="4" t="s">
        <v>47</v>
      </c>
      <c r="X169" s="4" t="s">
        <v>58</v>
      </c>
      <c r="Y169" s="4" t="s">
        <v>729</v>
      </c>
      <c r="Z169" s="4" t="s">
        <v>632</v>
      </c>
      <c r="AA169" s="6" t="n">
        <v>0</v>
      </c>
      <c r="AB169" s="6" t="n">
        <v>4940.86</v>
      </c>
      <c r="AC169" s="6" t="n">
        <v>5284.37</v>
      </c>
      <c r="AD169" s="14" t="b">
        <f aca="false">FALSE()</f>
        <v>0</v>
      </c>
    </row>
    <row r="170" customFormat="false" ht="15" hidden="false" customHeight="false" outlineLevel="0" collapsed="false">
      <c r="A170" s="14" t="b">
        <f aca="false">TRUE()</f>
        <v>1</v>
      </c>
      <c r="B170" s="14" t="b">
        <f aca="false">FALSE()</f>
        <v>0</v>
      </c>
      <c r="C170" s="4" t="n">
        <v>2</v>
      </c>
      <c r="D170" s="4"/>
      <c r="E170" s="4"/>
      <c r="F170" s="4"/>
      <c r="G170" s="4"/>
      <c r="H170" s="14" t="b">
        <f aca="false">FALSE()</f>
        <v>0</v>
      </c>
      <c r="I170" s="14" t="b">
        <f aca="false">FALSE()</f>
        <v>0</v>
      </c>
      <c r="J170" s="4"/>
      <c r="K170" s="4" t="s">
        <v>726</v>
      </c>
      <c r="L170" s="4" t="s">
        <v>730</v>
      </c>
      <c r="M170" s="4" t="s">
        <v>731</v>
      </c>
      <c r="N170" s="6" t="n">
        <v>15036</v>
      </c>
      <c r="O170" s="6" t="n">
        <v>47611</v>
      </c>
      <c r="P170" s="4" t="s">
        <v>46</v>
      </c>
      <c r="Q170" s="6" t="n">
        <v>173500</v>
      </c>
      <c r="R170" s="15" t="n">
        <v>38489</v>
      </c>
      <c r="S170" s="6"/>
      <c r="T170" s="15"/>
      <c r="U170" s="6"/>
      <c r="V170" s="15"/>
      <c r="W170" s="4" t="s">
        <v>47</v>
      </c>
      <c r="X170" s="4" t="s">
        <v>47</v>
      </c>
      <c r="Y170" s="4" t="s">
        <v>732</v>
      </c>
      <c r="Z170" s="4" t="s">
        <v>632</v>
      </c>
      <c r="AA170" s="6" t="n">
        <v>0</v>
      </c>
      <c r="AB170" s="6" t="n">
        <v>4940.86</v>
      </c>
      <c r="AC170" s="6" t="n">
        <v>2591.6</v>
      </c>
      <c r="AD170" s="14" t="b">
        <f aca="false">TRUE()</f>
        <v>1</v>
      </c>
    </row>
    <row r="171" customFormat="false" ht="15" hidden="false" customHeight="false" outlineLevel="0" collapsed="false">
      <c r="A171" s="14" t="b">
        <f aca="false">TRUE()</f>
        <v>1</v>
      </c>
      <c r="B171" s="14" t="b">
        <f aca="false">FALSE()</f>
        <v>0</v>
      </c>
      <c r="C171" s="4" t="n">
        <v>2</v>
      </c>
      <c r="D171" s="4"/>
      <c r="E171" s="4"/>
      <c r="F171" s="4"/>
      <c r="G171" s="4"/>
      <c r="H171" s="14" t="b">
        <f aca="false">FALSE()</f>
        <v>0</v>
      </c>
      <c r="I171" s="14" t="b">
        <f aca="false">FALSE()</f>
        <v>0</v>
      </c>
      <c r="J171" s="4"/>
      <c r="K171" s="4" t="s">
        <v>733</v>
      </c>
      <c r="L171" s="4" t="s">
        <v>734</v>
      </c>
      <c r="M171" s="4" t="s">
        <v>735</v>
      </c>
      <c r="N171" s="6" t="n">
        <v>15036</v>
      </c>
      <c r="O171" s="6" t="n">
        <v>47611</v>
      </c>
      <c r="P171" s="4" t="s">
        <v>46</v>
      </c>
      <c r="Q171" s="6" t="n">
        <v>170000</v>
      </c>
      <c r="R171" s="15" t="n">
        <v>45224</v>
      </c>
      <c r="S171" s="6"/>
      <c r="T171" s="15"/>
      <c r="U171" s="6"/>
      <c r="V171" s="15"/>
      <c r="W171" s="4" t="s">
        <v>47</v>
      </c>
      <c r="X171" s="4" t="s">
        <v>47</v>
      </c>
      <c r="Y171" s="4" t="s">
        <v>736</v>
      </c>
      <c r="Z171" s="4" t="s">
        <v>632</v>
      </c>
      <c r="AA171" s="6" t="n">
        <v>0</v>
      </c>
      <c r="AB171" s="6" t="n">
        <v>5664.18</v>
      </c>
      <c r="AC171" s="6" t="n">
        <v>6056.51</v>
      </c>
      <c r="AD171" s="14" t="b">
        <f aca="false">FALSE()</f>
        <v>0</v>
      </c>
    </row>
    <row r="172" customFormat="false" ht="15" hidden="false" customHeight="false" outlineLevel="0" collapsed="false">
      <c r="A172" s="14" t="b">
        <f aca="false">TRUE()</f>
        <v>1</v>
      </c>
      <c r="B172" s="14" t="b">
        <f aca="false">FALSE()</f>
        <v>0</v>
      </c>
      <c r="C172" s="4" t="n">
        <v>2</v>
      </c>
      <c r="D172" s="4"/>
      <c r="E172" s="4"/>
      <c r="F172" s="4"/>
      <c r="G172" s="4" t="n">
        <v>2</v>
      </c>
      <c r="H172" s="14" t="b">
        <f aca="false">FALSE()</f>
        <v>0</v>
      </c>
      <c r="I172" s="14" t="b">
        <f aca="false">FALSE()</f>
        <v>0</v>
      </c>
      <c r="J172" s="4"/>
      <c r="K172" s="4" t="s">
        <v>737</v>
      </c>
      <c r="L172" s="4" t="s">
        <v>738</v>
      </c>
      <c r="M172" s="4" t="s">
        <v>739</v>
      </c>
      <c r="N172" s="6" t="n">
        <v>23346</v>
      </c>
      <c r="O172" s="6" t="n">
        <v>75014</v>
      </c>
      <c r="P172" s="4" t="s">
        <v>46</v>
      </c>
      <c r="Q172" s="6" t="n">
        <v>118000</v>
      </c>
      <c r="R172" s="15" t="n">
        <v>33900</v>
      </c>
      <c r="S172" s="6"/>
      <c r="T172" s="15"/>
      <c r="U172" s="6"/>
      <c r="V172" s="15"/>
      <c r="W172" s="4" t="s">
        <v>47</v>
      </c>
      <c r="X172" s="4" t="s">
        <v>58</v>
      </c>
      <c r="Y172" s="4" t="s">
        <v>740</v>
      </c>
      <c r="Z172" s="4" t="s">
        <v>632</v>
      </c>
      <c r="AA172" s="6" t="n">
        <v>0</v>
      </c>
      <c r="AB172" s="6" t="n">
        <v>8267.14</v>
      </c>
      <c r="AC172" s="6" t="n">
        <v>8835.17</v>
      </c>
      <c r="AD172" s="14" t="b">
        <f aca="false">FALSE()</f>
        <v>0</v>
      </c>
    </row>
    <row r="173" customFormat="false" ht="15" hidden="false" customHeight="false" outlineLevel="0" collapsed="false">
      <c r="A173" s="14" t="b">
        <f aca="false">TRUE()</f>
        <v>1</v>
      </c>
      <c r="B173" s="14" t="b">
        <f aca="false">FALSE()</f>
        <v>0</v>
      </c>
      <c r="C173" s="4" t="n">
        <v>3</v>
      </c>
      <c r="D173" s="4"/>
      <c r="E173" s="4"/>
      <c r="F173" s="4"/>
      <c r="G173" s="4"/>
      <c r="H173" s="14" t="b">
        <f aca="false">TRUE()</f>
        <v>1</v>
      </c>
      <c r="I173" s="14" t="b">
        <f aca="false">FALSE()</f>
        <v>0</v>
      </c>
      <c r="J173" s="4"/>
      <c r="K173" s="4" t="s">
        <v>741</v>
      </c>
      <c r="L173" s="4" t="s">
        <v>742</v>
      </c>
      <c r="M173" s="4" t="s">
        <v>743</v>
      </c>
      <c r="N173" s="6" t="n">
        <v>26102</v>
      </c>
      <c r="O173" s="6" t="n">
        <v>51996</v>
      </c>
      <c r="P173" s="4" t="s">
        <v>46</v>
      </c>
      <c r="Q173" s="6"/>
      <c r="R173" s="15"/>
      <c r="S173" s="6" t="n">
        <v>26350</v>
      </c>
      <c r="T173" s="15" t="n">
        <v>41778</v>
      </c>
      <c r="U173" s="6"/>
      <c r="V173" s="15"/>
      <c r="W173" s="4" t="s">
        <v>58</v>
      </c>
      <c r="X173" s="4" t="s">
        <v>47</v>
      </c>
      <c r="Y173" s="4" t="s">
        <v>744</v>
      </c>
      <c r="Z173" s="4" t="s">
        <v>632</v>
      </c>
      <c r="AA173" s="6" t="n">
        <v>0</v>
      </c>
      <c r="AB173" s="6" t="n">
        <v>5681.42</v>
      </c>
      <c r="AC173" s="6" t="n">
        <v>6074.91</v>
      </c>
      <c r="AD173" s="14" t="b">
        <f aca="false">FALSE()</f>
        <v>0</v>
      </c>
    </row>
    <row r="174" customFormat="false" ht="15" hidden="false" customHeight="false" outlineLevel="0" collapsed="false">
      <c r="A174" s="14" t="b">
        <f aca="false">TRUE()</f>
        <v>1</v>
      </c>
      <c r="B174" s="14" t="b">
        <f aca="false">FALSE()</f>
        <v>0</v>
      </c>
      <c r="C174" s="4" t="n">
        <v>3</v>
      </c>
      <c r="D174" s="4"/>
      <c r="E174" s="4"/>
      <c r="F174" s="4"/>
      <c r="G174" s="4" t="n">
        <v>3</v>
      </c>
      <c r="H174" s="14" t="b">
        <f aca="false">FALSE()</f>
        <v>0</v>
      </c>
      <c r="I174" s="14" t="b">
        <f aca="false">FALSE()</f>
        <v>0</v>
      </c>
      <c r="J174" s="4"/>
      <c r="K174" s="4" t="s">
        <v>745</v>
      </c>
      <c r="L174" s="4" t="s">
        <v>746</v>
      </c>
      <c r="M174" s="4" t="s">
        <v>747</v>
      </c>
      <c r="N174" s="6" t="n">
        <v>16720</v>
      </c>
      <c r="O174" s="6" t="n">
        <v>67906</v>
      </c>
      <c r="P174" s="4" t="s">
        <v>46</v>
      </c>
      <c r="Q174" s="6" t="n">
        <v>229000</v>
      </c>
      <c r="R174" s="15" t="n">
        <v>44050</v>
      </c>
      <c r="S174" s="6" t="n">
        <v>211200</v>
      </c>
      <c r="T174" s="15" t="n">
        <v>44582</v>
      </c>
      <c r="U174" s="6"/>
      <c r="V174" s="15"/>
      <c r="W174" s="4" t="s">
        <v>47</v>
      </c>
      <c r="X174" s="4" t="s">
        <v>47</v>
      </c>
      <c r="Y174" s="4" t="s">
        <v>748</v>
      </c>
      <c r="Z174" s="4" t="s">
        <v>632</v>
      </c>
      <c r="AA174" s="6" t="n">
        <v>0</v>
      </c>
      <c r="AB174" s="6" t="n">
        <v>7010.6</v>
      </c>
      <c r="AC174" s="6" t="n">
        <v>7493.82</v>
      </c>
      <c r="AD174" s="14" t="b">
        <f aca="false">FALSE()</f>
        <v>0</v>
      </c>
    </row>
    <row r="175" customFormat="false" ht="15" hidden="false" customHeight="false" outlineLevel="0" collapsed="false">
      <c r="A175" s="14" t="b">
        <f aca="false">TRUE()</f>
        <v>1</v>
      </c>
      <c r="B175" s="14" t="b">
        <f aca="false">FALSE()</f>
        <v>0</v>
      </c>
      <c r="C175" s="4" t="n">
        <v>2</v>
      </c>
      <c r="D175" s="4"/>
      <c r="E175" s="4"/>
      <c r="F175" s="4"/>
      <c r="G175" s="4"/>
      <c r="H175" s="14" t="b">
        <f aca="false">FALSE()</f>
        <v>0</v>
      </c>
      <c r="I175" s="14" t="b">
        <f aca="false">FALSE()</f>
        <v>0</v>
      </c>
      <c r="J175" s="4"/>
      <c r="K175" s="4" t="s">
        <v>749</v>
      </c>
      <c r="L175" s="4" t="s">
        <v>750</v>
      </c>
      <c r="M175" s="4" t="s">
        <v>751</v>
      </c>
      <c r="N175" s="6" t="n">
        <v>16720</v>
      </c>
      <c r="O175" s="6" t="n">
        <v>69875</v>
      </c>
      <c r="P175" s="4" t="s">
        <v>46</v>
      </c>
      <c r="Q175" s="6" t="n">
        <v>231000</v>
      </c>
      <c r="R175" s="15" t="n">
        <v>37454</v>
      </c>
      <c r="S175" s="6"/>
      <c r="T175" s="15"/>
      <c r="U175" s="6"/>
      <c r="V175" s="15"/>
      <c r="W175" s="4" t="s">
        <v>47</v>
      </c>
      <c r="X175" s="4" t="s">
        <v>47</v>
      </c>
      <c r="Y175" s="4" t="s">
        <v>752</v>
      </c>
      <c r="Z175" s="4" t="s">
        <v>632</v>
      </c>
      <c r="AA175" s="6" t="n">
        <v>0</v>
      </c>
      <c r="AB175" s="6" t="n">
        <v>7190.74</v>
      </c>
      <c r="AC175" s="6" t="n">
        <v>7686.11</v>
      </c>
      <c r="AD175" s="14" t="b">
        <f aca="false">FALSE()</f>
        <v>0</v>
      </c>
    </row>
    <row r="176" customFormat="false" ht="15" hidden="false" customHeight="false" outlineLevel="0" collapsed="false">
      <c r="A176" s="14" t="b">
        <f aca="false">TRUE()</f>
        <v>1</v>
      </c>
      <c r="B176" s="14" t="b">
        <f aca="false">FALSE()</f>
        <v>0</v>
      </c>
      <c r="C176" s="4" t="n">
        <v>2</v>
      </c>
      <c r="D176" s="4"/>
      <c r="E176" s="4"/>
      <c r="F176" s="4"/>
      <c r="G176" s="4"/>
      <c r="H176" s="14" t="b">
        <f aca="false">FALSE()</f>
        <v>0</v>
      </c>
      <c r="I176" s="14" t="b">
        <f aca="false">FALSE()</f>
        <v>0</v>
      </c>
      <c r="J176" s="4"/>
      <c r="K176" s="4" t="s">
        <v>753</v>
      </c>
      <c r="L176" s="4" t="s">
        <v>754</v>
      </c>
      <c r="M176" s="4" t="s">
        <v>755</v>
      </c>
      <c r="N176" s="6" t="n">
        <v>16720</v>
      </c>
      <c r="O176" s="6" t="n">
        <v>68267</v>
      </c>
      <c r="P176" s="4" t="s">
        <v>46</v>
      </c>
      <c r="Q176" s="6" t="n">
        <v>165000</v>
      </c>
      <c r="R176" s="15" t="n">
        <v>41550</v>
      </c>
      <c r="S176" s="6"/>
      <c r="T176" s="15"/>
      <c r="U176" s="6"/>
      <c r="V176" s="15"/>
      <c r="W176" s="4" t="s">
        <v>47</v>
      </c>
      <c r="X176" s="4" t="s">
        <v>47</v>
      </c>
      <c r="Y176" s="4" t="s">
        <v>756</v>
      </c>
      <c r="Z176" s="4" t="s">
        <v>632</v>
      </c>
      <c r="AA176" s="6" t="n">
        <v>0</v>
      </c>
      <c r="AB176" s="6" t="n">
        <v>7043.62</v>
      </c>
      <c r="AC176" s="6" t="n">
        <v>3690.29</v>
      </c>
      <c r="AD176" s="14" t="b">
        <f aca="false">TRUE()</f>
        <v>1</v>
      </c>
    </row>
    <row r="177" customFormat="false" ht="15" hidden="false" customHeight="false" outlineLevel="0" collapsed="false">
      <c r="A177" s="14" t="b">
        <f aca="false">TRUE()</f>
        <v>1</v>
      </c>
      <c r="B177" s="14" t="b">
        <f aca="false">FALSE()</f>
        <v>0</v>
      </c>
      <c r="C177" s="4" t="n">
        <v>2</v>
      </c>
      <c r="D177" s="4"/>
      <c r="E177" s="4"/>
      <c r="F177" s="4"/>
      <c r="G177" s="4"/>
      <c r="H177" s="14" t="b">
        <f aca="false">FALSE()</f>
        <v>0</v>
      </c>
      <c r="I177" s="14" t="b">
        <f aca="false">FALSE()</f>
        <v>0</v>
      </c>
      <c r="J177" s="4"/>
      <c r="K177" s="4" t="s">
        <v>757</v>
      </c>
      <c r="L177" s="4" t="s">
        <v>758</v>
      </c>
      <c r="M177" s="4" t="s">
        <v>759</v>
      </c>
      <c r="N177" s="6" t="n">
        <v>23313</v>
      </c>
      <c r="O177" s="6" t="n">
        <v>75933</v>
      </c>
      <c r="P177" s="4" t="s">
        <v>46</v>
      </c>
      <c r="Q177" s="6" t="n">
        <v>180000</v>
      </c>
      <c r="R177" s="15" t="n">
        <v>37119</v>
      </c>
      <c r="S177" s="6"/>
      <c r="T177" s="15"/>
      <c r="U177" s="6"/>
      <c r="V177" s="15"/>
      <c r="W177" s="4" t="s">
        <v>47</v>
      </c>
      <c r="X177" s="4" t="s">
        <v>47</v>
      </c>
      <c r="Y177" s="4" t="s">
        <v>760</v>
      </c>
      <c r="Z177" s="4" t="s">
        <v>632</v>
      </c>
      <c r="AA177" s="6" t="n">
        <v>0</v>
      </c>
      <c r="AB177" s="6" t="n">
        <v>8348.2</v>
      </c>
      <c r="AC177" s="6" t="n">
        <v>8921.7</v>
      </c>
      <c r="AD177" s="14" t="b">
        <f aca="false">FALSE()</f>
        <v>0</v>
      </c>
    </row>
    <row r="178" customFormat="false" ht="15" hidden="false" customHeight="false" outlineLevel="0" collapsed="false">
      <c r="A178" s="14" t="b">
        <f aca="false">TRUE()</f>
        <v>1</v>
      </c>
      <c r="B178" s="14" t="b">
        <f aca="false">FALSE()</f>
        <v>0</v>
      </c>
      <c r="C178" s="4" t="n">
        <v>2</v>
      </c>
      <c r="D178" s="4"/>
      <c r="E178" s="4"/>
      <c r="F178" s="4"/>
      <c r="G178" s="4"/>
      <c r="H178" s="14" t="b">
        <f aca="false">FALSE()</f>
        <v>0</v>
      </c>
      <c r="I178" s="14" t="b">
        <f aca="false">FALSE()</f>
        <v>0</v>
      </c>
      <c r="J178" s="4"/>
      <c r="K178" s="4" t="s">
        <v>761</v>
      </c>
      <c r="L178" s="4" t="s">
        <v>762</v>
      </c>
      <c r="M178" s="4" t="s">
        <v>763</v>
      </c>
      <c r="N178" s="6" t="n">
        <v>23313</v>
      </c>
      <c r="O178" s="6" t="n">
        <v>86474</v>
      </c>
      <c r="P178" s="4" t="s">
        <v>46</v>
      </c>
      <c r="Q178" s="6"/>
      <c r="R178" s="15" t="n">
        <v>43055</v>
      </c>
      <c r="S178" s="6" t="n">
        <v>346003</v>
      </c>
      <c r="T178" s="15" t="n">
        <v>45819</v>
      </c>
      <c r="U178" s="6"/>
      <c r="V178" s="15"/>
      <c r="W178" s="4" t="s">
        <v>47</v>
      </c>
      <c r="X178" s="4" t="s">
        <v>47</v>
      </c>
      <c r="Y178" s="4" t="s">
        <v>764</v>
      </c>
      <c r="Z178" s="4" t="s">
        <v>632</v>
      </c>
      <c r="AA178" s="6" t="n">
        <v>0</v>
      </c>
      <c r="AB178" s="6" t="n">
        <v>9312.6</v>
      </c>
      <c r="AC178" s="6" t="n">
        <v>4875.83</v>
      </c>
      <c r="AD178" s="14" t="b">
        <f aca="false">TRUE()</f>
        <v>1</v>
      </c>
    </row>
    <row r="179" customFormat="false" ht="15" hidden="false" customHeight="false" outlineLevel="0" collapsed="false">
      <c r="A179" s="14" t="b">
        <f aca="false">TRUE()</f>
        <v>1</v>
      </c>
      <c r="B179" s="14" t="b">
        <f aca="false">FALSE()</f>
        <v>0</v>
      </c>
      <c r="C179" s="4" t="n">
        <v>3</v>
      </c>
      <c r="D179" s="4"/>
      <c r="E179" s="4"/>
      <c r="F179" s="4"/>
      <c r="G179" s="4"/>
      <c r="H179" s="14" t="b">
        <f aca="false">FALSE()</f>
        <v>0</v>
      </c>
      <c r="I179" s="14" t="b">
        <f aca="false">FALSE()</f>
        <v>0</v>
      </c>
      <c r="J179" s="4"/>
      <c r="K179" s="4" t="s">
        <v>765</v>
      </c>
      <c r="L179" s="4" t="s">
        <v>766</v>
      </c>
      <c r="M179" s="4" t="s">
        <v>767</v>
      </c>
      <c r="N179" s="6" t="n">
        <v>23313</v>
      </c>
      <c r="O179" s="6" t="n">
        <v>109503</v>
      </c>
      <c r="P179" s="4" t="s">
        <v>46</v>
      </c>
      <c r="Q179" s="6"/>
      <c r="R179" s="15"/>
      <c r="S179" s="6" t="n">
        <v>87600</v>
      </c>
      <c r="T179" s="15" t="n">
        <v>45947</v>
      </c>
      <c r="U179" s="6"/>
      <c r="V179" s="15"/>
      <c r="W179" s="4" t="s">
        <v>47</v>
      </c>
      <c r="X179" s="4" t="s">
        <v>58</v>
      </c>
      <c r="Y179" s="4" t="s">
        <v>768</v>
      </c>
      <c r="Z179" s="4" t="s">
        <v>632</v>
      </c>
      <c r="AA179" s="6" t="n">
        <v>0</v>
      </c>
      <c r="AB179" s="6" t="n">
        <v>10687.62</v>
      </c>
      <c r="AC179" s="6" t="n">
        <v>11419.03</v>
      </c>
      <c r="AD179" s="14" t="b">
        <f aca="false">FALSE()</f>
        <v>0</v>
      </c>
    </row>
    <row r="180" customFormat="false" ht="15" hidden="false" customHeight="false" outlineLevel="0" collapsed="false">
      <c r="A180" s="14" t="b">
        <f aca="false">TRUE()</f>
        <v>1</v>
      </c>
      <c r="B180" s="14" t="b">
        <f aca="false">FALSE()</f>
        <v>0</v>
      </c>
      <c r="C180" s="4" t="n">
        <v>2</v>
      </c>
      <c r="D180" s="4"/>
      <c r="E180" s="4"/>
      <c r="F180" s="4"/>
      <c r="G180" s="4"/>
      <c r="H180" s="14" t="b">
        <f aca="false">FALSE()</f>
        <v>0</v>
      </c>
      <c r="I180" s="14" t="b">
        <f aca="false">FALSE()</f>
        <v>0</v>
      </c>
      <c r="J180" s="4"/>
      <c r="K180" s="4" t="s">
        <v>769</v>
      </c>
      <c r="L180" s="4" t="s">
        <v>770</v>
      </c>
      <c r="M180" s="4" t="s">
        <v>771</v>
      </c>
      <c r="N180" s="6" t="n">
        <v>23313</v>
      </c>
      <c r="O180" s="6" t="n">
        <v>92313</v>
      </c>
      <c r="P180" s="4" t="s">
        <v>46</v>
      </c>
      <c r="Q180" s="6"/>
      <c r="R180" s="15" t="n">
        <v>44743</v>
      </c>
      <c r="S180" s="6"/>
      <c r="T180" s="15"/>
      <c r="U180" s="6"/>
      <c r="V180" s="15"/>
      <c r="W180" s="4" t="s">
        <v>47</v>
      </c>
      <c r="X180" s="4" t="s">
        <v>47</v>
      </c>
      <c r="Y180" s="4" t="s">
        <v>772</v>
      </c>
      <c r="Z180" s="4" t="s">
        <v>632</v>
      </c>
      <c r="AA180" s="6" t="n">
        <v>0</v>
      </c>
      <c r="AB180" s="6" t="n">
        <v>9114.88</v>
      </c>
      <c r="AC180" s="6" t="n">
        <v>4772.52</v>
      </c>
      <c r="AD180" s="14" t="b">
        <f aca="false">TRUE()</f>
        <v>1</v>
      </c>
    </row>
    <row r="181" customFormat="false" ht="15" hidden="false" customHeight="false" outlineLevel="0" collapsed="false">
      <c r="A181" s="14" t="b">
        <f aca="false">TRUE()</f>
        <v>1</v>
      </c>
      <c r="B181" s="14" t="b">
        <f aca="false">FALSE()</f>
        <v>0</v>
      </c>
      <c r="C181" s="4" t="n">
        <v>3</v>
      </c>
      <c r="D181" s="4"/>
      <c r="E181" s="4"/>
      <c r="F181" s="4"/>
      <c r="G181" s="4"/>
      <c r="H181" s="14" t="b">
        <f aca="false">FALSE()</f>
        <v>0</v>
      </c>
      <c r="I181" s="14" t="b">
        <f aca="false">FALSE()</f>
        <v>0</v>
      </c>
      <c r="J181" s="4"/>
      <c r="K181" s="4" t="s">
        <v>773</v>
      </c>
      <c r="L181" s="4" t="s">
        <v>774</v>
      </c>
      <c r="M181" s="4" t="s">
        <v>775</v>
      </c>
      <c r="N181" s="6" t="n">
        <v>23313</v>
      </c>
      <c r="O181" s="6" t="n">
        <v>87469</v>
      </c>
      <c r="P181" s="4" t="s">
        <v>46</v>
      </c>
      <c r="Q181" s="6" t="n">
        <v>305000</v>
      </c>
      <c r="R181" s="15" t="n">
        <v>44210</v>
      </c>
      <c r="S181" s="6"/>
      <c r="T181" s="15"/>
      <c r="U181" s="6"/>
      <c r="V181" s="15"/>
      <c r="W181" s="4" t="s">
        <v>47</v>
      </c>
      <c r="X181" s="4" t="s">
        <v>47</v>
      </c>
      <c r="Y181" s="4" t="s">
        <v>776</v>
      </c>
      <c r="Z181" s="4" t="s">
        <v>632</v>
      </c>
      <c r="AA181" s="6" t="n">
        <v>0</v>
      </c>
      <c r="AB181" s="6" t="n">
        <v>9403.62</v>
      </c>
      <c r="AC181" s="6" t="n">
        <v>10048.36</v>
      </c>
      <c r="AD181" s="14" t="b">
        <f aca="false">FALSE()</f>
        <v>0</v>
      </c>
    </row>
    <row r="182" customFormat="false" ht="15" hidden="false" customHeight="false" outlineLevel="0" collapsed="false">
      <c r="A182" s="14" t="b">
        <f aca="false">TRUE()</f>
        <v>1</v>
      </c>
      <c r="B182" s="14" t="b">
        <f aca="false">FALSE()</f>
        <v>0</v>
      </c>
      <c r="C182" s="4" t="n">
        <v>3</v>
      </c>
      <c r="D182" s="4"/>
      <c r="E182" s="4"/>
      <c r="F182" s="4"/>
      <c r="G182" s="4"/>
      <c r="H182" s="14" t="b">
        <f aca="false">FALSE()</f>
        <v>0</v>
      </c>
      <c r="I182" s="14" t="b">
        <f aca="false">FALSE()</f>
        <v>0</v>
      </c>
      <c r="J182" s="4"/>
      <c r="K182" s="4" t="s">
        <v>777</v>
      </c>
      <c r="L182" s="4" t="s">
        <v>778</v>
      </c>
      <c r="M182" s="4" t="s">
        <v>779</v>
      </c>
      <c r="N182" s="6" t="n">
        <v>23346</v>
      </c>
      <c r="O182" s="6" t="n">
        <v>59158</v>
      </c>
      <c r="P182" s="4" t="s">
        <v>46</v>
      </c>
      <c r="Q182" s="6"/>
      <c r="R182" s="15" t="n">
        <v>40081</v>
      </c>
      <c r="S182" s="6" t="n">
        <v>58400</v>
      </c>
      <c r="T182" s="15" t="n">
        <v>42129</v>
      </c>
      <c r="U182" s="6"/>
      <c r="V182" s="15"/>
      <c r="W182" s="4" t="s">
        <v>47</v>
      </c>
      <c r="X182" s="4" t="s">
        <v>47</v>
      </c>
      <c r="Y182" s="4" t="s">
        <v>780</v>
      </c>
      <c r="Z182" s="4" t="s">
        <v>632</v>
      </c>
      <c r="AA182" s="6" t="n">
        <v>0</v>
      </c>
      <c r="AB182" s="6" t="n">
        <v>6816.46</v>
      </c>
      <c r="AC182" s="6" t="n">
        <v>7286.57</v>
      </c>
      <c r="AD182" s="14" t="b">
        <f aca="false">FALSE()</f>
        <v>0</v>
      </c>
    </row>
    <row r="183" customFormat="false" ht="15" hidden="false" customHeight="false" outlineLevel="0" collapsed="false">
      <c r="A183" s="14" t="b">
        <f aca="false">TRUE()</f>
        <v>1</v>
      </c>
      <c r="B183" s="14" t="b">
        <f aca="false">FALSE()</f>
        <v>0</v>
      </c>
      <c r="C183" s="4" t="n">
        <v>3</v>
      </c>
      <c r="D183" s="4"/>
      <c r="E183" s="4"/>
      <c r="F183" s="4"/>
      <c r="G183" s="4"/>
      <c r="H183" s="14" t="b">
        <f aca="false">FALSE()</f>
        <v>0</v>
      </c>
      <c r="I183" s="14" t="b">
        <f aca="false">FALSE()</f>
        <v>0</v>
      </c>
      <c r="J183" s="4"/>
      <c r="K183" s="4" t="s">
        <v>781</v>
      </c>
      <c r="L183" s="4" t="s">
        <v>782</v>
      </c>
      <c r="M183" s="4" t="s">
        <v>783</v>
      </c>
      <c r="N183" s="6" t="n">
        <v>32903</v>
      </c>
      <c r="O183" s="6" t="n">
        <v>90367</v>
      </c>
      <c r="P183" s="4" t="s">
        <v>46</v>
      </c>
      <c r="Q183" s="6" t="n">
        <v>255000</v>
      </c>
      <c r="R183" s="15" t="n">
        <v>41941</v>
      </c>
      <c r="S183" s="6"/>
      <c r="T183" s="15"/>
      <c r="U183" s="6"/>
      <c r="V183" s="15"/>
      <c r="W183" s="4" t="s">
        <v>47</v>
      </c>
      <c r="X183" s="4" t="s">
        <v>47</v>
      </c>
      <c r="Y183" s="4" t="s">
        <v>784</v>
      </c>
      <c r="Z183" s="4" t="s">
        <v>186</v>
      </c>
      <c r="AA183" s="6" t="n">
        <v>0</v>
      </c>
      <c r="AB183" s="6" t="n">
        <v>9717.44</v>
      </c>
      <c r="AC183" s="6" t="n">
        <v>10383.36</v>
      </c>
      <c r="AD183" s="14" t="b">
        <f aca="false">FALSE()</f>
        <v>0</v>
      </c>
    </row>
    <row r="184" customFormat="false" ht="15" hidden="false" customHeight="false" outlineLevel="0" collapsed="false">
      <c r="A184" s="14" t="b">
        <f aca="false">TRUE()</f>
        <v>1</v>
      </c>
      <c r="B184" s="14" t="b">
        <f aca="false">FALSE()</f>
        <v>0</v>
      </c>
      <c r="C184" s="4" t="n">
        <v>2</v>
      </c>
      <c r="D184" s="4"/>
      <c r="E184" s="4"/>
      <c r="F184" s="4"/>
      <c r="G184" s="4"/>
      <c r="H184" s="14" t="b">
        <f aca="false">FALSE()</f>
        <v>0</v>
      </c>
      <c r="I184" s="14" t="b">
        <f aca="false">FALSE()</f>
        <v>0</v>
      </c>
      <c r="J184" s="4"/>
      <c r="K184" s="4" t="s">
        <v>785</v>
      </c>
      <c r="L184" s="4" t="s">
        <v>786</v>
      </c>
      <c r="M184" s="4" t="s">
        <v>787</v>
      </c>
      <c r="N184" s="6" t="n">
        <v>9492</v>
      </c>
      <c r="O184" s="6" t="n">
        <v>28475</v>
      </c>
      <c r="P184" s="4" t="s">
        <v>46</v>
      </c>
      <c r="Q184" s="6" t="n">
        <v>81500</v>
      </c>
      <c r="R184" s="15" t="n">
        <v>37530</v>
      </c>
      <c r="S184" s="6"/>
      <c r="T184" s="15"/>
      <c r="U184" s="6"/>
      <c r="V184" s="15"/>
      <c r="W184" s="4" t="s">
        <v>58</v>
      </c>
      <c r="X184" s="4" t="s">
        <v>58</v>
      </c>
      <c r="Y184" s="4" t="s">
        <v>788</v>
      </c>
      <c r="Z184" s="4" t="s">
        <v>186</v>
      </c>
      <c r="AA184" s="6" t="n">
        <v>0</v>
      </c>
      <c r="AB184" s="6" t="n">
        <v>3257.18</v>
      </c>
      <c r="AC184" s="6" t="n">
        <v>3487.04</v>
      </c>
      <c r="AD184" s="14" t="b">
        <f aca="false">FALSE()</f>
        <v>0</v>
      </c>
    </row>
    <row r="185" customFormat="false" ht="15" hidden="false" customHeight="false" outlineLevel="0" collapsed="false">
      <c r="A185" s="14" t="b">
        <f aca="false">TRUE()</f>
        <v>1</v>
      </c>
      <c r="B185" s="14" t="b">
        <f aca="false">FALSE()</f>
        <v>0</v>
      </c>
      <c r="C185" s="4" t="n">
        <v>2</v>
      </c>
      <c r="D185" s="4"/>
      <c r="E185" s="4"/>
      <c r="F185" s="4"/>
      <c r="G185" s="4"/>
      <c r="H185" s="14" t="b">
        <f aca="false">FALSE()</f>
        <v>0</v>
      </c>
      <c r="I185" s="14" t="b">
        <f aca="false">FALSE()</f>
        <v>0</v>
      </c>
      <c r="J185" s="4"/>
      <c r="K185" s="4" t="s">
        <v>789</v>
      </c>
      <c r="L185" s="4" t="s">
        <v>790</v>
      </c>
      <c r="M185" s="4" t="s">
        <v>791</v>
      </c>
      <c r="N185" s="6" t="n">
        <v>9492</v>
      </c>
      <c r="O185" s="6" t="n">
        <v>28475</v>
      </c>
      <c r="P185" s="4" t="s">
        <v>46</v>
      </c>
      <c r="Q185" s="6" t="n">
        <v>47000</v>
      </c>
      <c r="R185" s="15" t="n">
        <v>42852</v>
      </c>
      <c r="S185" s="6"/>
      <c r="T185" s="15"/>
      <c r="U185" s="6"/>
      <c r="V185" s="15"/>
      <c r="W185" s="4" t="s">
        <v>58</v>
      </c>
      <c r="X185" s="4" t="s">
        <v>58</v>
      </c>
      <c r="Y185" s="4" t="s">
        <v>792</v>
      </c>
      <c r="Z185" s="4" t="s">
        <v>186</v>
      </c>
      <c r="AA185" s="6" t="n">
        <v>0</v>
      </c>
      <c r="AB185" s="6" t="n">
        <v>3257.18</v>
      </c>
      <c r="AC185" s="6" t="n">
        <v>1711.88</v>
      </c>
      <c r="AD185" s="14" t="b">
        <f aca="false">TRUE()</f>
        <v>1</v>
      </c>
    </row>
    <row r="186" customFormat="false" ht="15" hidden="false" customHeight="false" outlineLevel="0" collapsed="false">
      <c r="A186" s="14" t="b">
        <f aca="false">TRUE()</f>
        <v>1</v>
      </c>
      <c r="B186" s="14" t="b">
        <f aca="false">FALSE()</f>
        <v>0</v>
      </c>
      <c r="C186" s="4" t="n">
        <v>2</v>
      </c>
      <c r="D186" s="4"/>
      <c r="E186" s="4"/>
      <c r="F186" s="4"/>
      <c r="G186" s="4"/>
      <c r="H186" s="14" t="b">
        <f aca="false">FALSE()</f>
        <v>0</v>
      </c>
      <c r="I186" s="14" t="b">
        <f aca="false">FALSE()</f>
        <v>0</v>
      </c>
      <c r="J186" s="4"/>
      <c r="K186" s="4" t="s">
        <v>793</v>
      </c>
      <c r="L186" s="4" t="s">
        <v>794</v>
      </c>
      <c r="M186" s="4" t="s">
        <v>795</v>
      </c>
      <c r="N186" s="6" t="n">
        <v>9492</v>
      </c>
      <c r="O186" s="6" t="n">
        <v>29503</v>
      </c>
      <c r="P186" s="4" t="s">
        <v>46</v>
      </c>
      <c r="Q186" s="6" t="n">
        <v>72000</v>
      </c>
      <c r="R186" s="15" t="n">
        <v>43622</v>
      </c>
      <c r="S186" s="6" t="n">
        <v>88000</v>
      </c>
      <c r="T186" s="15" t="n">
        <v>44328</v>
      </c>
      <c r="U186" s="6"/>
      <c r="V186" s="15"/>
      <c r="W186" s="4" t="s">
        <v>58</v>
      </c>
      <c r="X186" s="4" t="s">
        <v>58</v>
      </c>
      <c r="Y186" s="4" t="s">
        <v>796</v>
      </c>
      <c r="Z186" s="4" t="s">
        <v>186</v>
      </c>
      <c r="AA186" s="6" t="n">
        <v>0</v>
      </c>
      <c r="AB186" s="6" t="n">
        <v>1801.16</v>
      </c>
      <c r="AC186" s="6" t="n">
        <v>951.11</v>
      </c>
      <c r="AD186" s="14" t="b">
        <f aca="false">TRUE()</f>
        <v>1</v>
      </c>
    </row>
    <row r="187" customFormat="false" ht="15" hidden="false" customHeight="false" outlineLevel="0" collapsed="false">
      <c r="A187" s="14" t="b">
        <f aca="false">TRUE()</f>
        <v>1</v>
      </c>
      <c r="B187" s="14" t="b">
        <f aca="false">FALSE()</f>
        <v>0</v>
      </c>
      <c r="C187" s="4" t="n">
        <v>2</v>
      </c>
      <c r="D187" s="4"/>
      <c r="E187" s="4"/>
      <c r="F187" s="4"/>
      <c r="G187" s="4"/>
      <c r="H187" s="14" t="b">
        <f aca="false">FALSE()</f>
        <v>0</v>
      </c>
      <c r="I187" s="14" t="b">
        <f aca="false">FALSE()</f>
        <v>0</v>
      </c>
      <c r="J187" s="4"/>
      <c r="K187" s="4" t="s">
        <v>797</v>
      </c>
      <c r="L187" s="4" t="s">
        <v>798</v>
      </c>
      <c r="M187" s="4" t="s">
        <v>799</v>
      </c>
      <c r="N187" s="6" t="n">
        <v>8562</v>
      </c>
      <c r="O187" s="6" t="n">
        <v>34467</v>
      </c>
      <c r="P187" s="4" t="s">
        <v>46</v>
      </c>
      <c r="Q187" s="6" t="n">
        <v>126500</v>
      </c>
      <c r="R187" s="15" t="n">
        <v>44412</v>
      </c>
      <c r="S187" s="6"/>
      <c r="T187" s="15"/>
      <c r="U187" s="6"/>
      <c r="V187" s="15"/>
      <c r="W187" s="4" t="s">
        <v>47</v>
      </c>
      <c r="X187" s="4" t="s">
        <v>47</v>
      </c>
      <c r="Y187" s="4" t="s">
        <v>800</v>
      </c>
      <c r="Z187" s="4" t="s">
        <v>186</v>
      </c>
      <c r="AA187" s="6" t="n">
        <v>0</v>
      </c>
      <c r="AB187" s="6" t="n">
        <v>3005.14</v>
      </c>
      <c r="AC187" s="6" t="n">
        <v>1580.19</v>
      </c>
      <c r="AD187" s="14" t="b">
        <f aca="false">TRUE()</f>
        <v>1</v>
      </c>
    </row>
    <row r="188" customFormat="false" ht="15" hidden="false" customHeight="false" outlineLevel="0" collapsed="false">
      <c r="A188" s="14" t="b">
        <f aca="false">TRUE()</f>
        <v>1</v>
      </c>
      <c r="B188" s="14" t="b">
        <f aca="false">FALSE()</f>
        <v>0</v>
      </c>
      <c r="C188" s="4" t="n">
        <v>2</v>
      </c>
      <c r="D188" s="4"/>
      <c r="E188" s="4"/>
      <c r="F188" s="4"/>
      <c r="G188" s="4"/>
      <c r="H188" s="14" t="b">
        <f aca="false">FALSE()</f>
        <v>0</v>
      </c>
      <c r="I188" s="14" t="b">
        <f aca="false">FALSE()</f>
        <v>0</v>
      </c>
      <c r="J188" s="4"/>
      <c r="K188" s="4" t="s">
        <v>801</v>
      </c>
      <c r="L188" s="4" t="s">
        <v>802</v>
      </c>
      <c r="M188" s="4" t="s">
        <v>803</v>
      </c>
      <c r="N188" s="6" t="n">
        <v>8562</v>
      </c>
      <c r="O188" s="6" t="n">
        <v>34467</v>
      </c>
      <c r="P188" s="4" t="s">
        <v>46</v>
      </c>
      <c r="Q188" s="6" t="n">
        <v>115000</v>
      </c>
      <c r="R188" s="15" t="n">
        <v>44354</v>
      </c>
      <c r="S188" s="6"/>
      <c r="T188" s="15"/>
      <c r="U188" s="6"/>
      <c r="V188" s="15"/>
      <c r="W188" s="4" t="s">
        <v>47</v>
      </c>
      <c r="X188" s="4" t="s">
        <v>47</v>
      </c>
      <c r="Y188" s="4" t="s">
        <v>804</v>
      </c>
      <c r="Z188" s="4" t="s">
        <v>186</v>
      </c>
      <c r="AA188" s="6" t="n">
        <v>0</v>
      </c>
      <c r="AB188" s="6" t="n">
        <v>3005.14</v>
      </c>
      <c r="AC188" s="6" t="n">
        <v>1580.19</v>
      </c>
      <c r="AD188" s="14" t="b">
        <f aca="false">TRUE()</f>
        <v>1</v>
      </c>
    </row>
    <row r="189" customFormat="false" ht="15" hidden="false" customHeight="false" outlineLevel="0" collapsed="false">
      <c r="A189" s="14" t="b">
        <f aca="false">TRUE()</f>
        <v>1</v>
      </c>
      <c r="B189" s="14" t="b">
        <f aca="false">FALSE()</f>
        <v>0</v>
      </c>
      <c r="C189" s="4" t="n">
        <v>3</v>
      </c>
      <c r="D189" s="4"/>
      <c r="E189" s="4"/>
      <c r="F189" s="4"/>
      <c r="G189" s="4"/>
      <c r="H189" s="14" t="b">
        <f aca="false">FALSE()</f>
        <v>0</v>
      </c>
      <c r="I189" s="14" t="b">
        <f aca="false">FALSE()</f>
        <v>0</v>
      </c>
      <c r="J189" s="4"/>
      <c r="K189" s="4" t="s">
        <v>805</v>
      </c>
      <c r="L189" s="4" t="s">
        <v>806</v>
      </c>
      <c r="M189" s="4" t="s">
        <v>807</v>
      </c>
      <c r="N189" s="6" t="n">
        <v>8912</v>
      </c>
      <c r="O189" s="6" t="n">
        <v>50388</v>
      </c>
      <c r="P189" s="4" t="s">
        <v>46</v>
      </c>
      <c r="Q189" s="6" t="n">
        <v>212000</v>
      </c>
      <c r="R189" s="15" t="n">
        <v>45546</v>
      </c>
      <c r="S189" s="6" t="n">
        <v>159000</v>
      </c>
      <c r="T189" s="15" t="n">
        <v>45546</v>
      </c>
      <c r="U189" s="6"/>
      <c r="V189" s="15"/>
      <c r="W189" s="4" t="s">
        <v>47</v>
      </c>
      <c r="X189" s="4" t="s">
        <v>47</v>
      </c>
      <c r="Y189" s="4" t="s">
        <v>808</v>
      </c>
      <c r="Z189" s="4" t="s">
        <v>186</v>
      </c>
      <c r="AA189" s="6" t="n">
        <v>0</v>
      </c>
      <c r="AB189" s="6" t="n">
        <v>4401.02</v>
      </c>
      <c r="AC189" s="6" t="n">
        <v>4708.09</v>
      </c>
      <c r="AD189" s="14" t="b">
        <f aca="false">FALSE()</f>
        <v>0</v>
      </c>
    </row>
    <row r="190" customFormat="false" ht="15" hidden="false" customHeight="false" outlineLevel="0" collapsed="false">
      <c r="A190" s="14" t="b">
        <f aca="false">TRUE()</f>
        <v>1</v>
      </c>
      <c r="B190" s="14" t="b">
        <f aca="false">FALSE()</f>
        <v>0</v>
      </c>
      <c r="C190" s="4" t="n">
        <v>2</v>
      </c>
      <c r="D190" s="4"/>
      <c r="E190" s="4"/>
      <c r="F190" s="4"/>
      <c r="G190" s="4" t="n">
        <v>2</v>
      </c>
      <c r="H190" s="14" t="b">
        <f aca="false">FALSE()</f>
        <v>0</v>
      </c>
      <c r="I190" s="14" t="b">
        <f aca="false">FALSE()</f>
        <v>0</v>
      </c>
      <c r="J190" s="4"/>
      <c r="K190" s="4" t="s">
        <v>809</v>
      </c>
      <c r="L190" s="4" t="s">
        <v>810</v>
      </c>
      <c r="M190" s="4" t="s">
        <v>811</v>
      </c>
      <c r="N190" s="6" t="n">
        <v>8912</v>
      </c>
      <c r="O190" s="6" t="n">
        <v>46375</v>
      </c>
      <c r="P190" s="4" t="s">
        <v>46</v>
      </c>
      <c r="Q190" s="6" t="n">
        <v>209000</v>
      </c>
      <c r="R190" s="15" t="n">
        <v>45309</v>
      </c>
      <c r="S190" s="6" t="n">
        <v>144200</v>
      </c>
      <c r="T190" s="15" t="n">
        <v>45309</v>
      </c>
      <c r="U190" s="6"/>
      <c r="V190" s="15"/>
      <c r="W190" s="4" t="s">
        <v>47</v>
      </c>
      <c r="X190" s="4" t="s">
        <v>47</v>
      </c>
      <c r="Y190" s="4" t="s">
        <v>812</v>
      </c>
      <c r="Z190" s="4" t="s">
        <v>186</v>
      </c>
      <c r="AA190" s="6" t="n">
        <v>0</v>
      </c>
      <c r="AB190" s="6" t="n">
        <v>4056.76</v>
      </c>
      <c r="AC190" s="6" t="n">
        <v>2129.66</v>
      </c>
      <c r="AD190" s="14" t="b">
        <f aca="false">TRUE()</f>
        <v>1</v>
      </c>
    </row>
    <row r="191" customFormat="false" ht="15" hidden="false" customHeight="false" outlineLevel="0" collapsed="false">
      <c r="A191" s="14" t="b">
        <f aca="false">TRUE()</f>
        <v>1</v>
      </c>
      <c r="B191" s="14" t="b">
        <f aca="false">FALSE()</f>
        <v>0</v>
      </c>
      <c r="C191" s="4" t="n">
        <v>2</v>
      </c>
      <c r="D191" s="4"/>
      <c r="E191" s="4"/>
      <c r="F191" s="4"/>
      <c r="G191" s="4"/>
      <c r="H191" s="14" t="b">
        <f aca="false">TRUE()</f>
        <v>1</v>
      </c>
      <c r="I191" s="14" t="b">
        <f aca="false">FALSE()</f>
        <v>0</v>
      </c>
      <c r="J191" s="4"/>
      <c r="K191" s="4" t="s">
        <v>813</v>
      </c>
      <c r="L191" s="4" t="s">
        <v>814</v>
      </c>
      <c r="M191" s="4" t="s">
        <v>815</v>
      </c>
      <c r="N191" s="6" t="n">
        <v>32903</v>
      </c>
      <c r="O191" s="6" t="n">
        <v>73921</v>
      </c>
      <c r="P191" s="4" t="s">
        <v>46</v>
      </c>
      <c r="Q191" s="6" t="n">
        <v>166000</v>
      </c>
      <c r="R191" s="15" t="n">
        <v>36172</v>
      </c>
      <c r="S191" s="6" t="n">
        <v>242400</v>
      </c>
      <c r="T191" s="15" t="n">
        <v>44560</v>
      </c>
      <c r="U191" s="6" t="n">
        <v>150000</v>
      </c>
      <c r="V191" s="15" t="n">
        <v>45621</v>
      </c>
      <c r="W191" s="4" t="s">
        <v>47</v>
      </c>
      <c r="X191" s="4" t="s">
        <v>58</v>
      </c>
      <c r="Y191" s="4" t="s">
        <v>816</v>
      </c>
      <c r="Z191" s="4" t="s">
        <v>186</v>
      </c>
      <c r="AA191" s="6" t="n">
        <v>0</v>
      </c>
      <c r="AB191" s="6" t="n">
        <v>8478.14</v>
      </c>
      <c r="AC191" s="6" t="n">
        <v>4439.83</v>
      </c>
      <c r="AD191" s="14" t="b">
        <f aca="false">TRUE()</f>
        <v>1</v>
      </c>
    </row>
    <row r="192" customFormat="false" ht="15" hidden="false" customHeight="false" outlineLevel="0" collapsed="false">
      <c r="A192" s="14" t="b">
        <f aca="false">TRUE()</f>
        <v>1</v>
      </c>
      <c r="B192" s="14" t="b">
        <f aca="false">FALSE()</f>
        <v>0</v>
      </c>
      <c r="C192" s="4" t="n">
        <v>3</v>
      </c>
      <c r="D192" s="4"/>
      <c r="E192" s="4"/>
      <c r="F192" s="4"/>
      <c r="G192" s="4" t="n">
        <v>3</v>
      </c>
      <c r="H192" s="14" t="b">
        <f aca="false">FALSE()</f>
        <v>0</v>
      </c>
      <c r="I192" s="14" t="b">
        <f aca="false">FALSE()</f>
        <v>0</v>
      </c>
      <c r="J192" s="4"/>
      <c r="K192" s="4" t="s">
        <v>817</v>
      </c>
      <c r="L192" s="4" t="s">
        <v>818</v>
      </c>
      <c r="M192" s="4" t="s">
        <v>819</v>
      </c>
      <c r="N192" s="6" t="n">
        <v>31023</v>
      </c>
      <c r="O192" s="6" t="n">
        <v>75408</v>
      </c>
      <c r="P192" s="4" t="s">
        <v>46</v>
      </c>
      <c r="Q192" s="6" t="n">
        <v>135000</v>
      </c>
      <c r="R192" s="15" t="n">
        <v>41222</v>
      </c>
      <c r="S192" s="6" t="n">
        <v>144503.9</v>
      </c>
      <c r="T192" s="15" t="n">
        <v>44075</v>
      </c>
      <c r="U192" s="6"/>
      <c r="V192" s="15"/>
      <c r="W192" s="4" t="s">
        <v>47</v>
      </c>
      <c r="X192" s="4" t="s">
        <v>58</v>
      </c>
      <c r="Y192" s="4" t="s">
        <v>820</v>
      </c>
      <c r="Z192" s="4" t="s">
        <v>186</v>
      </c>
      <c r="AA192" s="6" t="n">
        <v>0</v>
      </c>
      <c r="AB192" s="6" t="n">
        <v>8444.4</v>
      </c>
      <c r="AC192" s="6" t="n">
        <v>9024.4</v>
      </c>
      <c r="AD192" s="14" t="b">
        <f aca="false">FALSE()</f>
        <v>0</v>
      </c>
    </row>
    <row r="193" customFormat="false" ht="15" hidden="false" customHeight="false" outlineLevel="0" collapsed="false">
      <c r="A193" s="14" t="b">
        <f aca="false">TRUE()</f>
        <v>1</v>
      </c>
      <c r="B193" s="14" t="b">
        <f aca="false">FALSE()</f>
        <v>0</v>
      </c>
      <c r="C193" s="4" t="n">
        <v>2</v>
      </c>
      <c r="D193" s="4"/>
      <c r="E193" s="4"/>
      <c r="F193" s="4"/>
      <c r="G193" s="4"/>
      <c r="H193" s="14" t="b">
        <f aca="false">FALSE()</f>
        <v>0</v>
      </c>
      <c r="I193" s="14" t="b">
        <f aca="false">FALSE()</f>
        <v>0</v>
      </c>
      <c r="J193" s="4"/>
      <c r="K193" s="4" t="s">
        <v>821</v>
      </c>
      <c r="L193" s="4" t="s">
        <v>822</v>
      </c>
      <c r="M193" s="4" t="s">
        <v>823</v>
      </c>
      <c r="N193" s="6" t="n">
        <v>31023</v>
      </c>
      <c r="O193" s="6" t="n">
        <v>77824</v>
      </c>
      <c r="P193" s="4" t="s">
        <v>46</v>
      </c>
      <c r="Q193" s="6" t="n">
        <v>162500</v>
      </c>
      <c r="R193" s="15" t="n">
        <v>35634</v>
      </c>
      <c r="S193" s="6"/>
      <c r="T193" s="15"/>
      <c r="U193" s="6"/>
      <c r="V193" s="15"/>
      <c r="W193" s="4" t="s">
        <v>47</v>
      </c>
      <c r="X193" s="4" t="s">
        <v>58</v>
      </c>
      <c r="Y193" s="4" t="s">
        <v>824</v>
      </c>
      <c r="Z193" s="4" t="s">
        <v>186</v>
      </c>
      <c r="AA193" s="6" t="n">
        <v>0</v>
      </c>
      <c r="AB193" s="6" t="n">
        <v>8651.66</v>
      </c>
      <c r="AC193" s="6" t="n">
        <v>9245.64</v>
      </c>
      <c r="AD193" s="14" t="b">
        <f aca="false">FALSE()</f>
        <v>0</v>
      </c>
    </row>
    <row r="194" customFormat="false" ht="15" hidden="false" customHeight="false" outlineLevel="0" collapsed="false">
      <c r="A194" s="14" t="b">
        <f aca="false">TRUE()</f>
        <v>1</v>
      </c>
      <c r="B194" s="14" t="b">
        <f aca="false">FALSE()</f>
        <v>0</v>
      </c>
      <c r="C194" s="4" t="n">
        <v>3</v>
      </c>
      <c r="D194" s="4"/>
      <c r="E194" s="4"/>
      <c r="F194" s="4"/>
      <c r="G194" s="4" t="n">
        <v>3</v>
      </c>
      <c r="H194" s="14" t="b">
        <f aca="false">FALSE()</f>
        <v>0</v>
      </c>
      <c r="I194" s="14" t="b">
        <f aca="false">FALSE()</f>
        <v>0</v>
      </c>
      <c r="J194" s="4"/>
      <c r="K194" s="4" t="s">
        <v>825</v>
      </c>
      <c r="L194" s="4" t="s">
        <v>826</v>
      </c>
      <c r="M194" s="4" t="s">
        <v>827</v>
      </c>
      <c r="N194" s="6" t="n">
        <v>32357</v>
      </c>
      <c r="O194" s="6" t="n">
        <v>82067</v>
      </c>
      <c r="P194" s="4" t="s">
        <v>46</v>
      </c>
      <c r="Q194" s="6" t="n">
        <v>335500</v>
      </c>
      <c r="R194" s="15" t="n">
        <v>45078</v>
      </c>
      <c r="S194" s="6" t="n">
        <v>325435</v>
      </c>
      <c r="T194" s="15" t="n">
        <v>45078</v>
      </c>
      <c r="U194" s="6"/>
      <c r="V194" s="15"/>
      <c r="W194" s="4" t="s">
        <v>47</v>
      </c>
      <c r="X194" s="4" t="s">
        <v>47</v>
      </c>
      <c r="Y194" s="4" t="s">
        <v>828</v>
      </c>
      <c r="Z194" s="4" t="s">
        <v>186</v>
      </c>
      <c r="AA194" s="6" t="n">
        <v>0</v>
      </c>
      <c r="AB194" s="6" t="n">
        <v>9130.12</v>
      </c>
      <c r="AC194" s="6" t="n">
        <v>9756.41</v>
      </c>
      <c r="AD194" s="14" t="b">
        <f aca="false">FALSE()</f>
        <v>0</v>
      </c>
    </row>
    <row r="195" customFormat="false" ht="15" hidden="false" customHeight="false" outlineLevel="0" collapsed="false">
      <c r="A195" s="14" t="b">
        <f aca="false">TRUE()</f>
        <v>1</v>
      </c>
      <c r="B195" s="14" t="b">
        <f aca="false">FALSE()</f>
        <v>0</v>
      </c>
      <c r="C195" s="4" t="n">
        <v>2</v>
      </c>
      <c r="D195" s="4"/>
      <c r="E195" s="4"/>
      <c r="F195" s="4"/>
      <c r="G195" s="4"/>
      <c r="H195" s="14" t="b">
        <f aca="false">TRUE()</f>
        <v>1</v>
      </c>
      <c r="I195" s="14" t="b">
        <f aca="false">FALSE()</f>
        <v>0</v>
      </c>
      <c r="J195" s="4"/>
      <c r="K195" s="4" t="s">
        <v>829</v>
      </c>
      <c r="L195" s="4" t="s">
        <v>830</v>
      </c>
      <c r="M195" s="4" t="s">
        <v>831</v>
      </c>
      <c r="N195" s="6" t="n">
        <v>31023</v>
      </c>
      <c r="O195" s="6" t="n">
        <v>66266</v>
      </c>
      <c r="P195" s="4" t="s">
        <v>46</v>
      </c>
      <c r="Q195" s="6"/>
      <c r="R195" s="15"/>
      <c r="S195" s="6" t="n">
        <v>81900</v>
      </c>
      <c r="T195" s="15" t="n">
        <v>44071</v>
      </c>
      <c r="U195" s="6"/>
      <c r="V195" s="15"/>
      <c r="W195" s="4" t="s">
        <v>47</v>
      </c>
      <c r="X195" s="4" t="s">
        <v>47</v>
      </c>
      <c r="Y195" s="4" t="s">
        <v>832</v>
      </c>
      <c r="Z195" s="4" t="s">
        <v>186</v>
      </c>
      <c r="AA195" s="6" t="n">
        <v>0</v>
      </c>
      <c r="AB195" s="6" t="n">
        <v>5333.56</v>
      </c>
      <c r="AC195" s="6" t="n">
        <v>2796.79</v>
      </c>
      <c r="AD195" s="14" t="b">
        <f aca="false">TRUE()</f>
        <v>1</v>
      </c>
    </row>
    <row r="196" customFormat="false" ht="15" hidden="false" customHeight="false" outlineLevel="0" collapsed="false">
      <c r="A196" s="14" t="b">
        <f aca="false">TRUE()</f>
        <v>1</v>
      </c>
      <c r="B196" s="14" t="b">
        <f aca="false">FALSE()</f>
        <v>0</v>
      </c>
      <c r="C196" s="4" t="n">
        <v>2</v>
      </c>
      <c r="D196" s="4"/>
      <c r="E196" s="4"/>
      <c r="F196" s="4"/>
      <c r="G196" s="4"/>
      <c r="H196" s="14" t="b">
        <f aca="false">FALSE()</f>
        <v>0</v>
      </c>
      <c r="I196" s="14" t="b">
        <f aca="false">FALSE()</f>
        <v>0</v>
      </c>
      <c r="J196" s="4"/>
      <c r="K196" s="4" t="s">
        <v>833</v>
      </c>
      <c r="L196" s="4" t="s">
        <v>834</v>
      </c>
      <c r="M196" s="4" t="s">
        <v>835</v>
      </c>
      <c r="N196" s="6" t="n">
        <v>31023</v>
      </c>
      <c r="O196" s="6" t="n">
        <v>60449</v>
      </c>
      <c r="P196" s="4" t="s">
        <v>46</v>
      </c>
      <c r="Q196" s="6" t="n">
        <v>212000</v>
      </c>
      <c r="R196" s="15" t="n">
        <v>43738</v>
      </c>
      <c r="S196" s="6" t="n">
        <v>271700</v>
      </c>
      <c r="T196" s="15" t="n">
        <v>45833</v>
      </c>
      <c r="U196" s="6"/>
      <c r="V196" s="15"/>
      <c r="W196" s="4" t="s">
        <v>47</v>
      </c>
      <c r="X196" s="4" t="s">
        <v>47</v>
      </c>
      <c r="Y196" s="4" t="s">
        <v>836</v>
      </c>
      <c r="Z196" s="4" t="s">
        <v>186</v>
      </c>
      <c r="AA196" s="6" t="n">
        <v>0</v>
      </c>
      <c r="AB196" s="6" t="n">
        <v>7161.08</v>
      </c>
      <c r="AC196" s="6" t="n">
        <v>3751.66</v>
      </c>
      <c r="AD196" s="14" t="b">
        <f aca="false">TRUE()</f>
        <v>1</v>
      </c>
    </row>
    <row r="197" customFormat="false" ht="15" hidden="false" customHeight="false" outlineLevel="0" collapsed="false">
      <c r="A197" s="14" t="b">
        <f aca="false">TRUE()</f>
        <v>1</v>
      </c>
      <c r="B197" s="14" t="b">
        <f aca="false">FALSE()</f>
        <v>0</v>
      </c>
      <c r="C197" s="4" t="n">
        <v>2</v>
      </c>
      <c r="D197" s="4"/>
      <c r="E197" s="4"/>
      <c r="F197" s="4"/>
      <c r="G197" s="4"/>
      <c r="H197" s="14" t="b">
        <f aca="false">FALSE()</f>
        <v>0</v>
      </c>
      <c r="I197" s="14" t="b">
        <f aca="false">FALSE()</f>
        <v>0</v>
      </c>
      <c r="J197" s="4"/>
      <c r="K197" s="4" t="s">
        <v>837</v>
      </c>
      <c r="L197" s="4" t="s">
        <v>838</v>
      </c>
      <c r="M197" s="4" t="s">
        <v>839</v>
      </c>
      <c r="N197" s="6" t="n">
        <v>31023</v>
      </c>
      <c r="O197" s="6" t="n">
        <v>62001</v>
      </c>
      <c r="P197" s="4" t="s">
        <v>46</v>
      </c>
      <c r="Q197" s="6"/>
      <c r="R197" s="15"/>
      <c r="S197" s="6"/>
      <c r="T197" s="15"/>
      <c r="U197" s="6"/>
      <c r="V197" s="15"/>
      <c r="W197" s="4" t="s">
        <v>47</v>
      </c>
      <c r="X197" s="4" t="s">
        <v>47</v>
      </c>
      <c r="Y197" s="4" t="s">
        <v>840</v>
      </c>
      <c r="Z197" s="4" t="s">
        <v>186</v>
      </c>
      <c r="AA197" s="6" t="n">
        <v>0</v>
      </c>
      <c r="AB197" s="6" t="n">
        <v>7294.2</v>
      </c>
      <c r="AC197" s="6" t="n">
        <v>7796.56</v>
      </c>
      <c r="AD197" s="14" t="b">
        <f aca="false">FALSE()</f>
        <v>0</v>
      </c>
    </row>
    <row r="198" customFormat="false" ht="15" hidden="false" customHeight="false" outlineLevel="0" collapsed="false">
      <c r="A198" s="14" t="b">
        <f aca="false">TRUE()</f>
        <v>1</v>
      </c>
      <c r="B198" s="14" t="b">
        <f aca="false">FALSE()</f>
        <v>0</v>
      </c>
      <c r="C198" s="4" t="n">
        <v>3</v>
      </c>
      <c r="D198" s="4"/>
      <c r="E198" s="4"/>
      <c r="F198" s="4"/>
      <c r="G198" s="4"/>
      <c r="H198" s="14" t="b">
        <f aca="false">FALSE()</f>
        <v>0</v>
      </c>
      <c r="I198" s="14" t="b">
        <f aca="false">FALSE()</f>
        <v>0</v>
      </c>
      <c r="J198" s="4"/>
      <c r="K198" s="4" t="s">
        <v>841</v>
      </c>
      <c r="L198" s="4" t="s">
        <v>842</v>
      </c>
      <c r="M198" s="4" t="s">
        <v>843</v>
      </c>
      <c r="N198" s="6" t="n">
        <v>26025</v>
      </c>
      <c r="O198" s="6" t="n">
        <v>95375</v>
      </c>
      <c r="P198" s="4" t="s">
        <v>46</v>
      </c>
      <c r="Q198" s="6" t="n">
        <v>346500</v>
      </c>
      <c r="R198" s="15" t="n">
        <v>42691</v>
      </c>
      <c r="S198" s="6" t="n">
        <v>277024</v>
      </c>
      <c r="T198" s="15" t="n">
        <v>42691</v>
      </c>
      <c r="U198" s="6"/>
      <c r="V198" s="15"/>
      <c r="W198" s="4" t="s">
        <v>47</v>
      </c>
      <c r="X198" s="4" t="s">
        <v>47</v>
      </c>
      <c r="Y198" s="4" t="s">
        <v>844</v>
      </c>
      <c r="Z198" s="4" t="s">
        <v>186</v>
      </c>
      <c r="AA198" s="6" t="n">
        <v>0</v>
      </c>
      <c r="AB198" s="6" t="n">
        <v>9728.58</v>
      </c>
      <c r="AC198" s="6" t="n">
        <v>10395.26</v>
      </c>
      <c r="AD198" s="14" t="b">
        <f aca="false">FALSE()</f>
        <v>0</v>
      </c>
    </row>
    <row r="199" customFormat="false" ht="15" hidden="false" customHeight="false" outlineLevel="0" collapsed="false">
      <c r="A199" s="14" t="b">
        <f aca="false">TRUE()</f>
        <v>1</v>
      </c>
      <c r="B199" s="14" t="b">
        <f aca="false">FALSE()</f>
        <v>0</v>
      </c>
      <c r="C199" s="4" t="n">
        <v>2</v>
      </c>
      <c r="D199" s="4"/>
      <c r="E199" s="4"/>
      <c r="F199" s="4"/>
      <c r="G199" s="4"/>
      <c r="H199" s="14" t="b">
        <f aca="false">FALSE()</f>
        <v>0</v>
      </c>
      <c r="I199" s="14" t="b">
        <f aca="false">FALSE()</f>
        <v>0</v>
      </c>
      <c r="J199" s="4"/>
      <c r="K199" s="4" t="s">
        <v>845</v>
      </c>
      <c r="L199" s="4" t="s">
        <v>846</v>
      </c>
      <c r="M199" s="4" t="s">
        <v>847</v>
      </c>
      <c r="N199" s="6" t="n">
        <v>12105</v>
      </c>
      <c r="O199" s="6" t="n">
        <v>69208</v>
      </c>
      <c r="P199" s="4" t="s">
        <v>46</v>
      </c>
      <c r="Q199" s="6" t="n">
        <v>325000</v>
      </c>
      <c r="R199" s="15" t="n">
        <v>45863</v>
      </c>
      <c r="S199" s="6" t="n">
        <v>305550</v>
      </c>
      <c r="T199" s="15" t="n">
        <v>45863</v>
      </c>
      <c r="U199" s="6"/>
      <c r="V199" s="15"/>
      <c r="W199" s="4" t="s">
        <v>47</v>
      </c>
      <c r="X199" s="4" t="s">
        <v>47</v>
      </c>
      <c r="Y199" s="4" t="s">
        <v>848</v>
      </c>
      <c r="Z199" s="4" t="s">
        <v>632</v>
      </c>
      <c r="AA199" s="6" t="n">
        <v>0</v>
      </c>
      <c r="AB199" s="6" t="n">
        <v>6707.48</v>
      </c>
      <c r="AC199" s="6" t="n">
        <v>3514.66</v>
      </c>
      <c r="AD199" s="14" t="b">
        <f aca="false">TRUE()</f>
        <v>1</v>
      </c>
    </row>
    <row r="200" customFormat="false" ht="15" hidden="false" customHeight="false" outlineLevel="0" collapsed="false">
      <c r="A200" s="14" t="b">
        <f aca="false">TRUE()</f>
        <v>1</v>
      </c>
      <c r="B200" s="14" t="b">
        <f aca="false">FALSE()</f>
        <v>0</v>
      </c>
      <c r="C200" s="4" t="n">
        <v>2</v>
      </c>
      <c r="D200" s="4"/>
      <c r="E200" s="4"/>
      <c r="F200" s="4"/>
      <c r="G200" s="4"/>
      <c r="H200" s="14" t="b">
        <f aca="false">FALSE()</f>
        <v>0</v>
      </c>
      <c r="I200" s="14" t="b">
        <f aca="false">FALSE()</f>
        <v>0</v>
      </c>
      <c r="J200" s="4"/>
      <c r="K200" s="4" t="s">
        <v>849</v>
      </c>
      <c r="L200" s="4" t="s">
        <v>850</v>
      </c>
      <c r="M200" s="4" t="s">
        <v>851</v>
      </c>
      <c r="N200" s="6" t="n">
        <v>12105</v>
      </c>
      <c r="O200" s="6" t="n">
        <v>71624</v>
      </c>
      <c r="P200" s="4" t="s">
        <v>46</v>
      </c>
      <c r="Q200" s="6" t="n">
        <v>162000</v>
      </c>
      <c r="R200" s="15" t="n">
        <v>42272</v>
      </c>
      <c r="S200" s="6"/>
      <c r="T200" s="15"/>
      <c r="U200" s="6"/>
      <c r="V200" s="15"/>
      <c r="W200" s="4" t="s">
        <v>47</v>
      </c>
      <c r="X200" s="4" t="s">
        <v>47</v>
      </c>
      <c r="Y200" s="4" t="s">
        <v>852</v>
      </c>
      <c r="Z200" s="4" t="s">
        <v>632</v>
      </c>
      <c r="AA200" s="6" t="n">
        <v>0</v>
      </c>
      <c r="AB200" s="6" t="n">
        <v>6928.54</v>
      </c>
      <c r="AC200" s="6" t="n">
        <v>7406.21</v>
      </c>
      <c r="AD200" s="14" t="b">
        <f aca="false">FALSE()</f>
        <v>0</v>
      </c>
    </row>
    <row r="201" customFormat="false" ht="15" hidden="false" customHeight="false" outlineLevel="0" collapsed="false">
      <c r="A201" s="14" t="b">
        <f aca="false">TRUE()</f>
        <v>1</v>
      </c>
      <c r="B201" s="14" t="b">
        <f aca="false">FALSE()</f>
        <v>0</v>
      </c>
      <c r="C201" s="4" t="n">
        <v>3</v>
      </c>
      <c r="D201" s="4"/>
      <c r="E201" s="4"/>
      <c r="F201" s="4"/>
      <c r="G201" s="4"/>
      <c r="H201" s="14" t="b">
        <f aca="false">FALSE()</f>
        <v>0</v>
      </c>
      <c r="I201" s="14" t="b">
        <f aca="false">FALSE()</f>
        <v>0</v>
      </c>
      <c r="J201" s="4"/>
      <c r="K201" s="4" t="s">
        <v>853</v>
      </c>
      <c r="L201" s="4" t="s">
        <v>854</v>
      </c>
      <c r="M201" s="4" t="s">
        <v>855</v>
      </c>
      <c r="N201" s="6" t="n">
        <v>12105</v>
      </c>
      <c r="O201" s="6" t="n">
        <v>62548</v>
      </c>
      <c r="P201" s="4" t="s">
        <v>46</v>
      </c>
      <c r="Q201" s="6" t="n">
        <v>151500</v>
      </c>
      <c r="R201" s="15" t="n">
        <v>42572</v>
      </c>
      <c r="S201" s="6" t="n">
        <v>150000</v>
      </c>
      <c r="T201" s="15" t="n">
        <v>42572</v>
      </c>
      <c r="U201" s="6"/>
      <c r="V201" s="15"/>
      <c r="W201" s="4" t="s">
        <v>47</v>
      </c>
      <c r="X201" s="4" t="s">
        <v>58</v>
      </c>
      <c r="Y201" s="4" t="s">
        <v>856</v>
      </c>
      <c r="Z201" s="4" t="s">
        <v>632</v>
      </c>
      <c r="AA201" s="6" t="n">
        <v>0</v>
      </c>
      <c r="AB201" s="6" t="n">
        <v>6098.16</v>
      </c>
      <c r="AC201" s="6" t="n">
        <v>6519.79</v>
      </c>
      <c r="AD201" s="14" t="b">
        <f aca="false">FALSE()</f>
        <v>0</v>
      </c>
    </row>
    <row r="202" customFormat="false" ht="15" hidden="false" customHeight="false" outlineLevel="0" collapsed="false">
      <c r="A202" s="14" t="b">
        <f aca="false">TRUE()</f>
        <v>1</v>
      </c>
      <c r="B202" s="14" t="b">
        <f aca="false">FALSE()</f>
        <v>0</v>
      </c>
      <c r="C202" s="4" t="n">
        <v>2</v>
      </c>
      <c r="D202" s="4"/>
      <c r="E202" s="4"/>
      <c r="F202" s="4"/>
      <c r="G202" s="4"/>
      <c r="H202" s="14" t="b">
        <f aca="false">FALSE()</f>
        <v>0</v>
      </c>
      <c r="I202" s="14" t="b">
        <f aca="false">FALSE()</f>
        <v>0</v>
      </c>
      <c r="J202" s="4"/>
      <c r="K202" s="4" t="s">
        <v>857</v>
      </c>
      <c r="L202" s="4" t="s">
        <v>858</v>
      </c>
      <c r="M202" s="4" t="s">
        <v>859</v>
      </c>
      <c r="N202" s="6" t="n">
        <v>12105</v>
      </c>
      <c r="O202" s="6" t="n">
        <v>80350</v>
      </c>
      <c r="P202" s="4" t="s">
        <v>46</v>
      </c>
      <c r="Q202" s="6" t="n">
        <v>218000</v>
      </c>
      <c r="R202" s="15" t="n">
        <v>44064</v>
      </c>
      <c r="S202" s="6" t="n">
        <v>190575</v>
      </c>
      <c r="T202" s="15" t="n">
        <v>44064</v>
      </c>
      <c r="U202" s="6"/>
      <c r="V202" s="15"/>
      <c r="W202" s="4" t="s">
        <v>47</v>
      </c>
      <c r="X202" s="4" t="s">
        <v>47</v>
      </c>
      <c r="Y202" s="4" t="s">
        <v>860</v>
      </c>
      <c r="Z202" s="4" t="s">
        <v>632</v>
      </c>
      <c r="AA202" s="6" t="n">
        <v>0</v>
      </c>
      <c r="AB202" s="6" t="n">
        <v>7726.88</v>
      </c>
      <c r="AC202" s="6" t="n">
        <v>4047.29</v>
      </c>
      <c r="AD202" s="14" t="b">
        <f aca="false">TRUE()</f>
        <v>1</v>
      </c>
    </row>
    <row r="203" customFormat="false" ht="15" hidden="false" customHeight="false" outlineLevel="0" collapsed="false">
      <c r="A203" s="14" t="b">
        <f aca="false">TRUE()</f>
        <v>1</v>
      </c>
      <c r="B203" s="14" t="b">
        <f aca="false">FALSE()</f>
        <v>0</v>
      </c>
      <c r="C203" s="4" t="n">
        <v>2</v>
      </c>
      <c r="D203" s="4"/>
      <c r="E203" s="4"/>
      <c r="F203" s="4"/>
      <c r="G203" s="4"/>
      <c r="H203" s="14" t="b">
        <f aca="false">TRUE()</f>
        <v>1</v>
      </c>
      <c r="I203" s="14" t="b">
        <f aca="false">FALSE()</f>
        <v>0</v>
      </c>
      <c r="J203" s="4"/>
      <c r="K203" s="4" t="s">
        <v>861</v>
      </c>
      <c r="L203" s="4" t="s">
        <v>862</v>
      </c>
      <c r="M203" s="4" t="s">
        <v>863</v>
      </c>
      <c r="N203" s="6" t="n">
        <v>23915</v>
      </c>
      <c r="O203" s="6" t="n">
        <v>81630</v>
      </c>
      <c r="P203" s="4" t="s">
        <v>46</v>
      </c>
      <c r="Q203" s="6" t="n">
        <v>179000</v>
      </c>
      <c r="R203" s="15" t="n">
        <v>44503</v>
      </c>
      <c r="S203" s="6"/>
      <c r="T203" s="15"/>
      <c r="U203" s="6"/>
      <c r="V203" s="15"/>
      <c r="W203" s="4" t="s">
        <v>47</v>
      </c>
      <c r="X203" s="4" t="s">
        <v>47</v>
      </c>
      <c r="Y203" s="4" t="s">
        <v>864</v>
      </c>
      <c r="Z203" s="4" t="s">
        <v>632</v>
      </c>
      <c r="AA203" s="6" t="n">
        <v>0</v>
      </c>
      <c r="AB203" s="6" t="n">
        <v>8924.5</v>
      </c>
      <c r="AC203" s="6" t="n">
        <v>9536.9</v>
      </c>
      <c r="AD203" s="14" t="b">
        <f aca="false">FALSE()</f>
        <v>0</v>
      </c>
    </row>
    <row r="204" customFormat="false" ht="15" hidden="false" customHeight="false" outlineLevel="0" collapsed="false">
      <c r="A204" s="14" t="b">
        <f aca="false">TRUE()</f>
        <v>1</v>
      </c>
      <c r="B204" s="14" t="b">
        <f aca="false">FALSE()</f>
        <v>0</v>
      </c>
      <c r="C204" s="4" t="n">
        <v>3</v>
      </c>
      <c r="D204" s="4"/>
      <c r="E204" s="4"/>
      <c r="F204" s="4"/>
      <c r="G204" s="4"/>
      <c r="H204" s="14" t="b">
        <f aca="false">FALSE()</f>
        <v>0</v>
      </c>
      <c r="I204" s="14" t="b">
        <f aca="false">FALSE()</f>
        <v>0</v>
      </c>
      <c r="J204" s="4"/>
      <c r="K204" s="4" t="s">
        <v>865</v>
      </c>
      <c r="L204" s="4" t="s">
        <v>866</v>
      </c>
      <c r="M204" s="4" t="s">
        <v>867</v>
      </c>
      <c r="N204" s="6" t="n">
        <v>23915</v>
      </c>
      <c r="O204" s="6" t="n">
        <v>85905</v>
      </c>
      <c r="P204" s="4" t="s">
        <v>46</v>
      </c>
      <c r="Q204" s="6"/>
      <c r="R204" s="15"/>
      <c r="S204" s="6" t="n">
        <v>65800</v>
      </c>
      <c r="T204" s="15" t="n">
        <v>36286</v>
      </c>
      <c r="U204" s="6" t="n">
        <v>28458.65</v>
      </c>
      <c r="V204" s="15" t="n">
        <v>34513</v>
      </c>
      <c r="W204" s="4" t="s">
        <v>47</v>
      </c>
      <c r="X204" s="4" t="s">
        <v>47</v>
      </c>
      <c r="Y204" s="4" t="s">
        <v>868</v>
      </c>
      <c r="Z204" s="4" t="s">
        <v>632</v>
      </c>
      <c r="AA204" s="6" t="n">
        <v>0</v>
      </c>
      <c r="AB204" s="6" t="n">
        <v>8583.68</v>
      </c>
      <c r="AC204" s="6" t="n">
        <v>9173.08</v>
      </c>
      <c r="AD204" s="14" t="b">
        <f aca="false">FALSE()</f>
        <v>0</v>
      </c>
    </row>
    <row r="205" customFormat="false" ht="15" hidden="false" customHeight="false" outlineLevel="0" collapsed="false">
      <c r="A205" s="14" t="b">
        <f aca="false">TRUE()</f>
        <v>1</v>
      </c>
      <c r="B205" s="14" t="b">
        <f aca="false">FALSE()</f>
        <v>0</v>
      </c>
      <c r="C205" s="4" t="n">
        <v>3</v>
      </c>
      <c r="D205" s="4"/>
      <c r="E205" s="4"/>
      <c r="F205" s="4"/>
      <c r="G205" s="4"/>
      <c r="H205" s="14" t="b">
        <f aca="false">FALSE()</f>
        <v>0</v>
      </c>
      <c r="I205" s="14" t="b">
        <f aca="false">FALSE()</f>
        <v>0</v>
      </c>
      <c r="J205" s="4"/>
      <c r="K205" s="4" t="s">
        <v>869</v>
      </c>
      <c r="L205" s="4" t="s">
        <v>870</v>
      </c>
      <c r="M205" s="4" t="s">
        <v>871</v>
      </c>
      <c r="N205" s="6" t="n">
        <v>23915</v>
      </c>
      <c r="O205" s="6" t="n">
        <v>88912</v>
      </c>
      <c r="P205" s="4" t="s">
        <v>46</v>
      </c>
      <c r="Q205" s="6" t="n">
        <v>143000</v>
      </c>
      <c r="R205" s="15" t="n">
        <v>40729</v>
      </c>
      <c r="S205" s="6" t="n">
        <v>150000</v>
      </c>
      <c r="T205" s="15" t="n">
        <v>43838</v>
      </c>
      <c r="U205" s="6"/>
      <c r="V205" s="15"/>
      <c r="W205" s="4" t="s">
        <v>47</v>
      </c>
      <c r="X205" s="4" t="s">
        <v>58</v>
      </c>
      <c r="Y205" s="4" t="s">
        <v>872</v>
      </c>
      <c r="Z205" s="4" t="s">
        <v>632</v>
      </c>
      <c r="AA205" s="6" t="n">
        <v>0</v>
      </c>
      <c r="AB205" s="6" t="n">
        <v>9590.74</v>
      </c>
      <c r="AC205" s="6" t="n">
        <v>10248.11</v>
      </c>
      <c r="AD205" s="14" t="b">
        <f aca="false">FALSE()</f>
        <v>0</v>
      </c>
    </row>
    <row r="206" customFormat="false" ht="15" hidden="false" customHeight="false" outlineLevel="0" collapsed="false">
      <c r="A206" s="14" t="b">
        <f aca="false">TRUE()</f>
        <v>1</v>
      </c>
      <c r="B206" s="14" t="b">
        <f aca="false">FALSE()</f>
        <v>0</v>
      </c>
      <c r="C206" s="4" t="n">
        <v>2</v>
      </c>
      <c r="D206" s="4"/>
      <c r="E206" s="4"/>
      <c r="F206" s="4"/>
      <c r="G206" s="4" t="n">
        <v>3</v>
      </c>
      <c r="H206" s="14" t="b">
        <f aca="false">TRUE()</f>
        <v>1</v>
      </c>
      <c r="I206" s="14" t="b">
        <f aca="false">FALSE()</f>
        <v>0</v>
      </c>
      <c r="J206" s="4"/>
      <c r="K206" s="4" t="s">
        <v>873</v>
      </c>
      <c r="L206" s="4" t="s">
        <v>874</v>
      </c>
      <c r="M206" s="4" t="s">
        <v>875</v>
      </c>
      <c r="N206" s="6" t="n">
        <v>32707</v>
      </c>
      <c r="O206" s="6" t="n">
        <v>69558</v>
      </c>
      <c r="P206" s="4" t="s">
        <v>46</v>
      </c>
      <c r="Q206" s="6" t="n">
        <v>142500</v>
      </c>
      <c r="R206" s="15" t="n">
        <v>40498</v>
      </c>
      <c r="S206" s="6"/>
      <c r="T206" s="15"/>
      <c r="U206" s="6"/>
      <c r="V206" s="15"/>
      <c r="W206" s="4" t="s">
        <v>47</v>
      </c>
      <c r="X206" s="4" t="s">
        <v>58</v>
      </c>
      <c r="Y206" s="4" t="s">
        <v>876</v>
      </c>
      <c r="Z206" s="4" t="s">
        <v>877</v>
      </c>
      <c r="AA206" s="6" t="n">
        <v>0</v>
      </c>
      <c r="AB206" s="6" t="n">
        <v>7935.72</v>
      </c>
      <c r="AC206" s="6" t="n">
        <v>8481.38</v>
      </c>
      <c r="AD206" s="14" t="b">
        <f aca="false">FALSE()</f>
        <v>0</v>
      </c>
    </row>
    <row r="207" customFormat="false" ht="15" hidden="false" customHeight="false" outlineLevel="0" collapsed="false">
      <c r="A207" s="14" t="b">
        <f aca="false">TRUE()</f>
        <v>1</v>
      </c>
      <c r="B207" s="14" t="b">
        <f aca="false">FALSE()</f>
        <v>0</v>
      </c>
      <c r="C207" s="4" t="n">
        <v>3</v>
      </c>
      <c r="D207" s="4"/>
      <c r="E207" s="4"/>
      <c r="F207" s="4"/>
      <c r="G207" s="4" t="n">
        <v>2</v>
      </c>
      <c r="H207" s="14" t="b">
        <f aca="false">TRUE()</f>
        <v>1</v>
      </c>
      <c r="I207" s="14" t="b">
        <f aca="false">FALSE()</f>
        <v>0</v>
      </c>
      <c r="J207" s="4"/>
      <c r="K207" s="4" t="s">
        <v>878</v>
      </c>
      <c r="L207" s="4" t="s">
        <v>879</v>
      </c>
      <c r="M207" s="4" t="s">
        <v>880</v>
      </c>
      <c r="N207" s="6" t="n">
        <v>32707</v>
      </c>
      <c r="O207" s="6" t="n">
        <v>71296</v>
      </c>
      <c r="P207" s="4" t="s">
        <v>46</v>
      </c>
      <c r="Q207" s="6"/>
      <c r="R207" s="15"/>
      <c r="S207" s="6" t="n">
        <v>66500</v>
      </c>
      <c r="T207" s="15" t="n">
        <v>42223</v>
      </c>
      <c r="U207" s="6" t="n">
        <v>50000</v>
      </c>
      <c r="V207" s="15" t="n">
        <v>34927</v>
      </c>
      <c r="W207" s="4" t="s">
        <v>47</v>
      </c>
      <c r="X207" s="4" t="s">
        <v>58</v>
      </c>
      <c r="Y207" s="4" t="s">
        <v>881</v>
      </c>
      <c r="Z207" s="4" t="s">
        <v>877</v>
      </c>
      <c r="AA207" s="6" t="n">
        <v>0</v>
      </c>
      <c r="AB207" s="6" t="n">
        <v>7408.54</v>
      </c>
      <c r="AC207" s="6" t="n">
        <v>7918.61</v>
      </c>
      <c r="AD207" s="14" t="b">
        <f aca="false">FALSE()</f>
        <v>0</v>
      </c>
    </row>
    <row r="208" customFormat="false" ht="15" hidden="false" customHeight="false" outlineLevel="0" collapsed="false">
      <c r="A208" s="14" t="b">
        <f aca="false">TRUE()</f>
        <v>1</v>
      </c>
      <c r="B208" s="14" t="b">
        <f aca="false">FALSE()</f>
        <v>0</v>
      </c>
      <c r="C208" s="4" t="n">
        <v>3</v>
      </c>
      <c r="D208" s="4"/>
      <c r="E208" s="4"/>
      <c r="F208" s="4"/>
      <c r="G208" s="4"/>
      <c r="H208" s="14" t="b">
        <f aca="false">FALSE()</f>
        <v>0</v>
      </c>
      <c r="I208" s="14" t="b">
        <f aca="false">FALSE()</f>
        <v>0</v>
      </c>
      <c r="J208" s="4"/>
      <c r="K208" s="4" t="s">
        <v>882</v>
      </c>
      <c r="L208" s="4" t="s">
        <v>883</v>
      </c>
      <c r="M208" s="4" t="s">
        <v>884</v>
      </c>
      <c r="N208" s="6" t="n">
        <v>6583</v>
      </c>
      <c r="O208" s="6" t="n">
        <v>51515</v>
      </c>
      <c r="P208" s="4" t="s">
        <v>46</v>
      </c>
      <c r="Q208" s="6" t="n">
        <v>152500</v>
      </c>
      <c r="R208" s="15" t="n">
        <v>42675</v>
      </c>
      <c r="S208" s="6" t="n">
        <v>122000</v>
      </c>
      <c r="T208" s="15" t="n">
        <v>42675</v>
      </c>
      <c r="U208" s="6"/>
      <c r="V208" s="15"/>
      <c r="W208" s="4" t="s">
        <v>47</v>
      </c>
      <c r="X208" s="4" t="s">
        <v>47</v>
      </c>
      <c r="Y208" s="4" t="s">
        <v>885</v>
      </c>
      <c r="Z208" s="4" t="s">
        <v>632</v>
      </c>
      <c r="AA208" s="6" t="n">
        <v>0</v>
      </c>
      <c r="AB208" s="6" t="n">
        <v>4668.22</v>
      </c>
      <c r="AC208" s="6" t="n">
        <v>4993.32</v>
      </c>
      <c r="AD208" s="14" t="b">
        <f aca="false">FALSE()</f>
        <v>0</v>
      </c>
    </row>
    <row r="209" customFormat="false" ht="15" hidden="false" customHeight="false" outlineLevel="0" collapsed="false">
      <c r="A209" s="14" t="b">
        <f aca="false">TRUE()</f>
        <v>1</v>
      </c>
      <c r="B209" s="14" t="b">
        <f aca="false">FALSE()</f>
        <v>0</v>
      </c>
      <c r="C209" s="4" t="n">
        <v>2</v>
      </c>
      <c r="D209" s="4"/>
      <c r="E209" s="4"/>
      <c r="F209" s="4"/>
      <c r="G209" s="4"/>
      <c r="H209" s="14" t="b">
        <f aca="false">FALSE()</f>
        <v>0</v>
      </c>
      <c r="I209" s="14" t="b">
        <f aca="false">FALSE()</f>
        <v>0</v>
      </c>
      <c r="J209" s="4"/>
      <c r="K209" s="4" t="s">
        <v>886</v>
      </c>
      <c r="L209" s="4" t="s">
        <v>887</v>
      </c>
      <c r="M209" s="4" t="s">
        <v>888</v>
      </c>
      <c r="N209" s="6" t="n">
        <v>25927</v>
      </c>
      <c r="O209" s="6" t="n">
        <v>60175</v>
      </c>
      <c r="P209" s="4" t="s">
        <v>46</v>
      </c>
      <c r="Q209" s="6" t="n">
        <v>140000</v>
      </c>
      <c r="R209" s="15" t="n">
        <v>35711</v>
      </c>
      <c r="S209" s="6"/>
      <c r="T209" s="15"/>
      <c r="U209" s="6"/>
      <c r="V209" s="15"/>
      <c r="W209" s="4" t="s">
        <v>58</v>
      </c>
      <c r="X209" s="4" t="s">
        <v>47</v>
      </c>
      <c r="Y209" s="4" t="s">
        <v>889</v>
      </c>
      <c r="Z209" s="4" t="s">
        <v>632</v>
      </c>
      <c r="AA209" s="6" t="n">
        <v>0</v>
      </c>
      <c r="AB209" s="6" t="n">
        <v>6532.24</v>
      </c>
      <c r="AC209" s="6" t="n">
        <v>3423.1</v>
      </c>
      <c r="AD209" s="14" t="b">
        <f aca="false">TRUE()</f>
        <v>1</v>
      </c>
    </row>
    <row r="210" customFormat="false" ht="15" hidden="false" customHeight="false" outlineLevel="0" collapsed="false">
      <c r="A210" s="14" t="b">
        <f aca="false">TRUE()</f>
        <v>1</v>
      </c>
      <c r="B210" s="14" t="b">
        <f aca="false">FALSE()</f>
        <v>0</v>
      </c>
      <c r="C210" s="4" t="n">
        <v>2</v>
      </c>
      <c r="D210" s="4"/>
      <c r="E210" s="4"/>
      <c r="F210" s="4"/>
      <c r="G210" s="4"/>
      <c r="H210" s="14" t="b">
        <f aca="false">FALSE()</f>
        <v>0</v>
      </c>
      <c r="I210" s="14" t="b">
        <f aca="false">FALSE()</f>
        <v>0</v>
      </c>
      <c r="J210" s="4"/>
      <c r="K210" s="4" t="s">
        <v>890</v>
      </c>
      <c r="L210" s="4" t="s">
        <v>891</v>
      </c>
      <c r="M210" s="4" t="s">
        <v>892</v>
      </c>
      <c r="N210" s="6" t="n">
        <v>27622</v>
      </c>
      <c r="O210" s="6" t="n">
        <v>61837</v>
      </c>
      <c r="P210" s="4" t="s">
        <v>46</v>
      </c>
      <c r="Q210" s="6"/>
      <c r="R210" s="15"/>
      <c r="S210" s="6" t="n">
        <v>183200</v>
      </c>
      <c r="T210" s="15" t="n">
        <v>38530</v>
      </c>
      <c r="U210" s="6"/>
      <c r="V210" s="15"/>
      <c r="W210" s="4" t="s">
        <v>47</v>
      </c>
      <c r="X210" s="4" t="s">
        <v>58</v>
      </c>
      <c r="Y210" s="4" t="s">
        <v>893</v>
      </c>
      <c r="Z210" s="4" t="s">
        <v>632</v>
      </c>
      <c r="AA210" s="6" t="n">
        <v>0</v>
      </c>
      <c r="AB210" s="6" t="n">
        <v>6845.06</v>
      </c>
      <c r="AC210" s="6" t="n">
        <v>3586.54</v>
      </c>
      <c r="AD210" s="14" t="b">
        <f aca="false">TRUE()</f>
        <v>1</v>
      </c>
    </row>
    <row r="211" customFormat="false" ht="15" hidden="false" customHeight="false" outlineLevel="0" collapsed="false">
      <c r="A211" s="14" t="b">
        <f aca="false">TRUE()</f>
        <v>1</v>
      </c>
      <c r="B211" s="14" t="b">
        <f aca="false">FALSE()</f>
        <v>0</v>
      </c>
      <c r="C211" s="4" t="n">
        <v>2</v>
      </c>
      <c r="D211" s="4"/>
      <c r="E211" s="4"/>
      <c r="F211" s="4"/>
      <c r="G211" s="4"/>
      <c r="H211" s="14" t="b">
        <f aca="false">FALSE()</f>
        <v>0</v>
      </c>
      <c r="I211" s="14" t="b">
        <f aca="false">FALSE()</f>
        <v>0</v>
      </c>
      <c r="J211" s="4"/>
      <c r="K211" s="4" t="s">
        <v>894</v>
      </c>
      <c r="L211" s="4" t="s">
        <v>895</v>
      </c>
      <c r="M211" s="4" t="s">
        <v>896</v>
      </c>
      <c r="N211" s="6" t="n">
        <v>6408</v>
      </c>
      <c r="O211" s="6" t="n">
        <v>32892</v>
      </c>
      <c r="P211" s="4" t="s">
        <v>46</v>
      </c>
      <c r="Q211" s="6" t="n">
        <v>35000</v>
      </c>
      <c r="R211" s="15" t="n">
        <v>40535</v>
      </c>
      <c r="S211" s="6"/>
      <c r="T211" s="15"/>
      <c r="U211" s="6"/>
      <c r="V211" s="15"/>
      <c r="W211" s="4" t="s">
        <v>47</v>
      </c>
      <c r="X211" s="4" t="s">
        <v>58</v>
      </c>
      <c r="Y211" s="4" t="s">
        <v>897</v>
      </c>
      <c r="Z211" s="4" t="s">
        <v>632</v>
      </c>
      <c r="AA211" s="6" t="n">
        <v>0</v>
      </c>
      <c r="AB211" s="6" t="n">
        <v>3662.06</v>
      </c>
      <c r="AC211" s="6" t="n">
        <v>3919.25</v>
      </c>
      <c r="AD211" s="14" t="b">
        <f aca="false">FALSE()</f>
        <v>0</v>
      </c>
    </row>
    <row r="212" customFormat="false" ht="15" hidden="false" customHeight="false" outlineLevel="0" collapsed="false">
      <c r="A212" s="14" t="b">
        <f aca="false">TRUE()</f>
        <v>1</v>
      </c>
      <c r="B212" s="14" t="b">
        <f aca="false">FALSE()</f>
        <v>0</v>
      </c>
      <c r="C212" s="4" t="n">
        <v>2</v>
      </c>
      <c r="D212" s="4"/>
      <c r="E212" s="4"/>
      <c r="F212" s="4"/>
      <c r="G212" s="4"/>
      <c r="H212" s="14" t="b">
        <f aca="false">FALSE()</f>
        <v>0</v>
      </c>
      <c r="I212" s="14" t="b">
        <f aca="false">FALSE()</f>
        <v>0</v>
      </c>
      <c r="J212" s="4"/>
      <c r="K212" s="4" t="s">
        <v>898</v>
      </c>
      <c r="L212" s="4" t="s">
        <v>899</v>
      </c>
      <c r="M212" s="4" t="s">
        <v>900</v>
      </c>
      <c r="N212" s="6" t="n">
        <v>11208</v>
      </c>
      <c r="O212" s="6" t="n">
        <v>50181</v>
      </c>
      <c r="P212" s="4" t="s">
        <v>46</v>
      </c>
      <c r="Q212" s="6" t="n">
        <v>166000</v>
      </c>
      <c r="R212" s="15" t="n">
        <v>45778</v>
      </c>
      <c r="S212" s="6" t="n">
        <v>166100</v>
      </c>
      <c r="T212" s="15" t="n">
        <v>45778</v>
      </c>
      <c r="U212" s="6"/>
      <c r="V212" s="15"/>
      <c r="W212" s="4" t="s">
        <v>58</v>
      </c>
      <c r="X212" s="4" t="s">
        <v>58</v>
      </c>
      <c r="Y212" s="4" t="s">
        <v>901</v>
      </c>
      <c r="Z212" s="4" t="s">
        <v>632</v>
      </c>
      <c r="AA212" s="6" t="n">
        <v>0</v>
      </c>
      <c r="AB212" s="6" t="n">
        <v>4974.88</v>
      </c>
      <c r="AC212" s="6" t="n">
        <v>2609.37</v>
      </c>
      <c r="AD212" s="14" t="b">
        <f aca="false">TRUE()</f>
        <v>1</v>
      </c>
    </row>
    <row r="213" customFormat="false" ht="15" hidden="false" customHeight="false" outlineLevel="0" collapsed="false">
      <c r="A213" s="14" t="b">
        <f aca="false">TRUE()</f>
        <v>1</v>
      </c>
      <c r="B213" s="14" t="b">
        <f aca="false">FALSE()</f>
        <v>0</v>
      </c>
      <c r="C213" s="4" t="n">
        <v>2</v>
      </c>
      <c r="D213" s="4"/>
      <c r="E213" s="4"/>
      <c r="F213" s="4"/>
      <c r="G213" s="4"/>
      <c r="H213" s="14" t="b">
        <f aca="false">FALSE()</f>
        <v>0</v>
      </c>
      <c r="I213" s="14" t="b">
        <f aca="false">FALSE()</f>
        <v>0</v>
      </c>
      <c r="J213" s="4"/>
      <c r="K213" s="4" t="s">
        <v>902</v>
      </c>
      <c r="L213" s="4" t="s">
        <v>903</v>
      </c>
      <c r="M213" s="4" t="s">
        <v>904</v>
      </c>
      <c r="N213" s="6" t="n">
        <v>27622</v>
      </c>
      <c r="O213" s="6" t="n">
        <v>65862</v>
      </c>
      <c r="P213" s="4" t="s">
        <v>46</v>
      </c>
      <c r="Q213" s="6" t="n">
        <v>145000</v>
      </c>
      <c r="R213" s="15" t="n">
        <v>45811</v>
      </c>
      <c r="S213" s="6"/>
      <c r="T213" s="15"/>
      <c r="U213" s="6"/>
      <c r="V213" s="15"/>
      <c r="W213" s="4" t="s">
        <v>47</v>
      </c>
      <c r="X213" s="4" t="s">
        <v>47</v>
      </c>
      <c r="Y213" s="4" t="s">
        <v>905</v>
      </c>
      <c r="Z213" s="4" t="s">
        <v>632</v>
      </c>
      <c r="AA213" s="6" t="n">
        <v>0</v>
      </c>
      <c r="AB213" s="6" t="n">
        <v>7965.58</v>
      </c>
      <c r="AC213" s="6" t="n">
        <v>4172.02</v>
      </c>
      <c r="AD213" s="14" t="b">
        <f aca="false">TRUE()</f>
        <v>1</v>
      </c>
    </row>
    <row r="214" customFormat="false" ht="15" hidden="false" customHeight="false" outlineLevel="0" collapsed="false">
      <c r="A214" s="14" t="b">
        <f aca="false">TRUE()</f>
        <v>1</v>
      </c>
      <c r="B214" s="14" t="b">
        <f aca="false">FALSE()</f>
        <v>0</v>
      </c>
      <c r="C214" s="4" t="n">
        <v>2</v>
      </c>
      <c r="D214" s="4"/>
      <c r="E214" s="4"/>
      <c r="F214" s="4"/>
      <c r="G214" s="4" t="n">
        <v>3</v>
      </c>
      <c r="H214" s="14" t="b">
        <f aca="false">FALSE()</f>
        <v>0</v>
      </c>
      <c r="I214" s="14" t="b">
        <f aca="false">FALSE()</f>
        <v>0</v>
      </c>
      <c r="J214" s="4"/>
      <c r="K214" s="4" t="s">
        <v>906</v>
      </c>
      <c r="L214" s="4" t="s">
        <v>907</v>
      </c>
      <c r="M214" s="4" t="s">
        <v>908</v>
      </c>
      <c r="N214" s="6" t="n">
        <v>20350</v>
      </c>
      <c r="O214" s="6" t="n">
        <v>80285</v>
      </c>
      <c r="P214" s="4" t="s">
        <v>46</v>
      </c>
      <c r="Q214" s="6" t="n">
        <v>188000</v>
      </c>
      <c r="R214" s="15" t="n">
        <v>37151</v>
      </c>
      <c r="S214" s="6"/>
      <c r="T214" s="15"/>
      <c r="U214" s="6"/>
      <c r="V214" s="15"/>
      <c r="W214" s="4" t="s">
        <v>47</v>
      </c>
      <c r="X214" s="4" t="s">
        <v>47</v>
      </c>
      <c r="Y214" s="4" t="s">
        <v>909</v>
      </c>
      <c r="Z214" s="4" t="s">
        <v>910</v>
      </c>
      <c r="AA214" s="6" t="n">
        <v>0</v>
      </c>
      <c r="AB214" s="6" t="n">
        <v>7423.4</v>
      </c>
      <c r="AC214" s="6" t="n">
        <v>3888.73</v>
      </c>
      <c r="AD214" s="14" t="b">
        <f aca="false">TRUE()</f>
        <v>1</v>
      </c>
    </row>
    <row r="215" customFormat="false" ht="15" hidden="false" customHeight="false" outlineLevel="0" collapsed="false">
      <c r="A215" s="14" t="b">
        <f aca="false">TRUE()</f>
        <v>1</v>
      </c>
      <c r="B215" s="14" t="b">
        <f aca="false">FALSE()</f>
        <v>0</v>
      </c>
      <c r="C215" s="4" t="n">
        <v>2</v>
      </c>
      <c r="D215" s="4"/>
      <c r="E215" s="4"/>
      <c r="F215" s="4"/>
      <c r="G215" s="4"/>
      <c r="H215" s="14" t="b">
        <f aca="false">FALSE()</f>
        <v>0</v>
      </c>
      <c r="I215" s="14" t="b">
        <f aca="false">FALSE()</f>
        <v>0</v>
      </c>
      <c r="J215" s="4"/>
      <c r="K215" s="4" t="s">
        <v>911</v>
      </c>
      <c r="L215" s="4" t="s">
        <v>912</v>
      </c>
      <c r="M215" s="4" t="s">
        <v>913</v>
      </c>
      <c r="N215" s="6" t="n">
        <v>47545</v>
      </c>
      <c r="O215" s="6" t="n">
        <v>153582</v>
      </c>
      <c r="P215" s="4" t="s">
        <v>46</v>
      </c>
      <c r="Q215" s="6" t="n">
        <v>550000</v>
      </c>
      <c r="R215" s="15" t="n">
        <v>45665</v>
      </c>
      <c r="S215" s="6"/>
      <c r="T215" s="15"/>
      <c r="U215" s="6"/>
      <c r="V215" s="15"/>
      <c r="W215" s="4" t="s">
        <v>47</v>
      </c>
      <c r="X215" s="4" t="s">
        <v>47</v>
      </c>
      <c r="Y215" s="4" t="s">
        <v>914</v>
      </c>
      <c r="Z215" s="4" t="s">
        <v>910</v>
      </c>
      <c r="AA215" s="6" t="n">
        <v>0</v>
      </c>
      <c r="AB215" s="6" t="n">
        <v>16117.52</v>
      </c>
      <c r="AC215" s="6" t="n">
        <v>8431.4</v>
      </c>
      <c r="AD215" s="14" t="b">
        <f aca="false">TRUE()</f>
        <v>1</v>
      </c>
    </row>
    <row r="216" customFormat="false" ht="15" hidden="false" customHeight="false" outlineLevel="0" collapsed="false">
      <c r="A216" s="14" t="b">
        <f aca="false">TRUE()</f>
        <v>1</v>
      </c>
      <c r="B216" s="14" t="b">
        <f aca="false">FALSE()</f>
        <v>0</v>
      </c>
      <c r="C216" s="4" t="n">
        <v>2</v>
      </c>
      <c r="D216" s="4"/>
      <c r="E216" s="4"/>
      <c r="F216" s="4"/>
      <c r="G216" s="4"/>
      <c r="H216" s="14" t="b">
        <f aca="false">FALSE()</f>
        <v>0</v>
      </c>
      <c r="I216" s="14" t="b">
        <f aca="false">FALSE()</f>
        <v>0</v>
      </c>
      <c r="J216" s="4"/>
      <c r="K216" s="4" t="s">
        <v>911</v>
      </c>
      <c r="L216" s="4" t="s">
        <v>915</v>
      </c>
      <c r="M216" s="4" t="s">
        <v>916</v>
      </c>
      <c r="N216" s="6" t="n">
        <v>34041</v>
      </c>
      <c r="O216" s="6" t="n">
        <v>78502</v>
      </c>
      <c r="P216" s="4" t="s">
        <v>46</v>
      </c>
      <c r="Q216" s="6"/>
      <c r="R216" s="15" t="n">
        <v>45840</v>
      </c>
      <c r="S216" s="6"/>
      <c r="T216" s="15"/>
      <c r="U216" s="6"/>
      <c r="V216" s="15"/>
      <c r="W216" s="4" t="s">
        <v>47</v>
      </c>
      <c r="X216" s="4" t="s">
        <v>58</v>
      </c>
      <c r="Y216" s="4" t="s">
        <v>917</v>
      </c>
      <c r="Z216" s="4" t="s">
        <v>910</v>
      </c>
      <c r="AA216" s="6" t="n">
        <v>0</v>
      </c>
      <c r="AB216" s="6" t="n">
        <v>8377.66</v>
      </c>
      <c r="AC216" s="6" t="n">
        <v>4387.33</v>
      </c>
      <c r="AD216" s="14" t="b">
        <f aca="false">TRUE()</f>
        <v>1</v>
      </c>
    </row>
    <row r="217" customFormat="false" ht="15" hidden="false" customHeight="false" outlineLevel="0" collapsed="false">
      <c r="A217" s="14" t="b">
        <f aca="false">TRUE()</f>
        <v>1</v>
      </c>
      <c r="B217" s="14" t="b">
        <f aca="false">FALSE()</f>
        <v>0</v>
      </c>
      <c r="C217" s="4" t="n">
        <v>2</v>
      </c>
      <c r="D217" s="4"/>
      <c r="E217" s="4"/>
      <c r="F217" s="4"/>
      <c r="G217" s="4"/>
      <c r="H217" s="14" t="b">
        <f aca="false">FALSE()</f>
        <v>0</v>
      </c>
      <c r="I217" s="14" t="b">
        <f aca="false">FALSE()</f>
        <v>0</v>
      </c>
      <c r="J217" s="4"/>
      <c r="K217" s="4" t="s">
        <v>918</v>
      </c>
      <c r="L217" s="4" t="s">
        <v>919</v>
      </c>
      <c r="M217" s="4" t="s">
        <v>920</v>
      </c>
      <c r="N217" s="6" t="n">
        <v>27826</v>
      </c>
      <c r="O217" s="6" t="n">
        <v>92659</v>
      </c>
      <c r="P217" s="4" t="s">
        <v>46</v>
      </c>
      <c r="Q217" s="6" t="n">
        <v>293000</v>
      </c>
      <c r="R217" s="15" t="n">
        <v>43293</v>
      </c>
      <c r="S217" s="6"/>
      <c r="T217" s="15"/>
      <c r="U217" s="6"/>
      <c r="V217" s="15"/>
      <c r="W217" s="4" t="s">
        <v>58</v>
      </c>
      <c r="X217" s="4" t="s">
        <v>47</v>
      </c>
      <c r="Y217" s="4" t="s">
        <v>921</v>
      </c>
      <c r="Z217" s="4" t="s">
        <v>531</v>
      </c>
      <c r="AA217" s="6" t="n">
        <v>0</v>
      </c>
      <c r="AB217" s="6" t="n">
        <v>7738.74</v>
      </c>
      <c r="AC217" s="6" t="n">
        <v>4053.49</v>
      </c>
      <c r="AD217" s="14" t="b">
        <f aca="false">TRUE()</f>
        <v>1</v>
      </c>
    </row>
    <row r="218" customFormat="false" ht="15" hidden="false" customHeight="false" outlineLevel="0" collapsed="false">
      <c r="A218" s="14" t="b">
        <f aca="false">TRUE()</f>
        <v>1</v>
      </c>
      <c r="B218" s="14" t="b">
        <f aca="false">FALSE()</f>
        <v>0</v>
      </c>
      <c r="C218" s="4" t="n">
        <v>3</v>
      </c>
      <c r="D218" s="4"/>
      <c r="E218" s="4"/>
      <c r="F218" s="4"/>
      <c r="G218" s="4" t="n">
        <v>3</v>
      </c>
      <c r="H218" s="14" t="b">
        <f aca="false">TRUE()</f>
        <v>1</v>
      </c>
      <c r="I218" s="14" t="b">
        <f aca="false">FALSE()</f>
        <v>0</v>
      </c>
      <c r="J218" s="4"/>
      <c r="K218" s="4" t="s">
        <v>922</v>
      </c>
      <c r="L218" s="4" t="s">
        <v>923</v>
      </c>
      <c r="M218" s="4" t="s">
        <v>924</v>
      </c>
      <c r="N218" s="6" t="n">
        <v>64061</v>
      </c>
      <c r="O218" s="6" t="n">
        <v>110836</v>
      </c>
      <c r="P218" s="4" t="s">
        <v>46</v>
      </c>
      <c r="Q218" s="6" t="n">
        <v>380000</v>
      </c>
      <c r="R218" s="15" t="n">
        <v>38021</v>
      </c>
      <c r="S218" s="6"/>
      <c r="T218" s="15"/>
      <c r="U218" s="6"/>
      <c r="V218" s="15"/>
      <c r="W218" s="4" t="s">
        <v>47</v>
      </c>
      <c r="X218" s="4" t="s">
        <v>47</v>
      </c>
      <c r="Y218" s="4" t="s">
        <v>925</v>
      </c>
      <c r="Z218" s="4" t="s">
        <v>531</v>
      </c>
      <c r="AA218" s="6" t="n">
        <v>0</v>
      </c>
      <c r="AB218" s="6" t="n">
        <v>10931.8</v>
      </c>
      <c r="AC218" s="6" t="n">
        <v>11679.7</v>
      </c>
      <c r="AD218" s="14" t="b">
        <f aca="false">FALSE()</f>
        <v>0</v>
      </c>
    </row>
    <row r="219" customFormat="false" ht="15" hidden="false" customHeight="false" outlineLevel="0" collapsed="false">
      <c r="A219" s="14" t="b">
        <f aca="false">TRUE()</f>
        <v>1</v>
      </c>
      <c r="B219" s="14" t="b">
        <f aca="false">FALSE()</f>
        <v>0</v>
      </c>
      <c r="C219" s="4" t="n">
        <v>2</v>
      </c>
      <c r="D219" s="4"/>
      <c r="E219" s="4"/>
      <c r="F219" s="4"/>
      <c r="G219" s="4"/>
      <c r="H219" s="14" t="b">
        <f aca="false">FALSE()</f>
        <v>0</v>
      </c>
      <c r="I219" s="14" t="b">
        <f aca="false">FALSE()</f>
        <v>0</v>
      </c>
      <c r="J219" s="4"/>
      <c r="K219" s="4" t="s">
        <v>926</v>
      </c>
      <c r="L219" s="4" t="s">
        <v>927</v>
      </c>
      <c r="M219" s="4" t="s">
        <v>928</v>
      </c>
      <c r="N219" s="6" t="n">
        <v>14402</v>
      </c>
      <c r="O219" s="6" t="n">
        <v>91636</v>
      </c>
      <c r="P219" s="4" t="s">
        <v>46</v>
      </c>
      <c r="Q219" s="6" t="n">
        <v>259000</v>
      </c>
      <c r="R219" s="15" t="n">
        <v>38602</v>
      </c>
      <c r="S219" s="6"/>
      <c r="T219" s="15"/>
      <c r="U219" s="6"/>
      <c r="V219" s="15"/>
      <c r="W219" s="4" t="s">
        <v>47</v>
      </c>
      <c r="X219" s="4" t="s">
        <v>47</v>
      </c>
      <c r="Y219" s="4" t="s">
        <v>929</v>
      </c>
      <c r="Z219" s="4" t="s">
        <v>531</v>
      </c>
      <c r="AA219" s="6" t="n">
        <v>0</v>
      </c>
      <c r="AB219" s="6" t="n">
        <v>6744.84</v>
      </c>
      <c r="AC219" s="6" t="n">
        <v>3534.18</v>
      </c>
      <c r="AD219" s="14" t="b">
        <f aca="false">TRUE()</f>
        <v>1</v>
      </c>
    </row>
    <row r="220" customFormat="false" ht="15" hidden="false" customHeight="false" outlineLevel="0" collapsed="false">
      <c r="A220" s="14" t="b">
        <f aca="false">TRUE()</f>
        <v>1</v>
      </c>
      <c r="B220" s="14" t="b">
        <f aca="false">FALSE()</f>
        <v>0</v>
      </c>
      <c r="C220" s="4" t="n">
        <v>3</v>
      </c>
      <c r="D220" s="4"/>
      <c r="E220" s="4"/>
      <c r="F220" s="4"/>
      <c r="G220" s="4"/>
      <c r="H220" s="14" t="b">
        <f aca="false">FALSE()</f>
        <v>0</v>
      </c>
      <c r="I220" s="14" t="b">
        <f aca="false">FALSE()</f>
        <v>0</v>
      </c>
      <c r="J220" s="4"/>
      <c r="K220" s="4" t="s">
        <v>930</v>
      </c>
      <c r="L220" s="4" t="s">
        <v>931</v>
      </c>
      <c r="M220" s="4" t="s">
        <v>932</v>
      </c>
      <c r="N220" s="6" t="n">
        <v>60819</v>
      </c>
      <c r="O220" s="6" t="n">
        <v>65812</v>
      </c>
      <c r="P220" s="4" t="s">
        <v>46</v>
      </c>
      <c r="Q220" s="6"/>
      <c r="R220" s="15"/>
      <c r="S220" s="6" t="n">
        <v>179000</v>
      </c>
      <c r="T220" s="15" t="n">
        <v>38582</v>
      </c>
      <c r="U220" s="6" t="n">
        <v>120000</v>
      </c>
      <c r="V220" s="15" t="n">
        <v>34292</v>
      </c>
      <c r="W220" s="4" t="s">
        <v>47</v>
      </c>
      <c r="X220" s="4" t="s">
        <v>58</v>
      </c>
      <c r="Y220" s="4" t="s">
        <v>933</v>
      </c>
      <c r="Z220" s="4" t="s">
        <v>531</v>
      </c>
      <c r="AA220" s="6" t="n">
        <v>0</v>
      </c>
      <c r="AB220" s="6" t="n">
        <v>8161.56</v>
      </c>
      <c r="AC220" s="6" t="n">
        <v>8722.47</v>
      </c>
      <c r="AD220" s="14" t="b">
        <f aca="false">FALSE()</f>
        <v>0</v>
      </c>
    </row>
    <row r="221" customFormat="false" ht="15" hidden="false" customHeight="false" outlineLevel="0" collapsed="false">
      <c r="A221" s="14" t="b">
        <f aca="false">TRUE()</f>
        <v>1</v>
      </c>
      <c r="B221" s="14" t="b">
        <f aca="false">FALSE()</f>
        <v>0</v>
      </c>
      <c r="C221" s="4" t="n">
        <v>2</v>
      </c>
      <c r="D221" s="4"/>
      <c r="E221" s="4"/>
      <c r="F221" s="4"/>
      <c r="G221" s="4"/>
      <c r="H221" s="14" t="b">
        <f aca="false">FALSE()</f>
        <v>0</v>
      </c>
      <c r="I221" s="14" t="b">
        <f aca="false">FALSE()</f>
        <v>0</v>
      </c>
      <c r="J221" s="4"/>
      <c r="K221" s="4" t="s">
        <v>934</v>
      </c>
      <c r="L221" s="4" t="s">
        <v>935</v>
      </c>
      <c r="M221" s="4" t="s">
        <v>936</v>
      </c>
      <c r="N221" s="6" t="n">
        <v>50322</v>
      </c>
      <c r="O221" s="6" t="n">
        <v>55173</v>
      </c>
      <c r="P221" s="4" t="s">
        <v>46</v>
      </c>
      <c r="Q221" s="6" t="n">
        <v>235000</v>
      </c>
      <c r="R221" s="15" t="n">
        <v>42803</v>
      </c>
      <c r="S221" s="6"/>
      <c r="T221" s="15"/>
      <c r="U221" s="6"/>
      <c r="V221" s="15"/>
      <c r="W221" s="4" t="s">
        <v>47</v>
      </c>
      <c r="X221" s="4" t="s">
        <v>47</v>
      </c>
      <c r="Y221" s="4" t="s">
        <v>937</v>
      </c>
      <c r="Z221" s="4" t="s">
        <v>531</v>
      </c>
      <c r="AA221" s="6" t="n">
        <v>0</v>
      </c>
      <c r="AB221" s="6" t="n">
        <v>6707.46</v>
      </c>
      <c r="AC221" s="6" t="n">
        <v>7170.22</v>
      </c>
      <c r="AD221" s="14" t="b">
        <f aca="false">FALSE()</f>
        <v>0</v>
      </c>
    </row>
    <row r="222" customFormat="false" ht="15" hidden="false" customHeight="false" outlineLevel="0" collapsed="false">
      <c r="A222" s="14" t="b">
        <f aca="false">TRUE()</f>
        <v>1</v>
      </c>
      <c r="B222" s="14" t="b">
        <f aca="false">FALSE()</f>
        <v>0</v>
      </c>
      <c r="C222" s="4" t="n">
        <v>3</v>
      </c>
      <c r="D222" s="4"/>
      <c r="E222" s="4"/>
      <c r="F222" s="4"/>
      <c r="G222" s="4" t="n">
        <v>3</v>
      </c>
      <c r="H222" s="14" t="b">
        <f aca="false">FALSE()</f>
        <v>0</v>
      </c>
      <c r="I222" s="14" t="b">
        <f aca="false">FALSE()</f>
        <v>0</v>
      </c>
      <c r="J222" s="4"/>
      <c r="K222" s="4" t="s">
        <v>938</v>
      </c>
      <c r="L222" s="4" t="s">
        <v>939</v>
      </c>
      <c r="M222" s="4" t="s">
        <v>940</v>
      </c>
      <c r="N222" s="6" t="n">
        <v>77408</v>
      </c>
      <c r="O222" s="6" t="n">
        <v>172721</v>
      </c>
      <c r="P222" s="4" t="s">
        <v>46</v>
      </c>
      <c r="Q222" s="6" t="n">
        <v>310000</v>
      </c>
      <c r="R222" s="15" t="n">
        <v>42523</v>
      </c>
      <c r="S222" s="6" t="n">
        <v>692250</v>
      </c>
      <c r="T222" s="15" t="n">
        <v>45804</v>
      </c>
      <c r="U222" s="6" t="n">
        <v>140000</v>
      </c>
      <c r="V222" s="15" t="n">
        <v>44540</v>
      </c>
      <c r="W222" s="4" t="s">
        <v>47</v>
      </c>
      <c r="X222" s="4" t="s">
        <v>47</v>
      </c>
      <c r="Y222" s="4" t="s">
        <v>941</v>
      </c>
      <c r="Z222" s="4" t="s">
        <v>531</v>
      </c>
      <c r="AA222" s="6" t="n">
        <v>0</v>
      </c>
      <c r="AB222" s="6" t="n">
        <v>14938.04</v>
      </c>
      <c r="AC222" s="6" t="n">
        <v>15956.36</v>
      </c>
      <c r="AD222" s="14" t="b">
        <f aca="false">FALSE()</f>
        <v>0</v>
      </c>
    </row>
    <row r="223" customFormat="false" ht="15" hidden="false" customHeight="false" outlineLevel="0" collapsed="false">
      <c r="A223" s="14" t="b">
        <f aca="false">TRUE()</f>
        <v>1</v>
      </c>
      <c r="B223" s="14" t="b">
        <f aca="false">FALSE()</f>
        <v>0</v>
      </c>
      <c r="C223" s="4" t="n">
        <v>3</v>
      </c>
      <c r="D223" s="4"/>
      <c r="E223" s="4"/>
      <c r="F223" s="4"/>
      <c r="G223" s="4"/>
      <c r="H223" s="14" t="b">
        <f aca="false">FALSE()</f>
        <v>0</v>
      </c>
      <c r="I223" s="14" t="b">
        <f aca="false">FALSE()</f>
        <v>0</v>
      </c>
      <c r="J223" s="4"/>
      <c r="K223" s="4" t="s">
        <v>942</v>
      </c>
      <c r="L223" s="4" t="s">
        <v>943</v>
      </c>
      <c r="M223" s="4" t="s">
        <v>944</v>
      </c>
      <c r="N223" s="6" t="n">
        <v>81280</v>
      </c>
      <c r="O223" s="6" t="n">
        <v>234454</v>
      </c>
      <c r="P223" s="4" t="s">
        <v>46</v>
      </c>
      <c r="Q223" s="6"/>
      <c r="R223" s="15"/>
      <c r="S223" s="6" t="n">
        <v>510400</v>
      </c>
      <c r="T223" s="15" t="n">
        <v>44159</v>
      </c>
      <c r="U223" s="6"/>
      <c r="V223" s="15"/>
      <c r="W223" s="4" t="s">
        <v>47</v>
      </c>
      <c r="X223" s="4" t="s">
        <v>47</v>
      </c>
      <c r="Y223" s="4" t="s">
        <v>945</v>
      </c>
      <c r="Z223" s="4" t="s">
        <v>531</v>
      </c>
      <c r="AA223" s="6" t="n">
        <v>0</v>
      </c>
      <c r="AB223" s="6" t="n">
        <v>21171.48</v>
      </c>
      <c r="AC223" s="6" t="n">
        <v>22610.56</v>
      </c>
      <c r="AD223" s="14" t="b">
        <f aca="false">FALSE()</f>
        <v>0</v>
      </c>
    </row>
    <row r="224" customFormat="false" ht="15" hidden="false" customHeight="false" outlineLevel="0" collapsed="false">
      <c r="A224" s="14" t="b">
        <f aca="false">TRUE()</f>
        <v>1</v>
      </c>
      <c r="B224" s="14" t="b">
        <f aca="false">FALSE()</f>
        <v>0</v>
      </c>
      <c r="C224" s="4" t="n">
        <v>2</v>
      </c>
      <c r="D224" s="4"/>
      <c r="E224" s="4"/>
      <c r="F224" s="4"/>
      <c r="G224" s="4"/>
      <c r="H224" s="14" t="b">
        <f aca="false">FALSE()</f>
        <v>0</v>
      </c>
      <c r="I224" s="14" t="b">
        <f aca="false">FALSE()</f>
        <v>0</v>
      </c>
      <c r="J224" s="4"/>
      <c r="K224" s="4" t="s">
        <v>946</v>
      </c>
      <c r="L224" s="4" t="s">
        <v>947</v>
      </c>
      <c r="M224" s="4" t="s">
        <v>948</v>
      </c>
      <c r="N224" s="6" t="n">
        <v>82542</v>
      </c>
      <c r="O224" s="6" t="n">
        <v>83304</v>
      </c>
      <c r="P224" s="4" t="s">
        <v>46</v>
      </c>
      <c r="Q224" s="6" t="n">
        <v>337500</v>
      </c>
      <c r="R224" s="15" t="n">
        <v>37546</v>
      </c>
      <c r="S224" s="6"/>
      <c r="T224" s="15"/>
      <c r="U224" s="6"/>
      <c r="V224" s="15"/>
      <c r="W224" s="4" t="s">
        <v>47</v>
      </c>
      <c r="X224" s="4" t="s">
        <v>47</v>
      </c>
      <c r="Y224" s="4" t="s">
        <v>949</v>
      </c>
      <c r="Z224" s="4" t="s">
        <v>531</v>
      </c>
      <c r="AA224" s="6" t="n">
        <v>0</v>
      </c>
      <c r="AB224" s="6" t="n">
        <v>10859.5</v>
      </c>
      <c r="AC224" s="6" t="n">
        <v>5684.09</v>
      </c>
      <c r="AD224" s="14" t="b">
        <f aca="false">TRUE()</f>
        <v>1</v>
      </c>
    </row>
    <row r="225" customFormat="false" ht="15" hidden="false" customHeight="false" outlineLevel="0" collapsed="false">
      <c r="A225" s="14" t="b">
        <f aca="false">TRUE()</f>
        <v>1</v>
      </c>
      <c r="B225" s="14" t="b">
        <f aca="false">FALSE()</f>
        <v>0</v>
      </c>
      <c r="C225" s="4" t="n">
        <v>2</v>
      </c>
      <c r="D225" s="4"/>
      <c r="E225" s="4"/>
      <c r="F225" s="4"/>
      <c r="G225" s="4"/>
      <c r="H225" s="14" t="b">
        <f aca="false">FALSE()</f>
        <v>0</v>
      </c>
      <c r="I225" s="14" t="b">
        <f aca="false">FALSE()</f>
        <v>0</v>
      </c>
      <c r="J225" s="4"/>
      <c r="K225" s="4" t="s">
        <v>950</v>
      </c>
      <c r="L225" s="4" t="s">
        <v>951</v>
      </c>
      <c r="M225" s="4" t="s">
        <v>952</v>
      </c>
      <c r="N225" s="6" t="n">
        <v>9932</v>
      </c>
      <c r="O225" s="6" t="n">
        <v>103276</v>
      </c>
      <c r="P225" s="4" t="s">
        <v>46</v>
      </c>
      <c r="Q225" s="6" t="n">
        <v>310000</v>
      </c>
      <c r="R225" s="15" t="n">
        <v>38222</v>
      </c>
      <c r="S225" s="6"/>
      <c r="T225" s="15"/>
      <c r="U225" s="6"/>
      <c r="V225" s="15"/>
      <c r="W225" s="4" t="s">
        <v>47</v>
      </c>
      <c r="X225" s="4" t="s">
        <v>58</v>
      </c>
      <c r="Y225" s="4" t="s">
        <v>953</v>
      </c>
      <c r="Z225" s="4" t="s">
        <v>531</v>
      </c>
      <c r="AA225" s="6" t="n">
        <v>0</v>
      </c>
      <c r="AB225" s="6" t="n">
        <v>7238.12</v>
      </c>
      <c r="AC225" s="6" t="n">
        <v>3791.92</v>
      </c>
      <c r="AD225" s="14" t="b">
        <f aca="false">TRUE()</f>
        <v>1</v>
      </c>
    </row>
    <row r="226" customFormat="false" ht="15" hidden="false" customHeight="false" outlineLevel="0" collapsed="false">
      <c r="A226" s="14" t="b">
        <f aca="false">TRUE()</f>
        <v>1</v>
      </c>
      <c r="B226" s="14" t="b">
        <f aca="false">FALSE()</f>
        <v>0</v>
      </c>
      <c r="C226" s="4" t="n">
        <v>2</v>
      </c>
      <c r="D226" s="4"/>
      <c r="E226" s="4"/>
      <c r="F226" s="4"/>
      <c r="G226" s="4"/>
      <c r="H226" s="14" t="b">
        <f aca="false">FALSE()</f>
        <v>0</v>
      </c>
      <c r="I226" s="14" t="b">
        <f aca="false">FALSE()</f>
        <v>0</v>
      </c>
      <c r="J226" s="4"/>
      <c r="K226" s="4" t="s">
        <v>954</v>
      </c>
      <c r="L226" s="4" t="s">
        <v>955</v>
      </c>
      <c r="M226" s="4" t="s">
        <v>956</v>
      </c>
      <c r="N226" s="6" t="n">
        <v>31274</v>
      </c>
      <c r="O226" s="6" t="n">
        <v>48918</v>
      </c>
      <c r="P226" s="4" t="s">
        <v>46</v>
      </c>
      <c r="Q226" s="6" t="n">
        <v>100000</v>
      </c>
      <c r="R226" s="15" t="n">
        <v>41298</v>
      </c>
      <c r="S226" s="6"/>
      <c r="T226" s="15"/>
      <c r="U226" s="6"/>
      <c r="V226" s="15"/>
      <c r="W226" s="4" t="s">
        <v>47</v>
      </c>
      <c r="X226" s="4" t="s">
        <v>47</v>
      </c>
      <c r="Y226" s="4" t="s">
        <v>957</v>
      </c>
      <c r="Z226" s="4" t="s">
        <v>958</v>
      </c>
      <c r="AA226" s="6" t="n">
        <v>0</v>
      </c>
      <c r="AB226" s="6" t="n">
        <v>5192.36</v>
      </c>
      <c r="AC226" s="6" t="n">
        <v>2723.01</v>
      </c>
      <c r="AD226" s="14" t="b">
        <f aca="false">TRUE()</f>
        <v>1</v>
      </c>
    </row>
    <row r="227" customFormat="false" ht="15" hidden="false" customHeight="false" outlineLevel="0" collapsed="false">
      <c r="A227" s="14" t="b">
        <f aca="false">TRUE()</f>
        <v>1</v>
      </c>
      <c r="B227" s="14" t="b">
        <f aca="false">FALSE()</f>
        <v>0</v>
      </c>
      <c r="C227" s="4" t="n">
        <v>2</v>
      </c>
      <c r="D227" s="4"/>
      <c r="E227" s="4"/>
      <c r="F227" s="4"/>
      <c r="G227" s="4"/>
      <c r="H227" s="14" t="b">
        <f aca="false">FALSE()</f>
        <v>0</v>
      </c>
      <c r="I227" s="14" t="b">
        <f aca="false">FALSE()</f>
        <v>0</v>
      </c>
      <c r="J227" s="4"/>
      <c r="K227" s="4" t="s">
        <v>959</v>
      </c>
      <c r="L227" s="4" t="s">
        <v>960</v>
      </c>
      <c r="M227" s="4" t="s">
        <v>961</v>
      </c>
      <c r="N227" s="6" t="n">
        <v>37290</v>
      </c>
      <c r="O227" s="6" t="n">
        <v>34505</v>
      </c>
      <c r="P227" s="4" t="s">
        <v>46</v>
      </c>
      <c r="Q227" s="6"/>
      <c r="R227" s="15" t="n">
        <v>43144</v>
      </c>
      <c r="S227" s="6"/>
      <c r="T227" s="15"/>
      <c r="U227" s="6"/>
      <c r="V227" s="15"/>
      <c r="W227" s="4" t="s">
        <v>47</v>
      </c>
      <c r="X227" s="4" t="s">
        <v>58</v>
      </c>
      <c r="Y227" s="4" t="s">
        <v>962</v>
      </c>
      <c r="Z227" s="4" t="s">
        <v>958</v>
      </c>
      <c r="AA227" s="6" t="n">
        <v>0</v>
      </c>
      <c r="AB227" s="6" t="n">
        <v>4254.68</v>
      </c>
      <c r="AC227" s="6" t="n">
        <v>2233.07</v>
      </c>
      <c r="AD227" s="14" t="b">
        <f aca="false">TRUE()</f>
        <v>1</v>
      </c>
    </row>
    <row r="228" customFormat="false" ht="15" hidden="false" customHeight="false" outlineLevel="0" collapsed="false">
      <c r="A228" s="14" t="b">
        <f aca="false">TRUE()</f>
        <v>1</v>
      </c>
      <c r="B228" s="14" t="b">
        <f aca="false">FALSE()</f>
        <v>0</v>
      </c>
      <c r="C228" s="4" t="n">
        <v>2</v>
      </c>
      <c r="D228" s="4"/>
      <c r="E228" s="4"/>
      <c r="F228" s="4"/>
      <c r="G228" s="4" t="n">
        <v>2</v>
      </c>
      <c r="H228" s="14" t="b">
        <f aca="false">FALSE()</f>
        <v>0</v>
      </c>
      <c r="I228" s="14" t="b">
        <f aca="false">FALSE()</f>
        <v>0</v>
      </c>
      <c r="J228" s="4"/>
      <c r="K228" s="4" t="s">
        <v>963</v>
      </c>
      <c r="L228" s="4" t="s">
        <v>964</v>
      </c>
      <c r="M228" s="4" t="s">
        <v>965</v>
      </c>
      <c r="N228" s="6" t="n">
        <v>33907</v>
      </c>
      <c r="O228" s="6" t="n">
        <v>31165</v>
      </c>
      <c r="P228" s="4" t="s">
        <v>46</v>
      </c>
      <c r="Q228" s="6" t="n">
        <v>275000</v>
      </c>
      <c r="R228" s="15" t="n">
        <v>44713</v>
      </c>
      <c r="S228" s="6"/>
      <c r="T228" s="15"/>
      <c r="U228" s="6"/>
      <c r="V228" s="15"/>
      <c r="W228" s="4" t="s">
        <v>47</v>
      </c>
      <c r="X228" s="4" t="s">
        <v>47</v>
      </c>
      <c r="Y228" s="4" t="s">
        <v>966</v>
      </c>
      <c r="Z228" s="4" t="s">
        <v>958</v>
      </c>
      <c r="AA228" s="6" t="n">
        <v>0</v>
      </c>
      <c r="AB228" s="6" t="n">
        <v>3806.3</v>
      </c>
      <c r="AC228" s="6" t="n">
        <v>4073.22</v>
      </c>
      <c r="AD228" s="14" t="b">
        <f aca="false">FALSE()</f>
        <v>0</v>
      </c>
    </row>
    <row r="229" customFormat="false" ht="15" hidden="false" customHeight="false" outlineLevel="0" collapsed="false">
      <c r="A229" s="14" t="b">
        <f aca="false">TRUE()</f>
        <v>1</v>
      </c>
      <c r="B229" s="14" t="b">
        <f aca="false">FALSE()</f>
        <v>0</v>
      </c>
      <c r="C229" s="4" t="n">
        <v>2</v>
      </c>
      <c r="D229" s="4"/>
      <c r="E229" s="4"/>
      <c r="F229" s="4"/>
      <c r="G229" s="4" t="n">
        <v>2</v>
      </c>
      <c r="H229" s="14" t="b">
        <f aca="false">FALSE()</f>
        <v>0</v>
      </c>
      <c r="I229" s="14" t="b">
        <f aca="false">FALSE()</f>
        <v>0</v>
      </c>
      <c r="J229" s="4"/>
      <c r="K229" s="4" t="s">
        <v>967</v>
      </c>
      <c r="L229" s="4" t="s">
        <v>968</v>
      </c>
      <c r="M229" s="4" t="s">
        <v>969</v>
      </c>
      <c r="N229" s="6" t="n">
        <v>30741</v>
      </c>
      <c r="O229" s="6" t="n">
        <v>49049</v>
      </c>
      <c r="P229" s="4" t="s">
        <v>46</v>
      </c>
      <c r="Q229" s="6"/>
      <c r="R229" s="15"/>
      <c r="S229" s="6"/>
      <c r="T229" s="15"/>
      <c r="U229" s="6"/>
      <c r="V229" s="15"/>
      <c r="W229" s="4" t="s">
        <v>58</v>
      </c>
      <c r="X229" s="4" t="s">
        <v>47</v>
      </c>
      <c r="Y229" s="4" t="s">
        <v>970</v>
      </c>
      <c r="Z229" s="4" t="s">
        <v>958</v>
      </c>
      <c r="AA229" s="6" t="n">
        <v>0</v>
      </c>
      <c r="AB229" s="6" t="n">
        <v>5163.42</v>
      </c>
      <c r="AC229" s="6" t="n">
        <v>2707.89</v>
      </c>
      <c r="AD229" s="14" t="b">
        <f aca="false">TRUE()</f>
        <v>1</v>
      </c>
    </row>
    <row r="230" customFormat="false" ht="15" hidden="false" customHeight="false" outlineLevel="0" collapsed="false">
      <c r="A230" s="14" t="b">
        <f aca="false">TRUE()</f>
        <v>1</v>
      </c>
      <c r="B230" s="14" t="b">
        <f aca="false">FALSE()</f>
        <v>0</v>
      </c>
      <c r="C230" s="4" t="n">
        <v>3</v>
      </c>
      <c r="D230" s="4"/>
      <c r="E230" s="4"/>
      <c r="F230" s="4"/>
      <c r="G230" s="4"/>
      <c r="H230" s="14" t="b">
        <f aca="false">FALSE()</f>
        <v>0</v>
      </c>
      <c r="I230" s="14" t="b">
        <f aca="false">FALSE()</f>
        <v>0</v>
      </c>
      <c r="J230" s="4"/>
      <c r="K230" s="4" t="s">
        <v>971</v>
      </c>
      <c r="L230" s="4" t="s">
        <v>972</v>
      </c>
      <c r="M230" s="4" t="s">
        <v>973</v>
      </c>
      <c r="N230" s="6" t="n">
        <v>33080</v>
      </c>
      <c r="O230" s="6" t="n">
        <v>46645</v>
      </c>
      <c r="P230" s="4" t="s">
        <v>46</v>
      </c>
      <c r="Q230" s="6" t="n">
        <v>207000</v>
      </c>
      <c r="R230" s="15" t="n">
        <v>38285</v>
      </c>
      <c r="S230" s="6" t="n">
        <v>199000</v>
      </c>
      <c r="T230" s="15" t="n">
        <v>39198</v>
      </c>
      <c r="U230" s="6"/>
      <c r="V230" s="15"/>
      <c r="W230" s="4" t="s">
        <v>58</v>
      </c>
      <c r="X230" s="4" t="s">
        <v>58</v>
      </c>
      <c r="Y230" s="4" t="s">
        <v>974</v>
      </c>
      <c r="Z230" s="4" t="s">
        <v>958</v>
      </c>
      <c r="AA230" s="6" t="n">
        <v>0</v>
      </c>
      <c r="AB230" s="6" t="n">
        <v>5158.74</v>
      </c>
      <c r="AC230" s="6" t="n">
        <v>5516.95</v>
      </c>
      <c r="AD230" s="14" t="b">
        <f aca="false">FALSE()</f>
        <v>0</v>
      </c>
    </row>
    <row r="231" customFormat="false" ht="15" hidden="false" customHeight="false" outlineLevel="0" collapsed="false">
      <c r="A231" s="14" t="b">
        <f aca="false">TRUE()</f>
        <v>1</v>
      </c>
      <c r="B231" s="14" t="b">
        <f aca="false">FALSE()</f>
        <v>0</v>
      </c>
      <c r="C231" s="4" t="n">
        <v>2</v>
      </c>
      <c r="D231" s="4"/>
      <c r="E231" s="4"/>
      <c r="F231" s="4"/>
      <c r="G231" s="4"/>
      <c r="H231" s="14" t="b">
        <f aca="false">FALSE()</f>
        <v>0</v>
      </c>
      <c r="I231" s="14" t="b">
        <f aca="false">FALSE()</f>
        <v>0</v>
      </c>
      <c r="J231" s="4"/>
      <c r="K231" s="4" t="s">
        <v>975</v>
      </c>
      <c r="L231" s="4" t="s">
        <v>976</v>
      </c>
      <c r="M231" s="4" t="s">
        <v>977</v>
      </c>
      <c r="N231" s="6" t="n">
        <v>36093</v>
      </c>
      <c r="O231" s="6" t="n">
        <v>73013</v>
      </c>
      <c r="P231" s="4" t="s">
        <v>46</v>
      </c>
      <c r="Q231" s="6"/>
      <c r="R231" s="15"/>
      <c r="S231" s="6"/>
      <c r="T231" s="15"/>
      <c r="U231" s="6"/>
      <c r="V231" s="15"/>
      <c r="W231" s="4" t="s">
        <v>47</v>
      </c>
      <c r="X231" s="4" t="s">
        <v>47</v>
      </c>
      <c r="Y231" s="4" t="s">
        <v>978</v>
      </c>
      <c r="Z231" s="4" t="s">
        <v>958</v>
      </c>
      <c r="AA231" s="6" t="n">
        <v>0</v>
      </c>
      <c r="AB231" s="6" t="n">
        <v>7271.96</v>
      </c>
      <c r="AC231" s="6" t="n">
        <v>7772.82</v>
      </c>
      <c r="AD231" s="14" t="b">
        <f aca="false">FALSE()</f>
        <v>0</v>
      </c>
    </row>
    <row r="232" customFormat="false" ht="15" hidden="false" customHeight="false" outlineLevel="0" collapsed="false">
      <c r="A232" s="14" t="b">
        <f aca="false">TRUE()</f>
        <v>1</v>
      </c>
      <c r="B232" s="14" t="b">
        <f aca="false">FALSE()</f>
        <v>0</v>
      </c>
      <c r="C232" s="4" t="n">
        <v>2</v>
      </c>
      <c r="D232" s="4"/>
      <c r="E232" s="4"/>
      <c r="F232" s="4"/>
      <c r="G232" s="4" t="n">
        <v>2</v>
      </c>
      <c r="H232" s="14" t="b">
        <f aca="false">TRUE()</f>
        <v>1</v>
      </c>
      <c r="I232" s="14" t="b">
        <f aca="false">FALSE()</f>
        <v>0</v>
      </c>
      <c r="J232" s="4"/>
      <c r="K232" s="4" t="s">
        <v>979</v>
      </c>
      <c r="L232" s="4" t="s">
        <v>980</v>
      </c>
      <c r="M232" s="4" t="s">
        <v>981</v>
      </c>
      <c r="N232" s="6" t="n">
        <v>36093</v>
      </c>
      <c r="O232" s="6" t="n">
        <v>38639</v>
      </c>
      <c r="P232" s="4" t="s">
        <v>46</v>
      </c>
      <c r="Q232" s="6" t="n">
        <v>223500</v>
      </c>
      <c r="R232" s="15" t="n">
        <v>37841</v>
      </c>
      <c r="S232" s="6"/>
      <c r="T232" s="15"/>
      <c r="U232" s="6"/>
      <c r="V232" s="15"/>
      <c r="W232" s="4" t="s">
        <v>47</v>
      </c>
      <c r="X232" s="4" t="s">
        <v>47</v>
      </c>
      <c r="Y232" s="4" t="s">
        <v>982</v>
      </c>
      <c r="Z232" s="4" t="s">
        <v>958</v>
      </c>
      <c r="AA232" s="6" t="n">
        <v>0</v>
      </c>
      <c r="AB232" s="6" t="n">
        <v>5795.02</v>
      </c>
      <c r="AC232" s="6" t="n">
        <v>6196.19</v>
      </c>
      <c r="AD232" s="14" t="b">
        <f aca="false">FALSE()</f>
        <v>0</v>
      </c>
    </row>
    <row r="233" customFormat="false" ht="15" hidden="false" customHeight="false" outlineLevel="0" collapsed="false">
      <c r="A233" s="14" t="b">
        <f aca="false">TRUE()</f>
        <v>1</v>
      </c>
      <c r="B233" s="14" t="b">
        <f aca="false">FALSE()</f>
        <v>0</v>
      </c>
      <c r="C233" s="4" t="n">
        <v>2</v>
      </c>
      <c r="D233" s="4"/>
      <c r="E233" s="4"/>
      <c r="F233" s="4"/>
      <c r="G233" s="4"/>
      <c r="H233" s="14" t="b">
        <f aca="false">FALSE()</f>
        <v>0</v>
      </c>
      <c r="I233" s="14" t="b">
        <f aca="false">FALSE()</f>
        <v>0</v>
      </c>
      <c r="J233" s="4"/>
      <c r="K233" s="4" t="s">
        <v>983</v>
      </c>
      <c r="L233" s="4" t="s">
        <v>984</v>
      </c>
      <c r="M233" s="4" t="s">
        <v>985</v>
      </c>
      <c r="N233" s="6" t="n">
        <v>30850</v>
      </c>
      <c r="O233" s="6" t="n">
        <v>47928</v>
      </c>
      <c r="P233" s="4" t="s">
        <v>46</v>
      </c>
      <c r="Q233" s="6" t="n">
        <v>3500</v>
      </c>
      <c r="R233" s="15" t="n">
        <v>37286</v>
      </c>
      <c r="S233" s="6"/>
      <c r="T233" s="15"/>
      <c r="U233" s="6"/>
      <c r="V233" s="15"/>
      <c r="W233" s="4" t="s">
        <v>47</v>
      </c>
      <c r="X233" s="4" t="s">
        <v>47</v>
      </c>
      <c r="Y233" s="4" t="s">
        <v>986</v>
      </c>
      <c r="Z233" s="4" t="s">
        <v>987</v>
      </c>
      <c r="AA233" s="6" t="n">
        <v>0</v>
      </c>
      <c r="AB233" s="6" t="n">
        <v>6849.52</v>
      </c>
      <c r="AC233" s="6" t="n">
        <v>3588.87</v>
      </c>
      <c r="AD233" s="14" t="b">
        <f aca="false">TRUE()</f>
        <v>1</v>
      </c>
    </row>
    <row r="234" customFormat="false" ht="15" hidden="false" customHeight="false" outlineLevel="0" collapsed="false">
      <c r="A234" s="14" t="b">
        <f aca="false">TRUE()</f>
        <v>1</v>
      </c>
      <c r="B234" s="14" t="b">
        <f aca="false">FALSE()</f>
        <v>0</v>
      </c>
      <c r="C234" s="4" t="n">
        <v>2</v>
      </c>
      <c r="D234" s="4"/>
      <c r="E234" s="4"/>
      <c r="F234" s="4"/>
      <c r="G234" s="4"/>
      <c r="H234" s="14" t="b">
        <f aca="false">FALSE()</f>
        <v>0</v>
      </c>
      <c r="I234" s="14" t="b">
        <f aca="false">FALSE()</f>
        <v>0</v>
      </c>
      <c r="J234" s="4"/>
      <c r="K234" s="4" t="s">
        <v>420</v>
      </c>
      <c r="L234" s="4" t="s">
        <v>988</v>
      </c>
      <c r="M234" s="4" t="s">
        <v>989</v>
      </c>
      <c r="N234" s="6" t="n">
        <v>3644</v>
      </c>
      <c r="O234" s="6" t="n">
        <v>36659</v>
      </c>
      <c r="P234" s="4" t="s">
        <v>46</v>
      </c>
      <c r="Q234" s="6" t="n">
        <v>50000</v>
      </c>
      <c r="R234" s="15" t="n">
        <v>40338</v>
      </c>
      <c r="S234" s="6"/>
      <c r="T234" s="15"/>
      <c r="U234" s="6"/>
      <c r="V234" s="15"/>
      <c r="W234" s="4" t="s">
        <v>47</v>
      </c>
      <c r="X234" s="4" t="s">
        <v>47</v>
      </c>
      <c r="Y234" s="4" t="s">
        <v>990</v>
      </c>
      <c r="Z234" s="4" t="s">
        <v>987</v>
      </c>
      <c r="AA234" s="6" t="n">
        <v>0</v>
      </c>
      <c r="AB234" s="6" t="n">
        <v>2808.64</v>
      </c>
      <c r="AC234" s="6" t="n">
        <v>1477.51</v>
      </c>
      <c r="AD234" s="14" t="b">
        <f aca="false">TRUE()</f>
        <v>1</v>
      </c>
    </row>
    <row r="235" customFormat="false" ht="15" hidden="false" customHeight="false" outlineLevel="0" collapsed="false">
      <c r="A235" s="14" t="b">
        <f aca="false">TRUE()</f>
        <v>1</v>
      </c>
      <c r="B235" s="14" t="b">
        <f aca="false">FALSE()</f>
        <v>0</v>
      </c>
      <c r="C235" s="4" t="n">
        <v>2</v>
      </c>
      <c r="D235" s="4"/>
      <c r="E235" s="4"/>
      <c r="F235" s="4"/>
      <c r="G235" s="4"/>
      <c r="H235" s="14" t="b">
        <f aca="false">FALSE()</f>
        <v>0</v>
      </c>
      <c r="I235" s="14" t="b">
        <f aca="false">FALSE()</f>
        <v>0</v>
      </c>
      <c r="J235" s="4"/>
      <c r="K235" s="4" t="s">
        <v>991</v>
      </c>
      <c r="L235" s="4" t="s">
        <v>992</v>
      </c>
      <c r="M235" s="4" t="s">
        <v>993</v>
      </c>
      <c r="N235" s="6" t="n">
        <v>33809</v>
      </c>
      <c r="O235" s="6" t="n">
        <v>64224</v>
      </c>
      <c r="P235" s="4" t="s">
        <v>46</v>
      </c>
      <c r="Q235" s="6"/>
      <c r="R235" s="15"/>
      <c r="S235" s="6" t="n">
        <v>318300</v>
      </c>
      <c r="T235" s="15" t="n">
        <v>37270</v>
      </c>
      <c r="U235" s="6"/>
      <c r="V235" s="15"/>
      <c r="W235" s="4" t="s">
        <v>47</v>
      </c>
      <c r="X235" s="4" t="s">
        <v>47</v>
      </c>
      <c r="Y235" s="4" t="s">
        <v>994</v>
      </c>
      <c r="Z235" s="4" t="s">
        <v>987</v>
      </c>
      <c r="AA235" s="6" t="n">
        <v>0</v>
      </c>
      <c r="AB235" s="6" t="n">
        <v>8523.7</v>
      </c>
      <c r="AC235" s="6" t="n">
        <v>4463.63</v>
      </c>
      <c r="AD235" s="14" t="b">
        <f aca="false">TRUE()</f>
        <v>1</v>
      </c>
    </row>
    <row r="236" customFormat="false" ht="15" hidden="false" customHeight="false" outlineLevel="0" collapsed="false">
      <c r="A236" s="14" t="b">
        <f aca="false">TRUE()</f>
        <v>1</v>
      </c>
      <c r="B236" s="14" t="b">
        <f aca="false">FALSE()</f>
        <v>0</v>
      </c>
      <c r="C236" s="4" t="n">
        <v>2</v>
      </c>
      <c r="D236" s="4"/>
      <c r="E236" s="4"/>
      <c r="F236" s="4"/>
      <c r="G236" s="4"/>
      <c r="H236" s="14" t="b">
        <f aca="false">TRUE()</f>
        <v>1</v>
      </c>
      <c r="I236" s="14" t="b">
        <f aca="false">FALSE()</f>
        <v>0</v>
      </c>
      <c r="J236" s="4"/>
      <c r="K236" s="4" t="s">
        <v>995</v>
      </c>
      <c r="L236" s="4" t="s">
        <v>996</v>
      </c>
      <c r="M236" s="4" t="s">
        <v>997</v>
      </c>
      <c r="N236" s="6" t="n">
        <v>30850</v>
      </c>
      <c r="O236" s="6" t="n">
        <v>41075</v>
      </c>
      <c r="P236" s="4" t="s">
        <v>46</v>
      </c>
      <c r="Q236" s="6" t="n">
        <v>187000</v>
      </c>
      <c r="R236" s="15" t="n">
        <v>37392</v>
      </c>
      <c r="S236" s="6"/>
      <c r="T236" s="15"/>
      <c r="U236" s="6"/>
      <c r="V236" s="15"/>
      <c r="W236" s="4" t="s">
        <v>47</v>
      </c>
      <c r="X236" s="4" t="s">
        <v>47</v>
      </c>
      <c r="Y236" s="4" t="s">
        <v>998</v>
      </c>
      <c r="Z236" s="4" t="s">
        <v>987</v>
      </c>
      <c r="AA236" s="6" t="n">
        <v>0</v>
      </c>
      <c r="AB236" s="6" t="n">
        <v>5558.08</v>
      </c>
      <c r="AC236" s="6" t="n">
        <v>2914.1</v>
      </c>
      <c r="AD236" s="14" t="b">
        <f aca="false">TRUE()</f>
        <v>1</v>
      </c>
    </row>
    <row r="237" customFormat="false" ht="15" hidden="false" customHeight="false" outlineLevel="0" collapsed="false">
      <c r="A237" s="14" t="b">
        <f aca="false">TRUE()</f>
        <v>1</v>
      </c>
      <c r="B237" s="14" t="b">
        <f aca="false">FALSE()</f>
        <v>0</v>
      </c>
      <c r="C237" s="4" t="n">
        <v>2</v>
      </c>
      <c r="D237" s="4"/>
      <c r="E237" s="4"/>
      <c r="F237" s="4"/>
      <c r="G237" s="4"/>
      <c r="H237" s="14" t="b">
        <f aca="false">TRUE()</f>
        <v>1</v>
      </c>
      <c r="I237" s="14" t="b">
        <f aca="false">FALSE()</f>
        <v>0</v>
      </c>
      <c r="J237" s="4"/>
      <c r="K237" s="4" t="s">
        <v>999</v>
      </c>
      <c r="L237" s="4" t="s">
        <v>1000</v>
      </c>
      <c r="M237" s="4" t="s">
        <v>1001</v>
      </c>
      <c r="N237" s="6" t="n">
        <v>34396</v>
      </c>
      <c r="O237" s="6" t="n">
        <v>44099</v>
      </c>
      <c r="P237" s="4" t="s">
        <v>46</v>
      </c>
      <c r="Q237" s="6" t="n">
        <v>300000</v>
      </c>
      <c r="R237" s="15" t="n">
        <v>39387</v>
      </c>
      <c r="S237" s="6"/>
      <c r="T237" s="15"/>
      <c r="U237" s="6"/>
      <c r="V237" s="15"/>
      <c r="W237" s="4" t="s">
        <v>47</v>
      </c>
      <c r="X237" s="4" t="s">
        <v>47</v>
      </c>
      <c r="Y237" s="4" t="s">
        <v>1002</v>
      </c>
      <c r="Z237" s="4" t="s">
        <v>987</v>
      </c>
      <c r="AA237" s="6" t="n">
        <v>0</v>
      </c>
      <c r="AB237" s="6" t="n">
        <v>6129.34</v>
      </c>
      <c r="AC237" s="6" t="n">
        <v>6553.07</v>
      </c>
      <c r="AD237" s="14" t="b">
        <f aca="false">FALSE()</f>
        <v>0</v>
      </c>
    </row>
    <row r="238" customFormat="false" ht="15" hidden="false" customHeight="false" outlineLevel="0" collapsed="false">
      <c r="A238" s="14" t="b">
        <f aca="false">TRUE()</f>
        <v>1</v>
      </c>
      <c r="B238" s="14" t="b">
        <f aca="false">FALSE()</f>
        <v>0</v>
      </c>
      <c r="C238" s="4" t="n">
        <v>3</v>
      </c>
      <c r="D238" s="4"/>
      <c r="E238" s="4"/>
      <c r="F238" s="4"/>
      <c r="G238" s="4" t="n">
        <v>2</v>
      </c>
      <c r="H238" s="14" t="b">
        <f aca="false">FALSE()</f>
        <v>0</v>
      </c>
      <c r="I238" s="14" t="b">
        <f aca="false">FALSE()</f>
        <v>0</v>
      </c>
      <c r="J238" s="4"/>
      <c r="K238" s="4" t="s">
        <v>1003</v>
      </c>
      <c r="L238" s="4" t="s">
        <v>1004</v>
      </c>
      <c r="M238" s="4" t="s">
        <v>1005</v>
      </c>
      <c r="N238" s="6" t="n">
        <v>32754</v>
      </c>
      <c r="O238" s="6" t="n">
        <v>56424</v>
      </c>
      <c r="P238" s="4" t="s">
        <v>46</v>
      </c>
      <c r="Q238" s="6"/>
      <c r="R238" s="15"/>
      <c r="S238" s="6" t="n">
        <v>181800</v>
      </c>
      <c r="T238" s="15" t="n">
        <v>39213</v>
      </c>
      <c r="U238" s="6" t="n">
        <v>121500</v>
      </c>
      <c r="V238" s="15" t="n">
        <v>37375</v>
      </c>
      <c r="W238" s="4" t="s">
        <v>47</v>
      </c>
      <c r="X238" s="4" t="s">
        <v>47</v>
      </c>
      <c r="Y238" s="4" t="s">
        <v>1006</v>
      </c>
      <c r="Z238" s="4" t="s">
        <v>987</v>
      </c>
      <c r="AA238" s="6" t="n">
        <v>0</v>
      </c>
      <c r="AB238" s="6" t="n">
        <v>7058.16</v>
      </c>
      <c r="AC238" s="6" t="n">
        <v>7544.59</v>
      </c>
      <c r="AD238" s="14" t="b">
        <f aca="false">FALSE()</f>
        <v>0</v>
      </c>
    </row>
    <row r="239" customFormat="false" ht="15" hidden="false" customHeight="false" outlineLevel="0" collapsed="false">
      <c r="A239" s="14" t="b">
        <f aca="false">TRUE()</f>
        <v>1</v>
      </c>
      <c r="B239" s="14" t="b">
        <f aca="false">FALSE()</f>
        <v>0</v>
      </c>
      <c r="C239" s="4" t="n">
        <v>2</v>
      </c>
      <c r="D239" s="4"/>
      <c r="E239" s="4"/>
      <c r="F239" s="4"/>
      <c r="G239" s="4"/>
      <c r="H239" s="14" t="b">
        <f aca="false">TRUE()</f>
        <v>1</v>
      </c>
      <c r="I239" s="14" t="b">
        <f aca="false">FALSE()</f>
        <v>0</v>
      </c>
      <c r="J239" s="4"/>
      <c r="K239" s="4" t="s">
        <v>1007</v>
      </c>
      <c r="L239" s="4" t="s">
        <v>1008</v>
      </c>
      <c r="M239" s="4" t="s">
        <v>1009</v>
      </c>
      <c r="N239" s="6" t="n">
        <v>7549</v>
      </c>
      <c r="O239" s="6" t="n">
        <v>50452</v>
      </c>
      <c r="P239" s="4" t="s">
        <v>46</v>
      </c>
      <c r="Q239" s="6" t="n">
        <v>215000</v>
      </c>
      <c r="R239" s="15" t="n">
        <v>45517</v>
      </c>
      <c r="S239" s="6"/>
      <c r="T239" s="15"/>
      <c r="U239" s="6"/>
      <c r="V239" s="15"/>
      <c r="W239" s="4" t="s">
        <v>47</v>
      </c>
      <c r="X239" s="4" t="s">
        <v>47</v>
      </c>
      <c r="Y239" s="4" t="s">
        <v>1010</v>
      </c>
      <c r="Z239" s="4" t="s">
        <v>987</v>
      </c>
      <c r="AA239" s="6" t="n">
        <v>0</v>
      </c>
      <c r="AB239" s="6" t="n">
        <v>5043.02</v>
      </c>
      <c r="AC239" s="6" t="n">
        <v>5393.43</v>
      </c>
      <c r="AD239" s="14" t="b">
        <f aca="false">FALSE()</f>
        <v>0</v>
      </c>
    </row>
    <row r="240" customFormat="false" ht="15" hidden="false" customHeight="false" outlineLevel="0" collapsed="false">
      <c r="A240" s="14" t="b">
        <f aca="false">TRUE()</f>
        <v>1</v>
      </c>
      <c r="B240" s="14" t="b">
        <f aca="false">FALSE()</f>
        <v>0</v>
      </c>
      <c r="C240" s="4" t="n">
        <v>3</v>
      </c>
      <c r="D240" s="4"/>
      <c r="E240" s="4"/>
      <c r="F240" s="4"/>
      <c r="G240" s="4"/>
      <c r="H240" s="14" t="b">
        <f aca="false">FALSE()</f>
        <v>0</v>
      </c>
      <c r="I240" s="14" t="b">
        <f aca="false">FALSE()</f>
        <v>0</v>
      </c>
      <c r="J240" s="4"/>
      <c r="K240" s="4" t="s">
        <v>1011</v>
      </c>
      <c r="L240" s="4" t="s">
        <v>1012</v>
      </c>
      <c r="M240" s="4" t="s">
        <v>1013</v>
      </c>
      <c r="N240" s="6" t="n">
        <v>38443</v>
      </c>
      <c r="O240" s="6" t="n">
        <v>115263</v>
      </c>
      <c r="P240" s="4" t="s">
        <v>46</v>
      </c>
      <c r="Q240" s="6" t="n">
        <v>63000</v>
      </c>
      <c r="R240" s="15" t="n">
        <v>37005</v>
      </c>
      <c r="S240" s="6" t="n">
        <v>592500</v>
      </c>
      <c r="T240" s="15" t="n">
        <v>45848</v>
      </c>
      <c r="U240" s="6"/>
      <c r="V240" s="15"/>
      <c r="W240" s="4" t="s">
        <v>58</v>
      </c>
      <c r="X240" s="4" t="s">
        <v>58</v>
      </c>
      <c r="Y240" s="4" t="s">
        <v>1014</v>
      </c>
      <c r="Z240" s="4" t="s">
        <v>987</v>
      </c>
      <c r="AA240" s="6" t="n">
        <v>0</v>
      </c>
      <c r="AB240" s="6" t="n">
        <v>11973.1</v>
      </c>
      <c r="AC240" s="6" t="n">
        <v>12791.28</v>
      </c>
      <c r="AD240" s="14" t="b">
        <f aca="false">FALSE()</f>
        <v>0</v>
      </c>
    </row>
    <row r="241" customFormat="false" ht="15" hidden="false" customHeight="false" outlineLevel="0" collapsed="false">
      <c r="A241" s="14" t="b">
        <f aca="false">TRUE()</f>
        <v>1</v>
      </c>
      <c r="B241" s="14" t="b">
        <f aca="false">FALSE()</f>
        <v>0</v>
      </c>
      <c r="C241" s="4" t="n">
        <v>2</v>
      </c>
      <c r="D241" s="4"/>
      <c r="E241" s="4"/>
      <c r="F241" s="4"/>
      <c r="G241" s="4"/>
      <c r="H241" s="14" t="b">
        <f aca="false">FALSE()</f>
        <v>0</v>
      </c>
      <c r="I241" s="14" t="b">
        <f aca="false">FALSE()</f>
        <v>0</v>
      </c>
      <c r="J241" s="4"/>
      <c r="K241" s="4" t="s">
        <v>1015</v>
      </c>
      <c r="L241" s="4" t="s">
        <v>1016</v>
      </c>
      <c r="M241" s="4" t="s">
        <v>1017</v>
      </c>
      <c r="N241" s="6" t="n">
        <v>46144</v>
      </c>
      <c r="O241" s="6" t="n">
        <v>124314</v>
      </c>
      <c r="P241" s="4" t="s">
        <v>46</v>
      </c>
      <c r="Q241" s="6" t="n">
        <v>165000</v>
      </c>
      <c r="R241" s="15" t="n">
        <v>43451</v>
      </c>
      <c r="S241" s="6"/>
      <c r="T241" s="15"/>
      <c r="U241" s="6"/>
      <c r="V241" s="15"/>
      <c r="W241" s="4" t="s">
        <v>47</v>
      </c>
      <c r="X241" s="4" t="s">
        <v>47</v>
      </c>
      <c r="Y241" s="4" t="s">
        <v>1018</v>
      </c>
      <c r="Z241" s="4" t="s">
        <v>987</v>
      </c>
      <c r="AA241" s="6" t="n">
        <v>0</v>
      </c>
      <c r="AB241" s="6" t="n">
        <v>14820.82</v>
      </c>
      <c r="AC241" s="6" t="n">
        <v>7753.88</v>
      </c>
      <c r="AD241" s="14" t="b">
        <f aca="false">TRUE()</f>
        <v>1</v>
      </c>
    </row>
    <row r="242" customFormat="false" ht="15" hidden="false" customHeight="false" outlineLevel="0" collapsed="false">
      <c r="A242" s="14" t="b">
        <f aca="false">TRUE()</f>
        <v>1</v>
      </c>
      <c r="B242" s="14" t="b">
        <f aca="false">FALSE()</f>
        <v>0</v>
      </c>
      <c r="C242" s="4" t="n">
        <v>3</v>
      </c>
      <c r="D242" s="4"/>
      <c r="E242" s="4"/>
      <c r="F242" s="4"/>
      <c r="G242" s="4" t="n">
        <v>3</v>
      </c>
      <c r="H242" s="14" t="b">
        <f aca="false">FALSE()</f>
        <v>0</v>
      </c>
      <c r="I242" s="14" t="b">
        <f aca="false">FALSE()</f>
        <v>0</v>
      </c>
      <c r="J242" s="4"/>
      <c r="K242" s="4" t="s">
        <v>1019</v>
      </c>
      <c r="L242" s="4" t="s">
        <v>1020</v>
      </c>
      <c r="M242" s="4" t="s">
        <v>1021</v>
      </c>
      <c r="N242" s="6" t="n">
        <v>48570</v>
      </c>
      <c r="O242" s="6" t="n">
        <v>189005</v>
      </c>
      <c r="P242" s="4" t="s">
        <v>46</v>
      </c>
      <c r="Q242" s="6"/>
      <c r="R242" s="15" t="n">
        <v>44648</v>
      </c>
      <c r="S242" s="6"/>
      <c r="T242" s="15"/>
      <c r="U242" s="6"/>
      <c r="V242" s="15"/>
      <c r="W242" s="4" t="s">
        <v>47</v>
      </c>
      <c r="X242" s="4" t="s">
        <v>58</v>
      </c>
      <c r="Y242" s="4" t="s">
        <v>1022</v>
      </c>
      <c r="Z242" s="4" t="s">
        <v>987</v>
      </c>
      <c r="AA242" s="6" t="n">
        <v>0</v>
      </c>
      <c r="AB242" s="6" t="n">
        <v>20656.44</v>
      </c>
      <c r="AC242" s="6" t="n">
        <v>22060.75</v>
      </c>
      <c r="AD242" s="14" t="b">
        <f aca="false">FALSE()</f>
        <v>0</v>
      </c>
    </row>
    <row r="243" customFormat="false" ht="15" hidden="false" customHeight="false" outlineLevel="0" collapsed="false">
      <c r="A243" s="14" t="b">
        <f aca="false">TRUE()</f>
        <v>1</v>
      </c>
      <c r="B243" s="14" t="b">
        <f aca="false">FALSE()</f>
        <v>0</v>
      </c>
      <c r="C243" s="4" t="n">
        <v>2</v>
      </c>
      <c r="D243" s="4"/>
      <c r="E243" s="4"/>
      <c r="F243" s="4"/>
      <c r="G243" s="4"/>
      <c r="H243" s="14" t="b">
        <f aca="false">TRUE()</f>
        <v>1</v>
      </c>
      <c r="I243" s="14" t="b">
        <f aca="false">FALSE()</f>
        <v>0</v>
      </c>
      <c r="J243" s="4"/>
      <c r="K243" s="4" t="s">
        <v>1023</v>
      </c>
      <c r="L243" s="4" t="s">
        <v>1024</v>
      </c>
      <c r="M243" s="4" t="s">
        <v>1025</v>
      </c>
      <c r="N243" s="6" t="n">
        <v>36691</v>
      </c>
      <c r="O243" s="6" t="n">
        <v>48374</v>
      </c>
      <c r="P243" s="4" t="s">
        <v>46</v>
      </c>
      <c r="Q243" s="6"/>
      <c r="R243" s="15"/>
      <c r="S243" s="6"/>
      <c r="T243" s="15"/>
      <c r="U243" s="6"/>
      <c r="V243" s="15"/>
      <c r="W243" s="4" t="s">
        <v>47</v>
      </c>
      <c r="X243" s="4" t="s">
        <v>58</v>
      </c>
      <c r="Y243" s="4" t="s">
        <v>1026</v>
      </c>
      <c r="Z243" s="4" t="s">
        <v>987</v>
      </c>
      <c r="AA243" s="6" t="n">
        <v>0</v>
      </c>
      <c r="AB243" s="6" t="n">
        <v>6700.58</v>
      </c>
      <c r="AC243" s="6" t="n">
        <v>3511.05</v>
      </c>
      <c r="AD243" s="14" t="b">
        <f aca="false">TRUE()</f>
        <v>1</v>
      </c>
    </row>
    <row r="244" customFormat="false" ht="15" hidden="false" customHeight="false" outlineLevel="0" collapsed="false">
      <c r="A244" s="14" t="b">
        <f aca="false">TRUE()</f>
        <v>1</v>
      </c>
      <c r="B244" s="14" t="b">
        <f aca="false">FALSE()</f>
        <v>0</v>
      </c>
      <c r="C244" s="4" t="n">
        <v>3</v>
      </c>
      <c r="D244" s="4"/>
      <c r="E244" s="4"/>
      <c r="F244" s="4"/>
      <c r="G244" s="4"/>
      <c r="H244" s="14" t="b">
        <f aca="false">TRUE()</f>
        <v>1</v>
      </c>
      <c r="I244" s="14" t="b">
        <f aca="false">FALSE()</f>
        <v>0</v>
      </c>
      <c r="J244" s="4"/>
      <c r="K244" s="4" t="s">
        <v>1027</v>
      </c>
      <c r="L244" s="4" t="s">
        <v>1028</v>
      </c>
      <c r="M244" s="4" t="s">
        <v>1029</v>
      </c>
      <c r="N244" s="6" t="n">
        <v>36691</v>
      </c>
      <c r="O244" s="6" t="n">
        <v>44981</v>
      </c>
      <c r="P244" s="4" t="s">
        <v>46</v>
      </c>
      <c r="Q244" s="6"/>
      <c r="R244" s="15"/>
      <c r="S244" s="6" t="n">
        <v>140700</v>
      </c>
      <c r="T244" s="15" t="n">
        <v>41516</v>
      </c>
      <c r="U244" s="6"/>
      <c r="V244" s="15"/>
      <c r="W244" s="4" t="s">
        <v>47</v>
      </c>
      <c r="X244" s="4" t="s">
        <v>58</v>
      </c>
      <c r="Y244" s="4" t="s">
        <v>1030</v>
      </c>
      <c r="Z244" s="4" t="s">
        <v>987</v>
      </c>
      <c r="AA244" s="6" t="n">
        <v>0</v>
      </c>
      <c r="AB244" s="6" t="n">
        <v>6405.56</v>
      </c>
      <c r="AC244" s="6" t="n">
        <v>6847.94</v>
      </c>
      <c r="AD244" s="14" t="b">
        <f aca="false">FALSE()</f>
        <v>0</v>
      </c>
    </row>
    <row r="245" customFormat="false" ht="15" hidden="false" customHeight="false" outlineLevel="0" collapsed="false">
      <c r="A245" s="14" t="b">
        <f aca="false">TRUE()</f>
        <v>1</v>
      </c>
      <c r="B245" s="14" t="b">
        <f aca="false">FALSE()</f>
        <v>0</v>
      </c>
      <c r="C245" s="4" t="n">
        <v>3</v>
      </c>
      <c r="D245" s="4"/>
      <c r="E245" s="4"/>
      <c r="F245" s="4"/>
      <c r="G245" s="4"/>
      <c r="H245" s="14" t="b">
        <f aca="false">FALSE()</f>
        <v>0</v>
      </c>
      <c r="I245" s="14" t="b">
        <f aca="false">FALSE()</f>
        <v>0</v>
      </c>
      <c r="J245" s="4"/>
      <c r="K245" s="4" t="s">
        <v>412</v>
      </c>
      <c r="L245" s="4" t="s">
        <v>1031</v>
      </c>
      <c r="M245" s="4" t="s">
        <v>1032</v>
      </c>
      <c r="N245" s="6" t="n">
        <v>34940</v>
      </c>
      <c r="O245" s="6" t="n">
        <v>76092</v>
      </c>
      <c r="P245" s="4" t="s">
        <v>46</v>
      </c>
      <c r="Q245" s="6"/>
      <c r="R245" s="15" t="n">
        <v>41610</v>
      </c>
      <c r="S245" s="6"/>
      <c r="T245" s="15"/>
      <c r="U245" s="6"/>
      <c r="V245" s="15"/>
      <c r="W245" s="4" t="s">
        <v>47</v>
      </c>
      <c r="X245" s="4" t="s">
        <v>58</v>
      </c>
      <c r="Y245" s="4" t="s">
        <v>1033</v>
      </c>
      <c r="Z245" s="4" t="s">
        <v>987</v>
      </c>
      <c r="AA245" s="6" t="n">
        <v>0</v>
      </c>
      <c r="AB245" s="6" t="n">
        <v>9653.9</v>
      </c>
      <c r="AC245" s="6" t="n">
        <v>10315.54</v>
      </c>
      <c r="AD245" s="14" t="b">
        <f aca="false">FALSE()</f>
        <v>0</v>
      </c>
    </row>
    <row r="246" customFormat="false" ht="15" hidden="false" customHeight="false" outlineLevel="0" collapsed="false">
      <c r="A246" s="14" t="b">
        <f aca="false">TRUE()</f>
        <v>1</v>
      </c>
      <c r="B246" s="14" t="b">
        <f aca="false">FALSE()</f>
        <v>0</v>
      </c>
      <c r="C246" s="4" t="n">
        <v>2</v>
      </c>
      <c r="D246" s="4"/>
      <c r="E246" s="4"/>
      <c r="F246" s="4"/>
      <c r="G246" s="4"/>
      <c r="H246" s="14" t="b">
        <f aca="false">FALSE()</f>
        <v>0</v>
      </c>
      <c r="I246" s="14" t="b">
        <f aca="false">FALSE()</f>
        <v>0</v>
      </c>
      <c r="J246" s="4"/>
      <c r="K246" s="4" t="s">
        <v>1034</v>
      </c>
      <c r="L246" s="4" t="s">
        <v>1035</v>
      </c>
      <c r="M246" s="4" t="s">
        <v>1036</v>
      </c>
      <c r="N246" s="6" t="n">
        <v>34940</v>
      </c>
      <c r="O246" s="6" t="n">
        <v>47907</v>
      </c>
      <c r="P246" s="4" t="s">
        <v>46</v>
      </c>
      <c r="Q246" s="6"/>
      <c r="R246" s="15"/>
      <c r="S246" s="6"/>
      <c r="T246" s="15"/>
      <c r="U246" s="6"/>
      <c r="V246" s="15"/>
      <c r="W246" s="4" t="s">
        <v>58</v>
      </c>
      <c r="X246" s="4" t="s">
        <v>47</v>
      </c>
      <c r="Y246" s="4" t="s">
        <v>1037</v>
      </c>
      <c r="Z246" s="4" t="s">
        <v>987</v>
      </c>
      <c r="AA246" s="6" t="n">
        <v>0</v>
      </c>
      <c r="AB246" s="6" t="n">
        <v>6507.74</v>
      </c>
      <c r="AC246" s="6" t="n">
        <v>6957.01</v>
      </c>
      <c r="AD246" s="14" t="b">
        <f aca="false">FALSE()</f>
        <v>0</v>
      </c>
    </row>
    <row r="247" customFormat="false" ht="15" hidden="false" customHeight="false" outlineLevel="0" collapsed="false">
      <c r="A247" s="14" t="b">
        <f aca="false">TRUE()</f>
        <v>1</v>
      </c>
      <c r="B247" s="14" t="b">
        <f aca="false">FALSE()</f>
        <v>0</v>
      </c>
      <c r="C247" s="4" t="n">
        <v>2</v>
      </c>
      <c r="D247" s="4"/>
      <c r="E247" s="4"/>
      <c r="F247" s="4" t="s">
        <v>440</v>
      </c>
      <c r="G247" s="4"/>
      <c r="H247" s="14" t="b">
        <f aca="false">FALSE()</f>
        <v>0</v>
      </c>
      <c r="I247" s="14" t="b">
        <f aca="false">FALSE()</f>
        <v>0</v>
      </c>
      <c r="J247" s="4"/>
      <c r="K247" s="4" t="s">
        <v>1038</v>
      </c>
      <c r="L247" s="4" t="s">
        <v>1039</v>
      </c>
      <c r="M247" s="4" t="s">
        <v>1040</v>
      </c>
      <c r="N247" s="6" t="n">
        <v>51094</v>
      </c>
      <c r="O247" s="6" t="n">
        <v>52834</v>
      </c>
      <c r="P247" s="4" t="s">
        <v>46</v>
      </c>
      <c r="Q247" s="6"/>
      <c r="R247" s="15"/>
      <c r="S247" s="6"/>
      <c r="T247" s="15"/>
      <c r="U247" s="6"/>
      <c r="V247" s="15"/>
      <c r="W247" s="4" t="s">
        <v>47</v>
      </c>
      <c r="X247" s="4" t="s">
        <v>47</v>
      </c>
      <c r="Y247" s="4" t="s">
        <v>1041</v>
      </c>
      <c r="Z247" s="4" t="s">
        <v>958</v>
      </c>
      <c r="AA247" s="6" t="n">
        <v>0</v>
      </c>
      <c r="AB247" s="6" t="n">
        <v>6899.52</v>
      </c>
      <c r="AC247" s="6" t="n">
        <v>7375.24</v>
      </c>
      <c r="AD247" s="14" t="b">
        <f aca="false">FALSE()</f>
        <v>0</v>
      </c>
    </row>
    <row r="248" customFormat="false" ht="15" hidden="false" customHeight="false" outlineLevel="0" collapsed="false">
      <c r="A248" s="14" t="b">
        <f aca="false">TRUE()</f>
        <v>1</v>
      </c>
      <c r="B248" s="14" t="b">
        <f aca="false">FALSE()</f>
        <v>0</v>
      </c>
      <c r="C248" s="4" t="n">
        <v>2</v>
      </c>
      <c r="D248" s="4"/>
      <c r="E248" s="4"/>
      <c r="F248" s="4"/>
      <c r="G248" s="4"/>
      <c r="H248" s="14" t="b">
        <f aca="false">FALSE()</f>
        <v>0</v>
      </c>
      <c r="I248" s="14" t="b">
        <f aca="false">FALSE()</f>
        <v>0</v>
      </c>
      <c r="J248" s="4"/>
      <c r="K248" s="4" t="s">
        <v>1042</v>
      </c>
      <c r="L248" s="4" t="s">
        <v>1043</v>
      </c>
      <c r="M248" s="4" t="s">
        <v>1044</v>
      </c>
      <c r="N248" s="6" t="n">
        <v>58763</v>
      </c>
      <c r="O248" s="6" t="n">
        <v>92061</v>
      </c>
      <c r="P248" s="4" t="s">
        <v>46</v>
      </c>
      <c r="Q248" s="6" t="n">
        <v>165000</v>
      </c>
      <c r="R248" s="15" t="n">
        <v>35601</v>
      </c>
      <c r="S248" s="6"/>
      <c r="T248" s="15"/>
      <c r="U248" s="6"/>
      <c r="V248" s="15"/>
      <c r="W248" s="4" t="s">
        <v>47</v>
      </c>
      <c r="X248" s="4" t="s">
        <v>47</v>
      </c>
      <c r="Y248" s="4" t="s">
        <v>1045</v>
      </c>
      <c r="Z248" s="4" t="s">
        <v>958</v>
      </c>
      <c r="AA248" s="6" t="n">
        <v>0</v>
      </c>
      <c r="AB248" s="6" t="n">
        <v>7686.54</v>
      </c>
      <c r="AC248" s="6" t="n">
        <v>4026.22</v>
      </c>
      <c r="AD248" s="14" t="b">
        <f aca="false">TRUE()</f>
        <v>1</v>
      </c>
    </row>
    <row r="249" customFormat="false" ht="15" hidden="false" customHeight="false" outlineLevel="0" collapsed="false">
      <c r="A249" s="14" t="b">
        <f aca="false">TRUE()</f>
        <v>1</v>
      </c>
      <c r="B249" s="14" t="b">
        <f aca="false">FALSE()</f>
        <v>0</v>
      </c>
      <c r="C249" s="4" t="n">
        <v>3</v>
      </c>
      <c r="D249" s="4"/>
      <c r="E249" s="4"/>
      <c r="F249" s="4"/>
      <c r="G249" s="4" t="n">
        <v>2</v>
      </c>
      <c r="H249" s="14" t="b">
        <f aca="false">TRUE()</f>
        <v>1</v>
      </c>
      <c r="I249" s="14" t="b">
        <f aca="false">FALSE()</f>
        <v>0</v>
      </c>
      <c r="J249" s="4"/>
      <c r="K249" s="4" t="s">
        <v>1046</v>
      </c>
      <c r="L249" s="4" t="s">
        <v>1047</v>
      </c>
      <c r="M249" s="4" t="s">
        <v>1048</v>
      </c>
      <c r="N249" s="6" t="n">
        <v>33036</v>
      </c>
      <c r="O249" s="6" t="n">
        <v>23312</v>
      </c>
      <c r="P249" s="4" t="s">
        <v>46</v>
      </c>
      <c r="Q249" s="6" t="n">
        <v>53000</v>
      </c>
      <c r="R249" s="15" t="n">
        <v>41759</v>
      </c>
      <c r="S249" s="6" t="n">
        <v>20000</v>
      </c>
      <c r="T249" s="15" t="n">
        <v>42825</v>
      </c>
      <c r="U249" s="6"/>
      <c r="V249" s="15"/>
      <c r="W249" s="4" t="s">
        <v>47</v>
      </c>
      <c r="X249" s="4" t="s">
        <v>47</v>
      </c>
      <c r="Y249" s="4" t="s">
        <v>1049</v>
      </c>
      <c r="Z249" s="4" t="s">
        <v>958</v>
      </c>
      <c r="AA249" s="6" t="n">
        <v>0</v>
      </c>
      <c r="AB249" s="6" t="n">
        <v>3477.4</v>
      </c>
      <c r="AC249" s="6" t="n">
        <v>3722.12</v>
      </c>
      <c r="AD249" s="14" t="b">
        <f aca="false">FALSE()</f>
        <v>0</v>
      </c>
    </row>
    <row r="250" customFormat="false" ht="15" hidden="false" customHeight="false" outlineLevel="0" collapsed="false">
      <c r="A250" s="14" t="b">
        <f aca="false">TRUE()</f>
        <v>1</v>
      </c>
      <c r="B250" s="14" t="b">
        <f aca="false">FALSE()</f>
        <v>0</v>
      </c>
      <c r="C250" s="4" t="n">
        <v>3</v>
      </c>
      <c r="D250" s="4"/>
      <c r="E250" s="4"/>
      <c r="F250" s="4"/>
      <c r="G250" s="4" t="n">
        <v>2</v>
      </c>
      <c r="H250" s="14" t="b">
        <f aca="false">FALSE()</f>
        <v>0</v>
      </c>
      <c r="I250" s="14" t="b">
        <f aca="false">FALSE()</f>
        <v>0</v>
      </c>
      <c r="J250" s="4"/>
      <c r="K250" s="4" t="s">
        <v>1050</v>
      </c>
      <c r="L250" s="4" t="s">
        <v>1051</v>
      </c>
      <c r="M250" s="4" t="s">
        <v>1052</v>
      </c>
      <c r="N250" s="6" t="n">
        <v>36082</v>
      </c>
      <c r="O250" s="6" t="n">
        <v>42653</v>
      </c>
      <c r="P250" s="4" t="s">
        <v>46</v>
      </c>
      <c r="Q250" s="6" t="n">
        <v>215000</v>
      </c>
      <c r="R250" s="15" t="n">
        <v>45295</v>
      </c>
      <c r="S250" s="6" t="n">
        <v>266000</v>
      </c>
      <c r="T250" s="15" t="n">
        <v>45610</v>
      </c>
      <c r="U250" s="6" t="n">
        <v>150000</v>
      </c>
      <c r="V250" s="15" t="n">
        <v>45295</v>
      </c>
      <c r="W250" s="4" t="s">
        <v>58</v>
      </c>
      <c r="X250" s="4" t="s">
        <v>47</v>
      </c>
      <c r="Y250" s="4" t="s">
        <v>1053</v>
      </c>
      <c r="Z250" s="4" t="s">
        <v>958</v>
      </c>
      <c r="AA250" s="6" t="n">
        <v>0</v>
      </c>
      <c r="AB250" s="6" t="n">
        <v>5662.94</v>
      </c>
      <c r="AC250" s="6" t="n">
        <v>6055.19</v>
      </c>
      <c r="AD250" s="14" t="b">
        <f aca="false">FALSE()</f>
        <v>0</v>
      </c>
    </row>
    <row r="251" customFormat="false" ht="15" hidden="false" customHeight="false" outlineLevel="0" collapsed="false">
      <c r="A251" s="14" t="b">
        <f aca="false">TRUE()</f>
        <v>1</v>
      </c>
      <c r="B251" s="14" t="b">
        <f aca="false">FALSE()</f>
        <v>0</v>
      </c>
      <c r="C251" s="4" t="n">
        <v>3</v>
      </c>
      <c r="D251" s="4"/>
      <c r="E251" s="4"/>
      <c r="F251" s="4"/>
      <c r="G251" s="4"/>
      <c r="H251" s="14" t="b">
        <f aca="false">FALSE()</f>
        <v>0</v>
      </c>
      <c r="I251" s="14" t="b">
        <f aca="false">FALSE()</f>
        <v>0</v>
      </c>
      <c r="J251" s="4"/>
      <c r="K251" s="4" t="s">
        <v>1054</v>
      </c>
      <c r="L251" s="4" t="s">
        <v>1055</v>
      </c>
      <c r="M251" s="4" t="s">
        <v>1056</v>
      </c>
      <c r="N251" s="6" t="n">
        <v>37203</v>
      </c>
      <c r="O251" s="6" t="n">
        <v>48907</v>
      </c>
      <c r="P251" s="4" t="s">
        <v>46</v>
      </c>
      <c r="Q251" s="6" t="n">
        <v>230000</v>
      </c>
      <c r="R251" s="15" t="n">
        <v>45720</v>
      </c>
      <c r="S251" s="6" t="n">
        <v>319000</v>
      </c>
      <c r="T251" s="15" t="n">
        <v>45720</v>
      </c>
      <c r="U251" s="6"/>
      <c r="V251" s="15"/>
      <c r="W251" s="4" t="s">
        <v>47</v>
      </c>
      <c r="X251" s="4" t="s">
        <v>47</v>
      </c>
      <c r="Y251" s="4" t="s">
        <v>1057</v>
      </c>
      <c r="Z251" s="4" t="s">
        <v>958</v>
      </c>
      <c r="AA251" s="6" t="n">
        <v>0</v>
      </c>
      <c r="AB251" s="6" t="n">
        <v>5042.6</v>
      </c>
      <c r="AC251" s="6" t="n">
        <v>5392.98</v>
      </c>
      <c r="AD251" s="14" t="b">
        <f aca="false">FALSE()</f>
        <v>0</v>
      </c>
    </row>
    <row r="252" customFormat="false" ht="15" hidden="false" customHeight="false" outlineLevel="0" collapsed="false">
      <c r="A252" s="14" t="b">
        <f aca="false">TRUE()</f>
        <v>1</v>
      </c>
      <c r="B252" s="14" t="b">
        <f aca="false">FALSE()</f>
        <v>0</v>
      </c>
      <c r="C252" s="4" t="n">
        <v>2</v>
      </c>
      <c r="D252" s="4"/>
      <c r="E252" s="4"/>
      <c r="F252" s="4"/>
      <c r="G252" s="4"/>
      <c r="H252" s="14" t="b">
        <f aca="false">FALSE()</f>
        <v>0</v>
      </c>
      <c r="I252" s="14" t="b">
        <f aca="false">FALSE()</f>
        <v>0</v>
      </c>
      <c r="J252" s="4"/>
      <c r="K252" s="4" t="s">
        <v>1058</v>
      </c>
      <c r="L252" s="4" t="s">
        <v>1059</v>
      </c>
      <c r="M252" s="4" t="s">
        <v>1060</v>
      </c>
      <c r="N252" s="6" t="n">
        <v>31383</v>
      </c>
      <c r="O252" s="6" t="n">
        <v>32427</v>
      </c>
      <c r="P252" s="4" t="s">
        <v>46</v>
      </c>
      <c r="Q252" s="6" t="n">
        <v>209000</v>
      </c>
      <c r="R252" s="15" t="n">
        <v>38870</v>
      </c>
      <c r="S252" s="6"/>
      <c r="T252" s="15"/>
      <c r="U252" s="6"/>
      <c r="V252" s="15"/>
      <c r="W252" s="4" t="s">
        <v>47</v>
      </c>
      <c r="X252" s="4" t="s">
        <v>58</v>
      </c>
      <c r="Y252" s="4" t="s">
        <v>1061</v>
      </c>
      <c r="Z252" s="4" t="s">
        <v>987</v>
      </c>
      <c r="AA252" s="6" t="n">
        <v>0</v>
      </c>
      <c r="AB252" s="6" t="n">
        <v>4156.96</v>
      </c>
      <c r="AC252" s="6" t="n">
        <v>4447.55</v>
      </c>
      <c r="AD252" s="14" t="b">
        <f aca="false">FALSE()</f>
        <v>0</v>
      </c>
    </row>
    <row r="253" customFormat="false" ht="15" hidden="false" customHeight="false" outlineLevel="0" collapsed="false">
      <c r="A253" s="14" t="b">
        <f aca="false">TRUE()</f>
        <v>1</v>
      </c>
      <c r="B253" s="14" t="b">
        <f aca="false">FALSE()</f>
        <v>0</v>
      </c>
      <c r="C253" s="4" t="n">
        <v>2</v>
      </c>
      <c r="D253" s="4"/>
      <c r="E253" s="4"/>
      <c r="F253" s="4"/>
      <c r="G253" s="4"/>
      <c r="H253" s="14" t="b">
        <f aca="false">FALSE()</f>
        <v>0</v>
      </c>
      <c r="I253" s="14" t="b">
        <f aca="false">FALSE()</f>
        <v>0</v>
      </c>
      <c r="J253" s="4"/>
      <c r="K253" s="4" t="s">
        <v>1062</v>
      </c>
      <c r="L253" s="4" t="s">
        <v>1063</v>
      </c>
      <c r="M253" s="4" t="s">
        <v>1064</v>
      </c>
      <c r="N253" s="6" t="n">
        <v>51094</v>
      </c>
      <c r="O253" s="6" t="n">
        <v>143220</v>
      </c>
      <c r="P253" s="4" t="s">
        <v>46</v>
      </c>
      <c r="Q253" s="6" t="n">
        <v>385000</v>
      </c>
      <c r="R253" s="15" t="n">
        <v>42376</v>
      </c>
      <c r="S253" s="6"/>
      <c r="T253" s="15"/>
      <c r="U253" s="6"/>
      <c r="V253" s="15"/>
      <c r="W253" s="4" t="s">
        <v>58</v>
      </c>
      <c r="X253" s="4" t="s">
        <v>47</v>
      </c>
      <c r="Y253" s="4" t="s">
        <v>1065</v>
      </c>
      <c r="Z253" s="4" t="s">
        <v>958</v>
      </c>
      <c r="AA253" s="6" t="n">
        <v>0</v>
      </c>
      <c r="AB253" s="6" t="n">
        <v>16179.5</v>
      </c>
      <c r="AC253" s="6" t="n">
        <v>8463.79</v>
      </c>
      <c r="AD253" s="14" t="b">
        <f aca="false">TRUE()</f>
        <v>1</v>
      </c>
    </row>
    <row r="254" customFormat="false" ht="15" hidden="false" customHeight="false" outlineLevel="0" collapsed="false">
      <c r="A254" s="14" t="b">
        <f aca="false">TRUE()</f>
        <v>1</v>
      </c>
      <c r="B254" s="14" t="b">
        <f aca="false">FALSE()</f>
        <v>0</v>
      </c>
      <c r="C254" s="4" t="n">
        <v>2</v>
      </c>
      <c r="D254" s="4"/>
      <c r="E254" s="4"/>
      <c r="F254" s="4"/>
      <c r="G254" s="4"/>
      <c r="H254" s="14" t="b">
        <f aca="false">FALSE()</f>
        <v>0</v>
      </c>
      <c r="I254" s="14" t="b">
        <f aca="false">FALSE()</f>
        <v>0</v>
      </c>
      <c r="J254" s="4"/>
      <c r="K254" s="4" t="s">
        <v>1066</v>
      </c>
      <c r="L254" s="4" t="s">
        <v>1067</v>
      </c>
      <c r="M254" s="4" t="s">
        <v>1068</v>
      </c>
      <c r="N254" s="6" t="n">
        <v>51094</v>
      </c>
      <c r="O254" s="6" t="n">
        <v>73405</v>
      </c>
      <c r="P254" s="4" t="s">
        <v>46</v>
      </c>
      <c r="Q254" s="6" t="n">
        <v>380000</v>
      </c>
      <c r="R254" s="15" t="n">
        <v>45777</v>
      </c>
      <c r="S254" s="6"/>
      <c r="T254" s="15"/>
      <c r="U254" s="6"/>
      <c r="V254" s="15"/>
      <c r="W254" s="4" t="s">
        <v>58</v>
      </c>
      <c r="X254" s="4" t="s">
        <v>47</v>
      </c>
      <c r="Y254" s="4" t="s">
        <v>1069</v>
      </c>
      <c r="Z254" s="4" t="s">
        <v>958</v>
      </c>
      <c r="AA254" s="6" t="n">
        <v>0</v>
      </c>
      <c r="AB254" s="6" t="n">
        <v>2949.6</v>
      </c>
      <c r="AC254" s="6" t="n">
        <v>1551.17</v>
      </c>
      <c r="AD254" s="14" t="b">
        <f aca="false">TRUE()</f>
        <v>1</v>
      </c>
    </row>
    <row r="255" customFormat="false" ht="15" hidden="false" customHeight="false" outlineLevel="0" collapsed="false">
      <c r="A255" s="14" t="b">
        <f aca="false">TRUE()</f>
        <v>1</v>
      </c>
      <c r="B255" s="14" t="b">
        <f aca="false">FALSE()</f>
        <v>0</v>
      </c>
      <c r="C255" s="4" t="n">
        <v>3</v>
      </c>
      <c r="D255" s="4"/>
      <c r="E255" s="4"/>
      <c r="F255" s="4"/>
      <c r="G255" s="4" t="n">
        <v>3</v>
      </c>
      <c r="H255" s="14" t="b">
        <f aca="false">FALSE()</f>
        <v>0</v>
      </c>
      <c r="I255" s="14" t="b">
        <f aca="false">FALSE()</f>
        <v>0</v>
      </c>
      <c r="J255" s="4"/>
      <c r="K255" s="4" t="s">
        <v>1070</v>
      </c>
      <c r="L255" s="4" t="s">
        <v>1071</v>
      </c>
      <c r="M255" s="4" t="s">
        <v>1072</v>
      </c>
      <c r="N255" s="6" t="n">
        <v>127403</v>
      </c>
      <c r="O255" s="6" t="n">
        <v>104461</v>
      </c>
      <c r="P255" s="4" t="s">
        <v>46</v>
      </c>
      <c r="Q255" s="6" t="n">
        <v>500000</v>
      </c>
      <c r="R255" s="15" t="n">
        <v>40336</v>
      </c>
      <c r="S255" s="6"/>
      <c r="T255" s="15"/>
      <c r="U255" s="6"/>
      <c r="V255" s="15"/>
      <c r="W255" s="4" t="s">
        <v>47</v>
      </c>
      <c r="X255" s="4" t="s">
        <v>58</v>
      </c>
      <c r="Y255" s="4" t="s">
        <v>1073</v>
      </c>
      <c r="Z255" s="4" t="s">
        <v>958</v>
      </c>
      <c r="AA255" s="6" t="n">
        <v>0</v>
      </c>
      <c r="AB255" s="6" t="n">
        <v>19440.34</v>
      </c>
      <c r="AC255" s="6" t="n">
        <v>20762.57</v>
      </c>
      <c r="AD255" s="14" t="b">
        <f aca="false">FALSE()</f>
        <v>0</v>
      </c>
    </row>
    <row r="256" customFormat="false" ht="15" hidden="false" customHeight="false" outlineLevel="0" collapsed="false">
      <c r="A256" s="14" t="b">
        <f aca="false">TRUE()</f>
        <v>1</v>
      </c>
      <c r="B256" s="14" t="b">
        <f aca="false">FALSE()</f>
        <v>0</v>
      </c>
      <c r="C256" s="4" t="n">
        <v>2</v>
      </c>
      <c r="D256" s="4"/>
      <c r="E256" s="4"/>
      <c r="F256" s="4"/>
      <c r="G256" s="4"/>
      <c r="H256" s="14" t="b">
        <f aca="false">FALSE()</f>
        <v>0</v>
      </c>
      <c r="I256" s="14" t="b">
        <f aca="false">FALSE()</f>
        <v>0</v>
      </c>
      <c r="J256" s="4"/>
      <c r="K256" s="4" t="s">
        <v>1074</v>
      </c>
      <c r="L256" s="4" t="s">
        <v>1075</v>
      </c>
      <c r="M256" s="4" t="s">
        <v>1076</v>
      </c>
      <c r="N256" s="6" t="n">
        <v>51094</v>
      </c>
      <c r="O256" s="6" t="n">
        <v>64876</v>
      </c>
      <c r="P256" s="4" t="s">
        <v>46</v>
      </c>
      <c r="Q256" s="6"/>
      <c r="R256" s="15"/>
      <c r="S256" s="6"/>
      <c r="T256" s="15"/>
      <c r="U256" s="6"/>
      <c r="V256" s="15"/>
      <c r="W256" s="4" t="s">
        <v>47</v>
      </c>
      <c r="X256" s="4" t="s">
        <v>47</v>
      </c>
      <c r="Y256" s="4" t="s">
        <v>1077</v>
      </c>
      <c r="Z256" s="4" t="s">
        <v>958</v>
      </c>
      <c r="AA256" s="6" t="n">
        <v>0</v>
      </c>
      <c r="AB256" s="6" t="n">
        <v>8681.4</v>
      </c>
      <c r="AC256" s="6" t="n">
        <v>4546.03</v>
      </c>
      <c r="AD256" s="14" t="b">
        <f aca="false">TRUE()</f>
        <v>1</v>
      </c>
    </row>
    <row r="257" customFormat="false" ht="15" hidden="false" customHeight="false" outlineLevel="0" collapsed="false">
      <c r="A257" s="14" t="b">
        <f aca="false">TRUE()</f>
        <v>1</v>
      </c>
      <c r="B257" s="14" t="b">
        <f aca="false">FALSE()</f>
        <v>0</v>
      </c>
      <c r="C257" s="4" t="n">
        <v>2</v>
      </c>
      <c r="D257" s="4"/>
      <c r="E257" s="4"/>
      <c r="F257" s="4"/>
      <c r="G257" s="4"/>
      <c r="H257" s="14" t="b">
        <f aca="false">FALSE()</f>
        <v>0</v>
      </c>
      <c r="I257" s="14" t="b">
        <f aca="false">FALSE()</f>
        <v>0</v>
      </c>
      <c r="J257" s="4"/>
      <c r="K257" s="4" t="s">
        <v>1078</v>
      </c>
      <c r="L257" s="4" t="s">
        <v>1079</v>
      </c>
      <c r="M257" s="4" t="s">
        <v>1080</v>
      </c>
      <c r="N257" s="6" t="n">
        <v>7332</v>
      </c>
      <c r="O257" s="6" t="n">
        <v>65638</v>
      </c>
      <c r="P257" s="4" t="s">
        <v>46</v>
      </c>
      <c r="Q257" s="6" t="n">
        <v>93500</v>
      </c>
      <c r="R257" s="15" t="n">
        <v>41613</v>
      </c>
      <c r="S257" s="6"/>
      <c r="T257" s="15"/>
      <c r="U257" s="6"/>
      <c r="V257" s="15"/>
      <c r="W257" s="4" t="s">
        <v>47</v>
      </c>
      <c r="X257" s="4" t="s">
        <v>47</v>
      </c>
      <c r="Y257" s="4" t="s">
        <v>1081</v>
      </c>
      <c r="Z257" s="4" t="s">
        <v>958</v>
      </c>
      <c r="AA257" s="6" t="n">
        <v>0</v>
      </c>
      <c r="AB257" s="6" t="n">
        <v>5642.02</v>
      </c>
      <c r="AC257" s="6" t="n">
        <v>6032.86</v>
      </c>
      <c r="AD257" s="14" t="b">
        <f aca="false">FALSE()</f>
        <v>0</v>
      </c>
    </row>
    <row r="258" customFormat="false" ht="15" hidden="false" customHeight="false" outlineLevel="0" collapsed="false">
      <c r="A258" s="14" t="b">
        <f aca="false">TRUE()</f>
        <v>1</v>
      </c>
      <c r="B258" s="14" t="b">
        <f aca="false">FALSE()</f>
        <v>0</v>
      </c>
      <c r="C258" s="4" t="n">
        <v>2</v>
      </c>
      <c r="D258" s="4"/>
      <c r="E258" s="4"/>
      <c r="F258" s="4"/>
      <c r="G258" s="4"/>
      <c r="H258" s="14" t="b">
        <f aca="false">FALSE()</f>
        <v>0</v>
      </c>
      <c r="I258" s="14" t="b">
        <f aca="false">FALSE()</f>
        <v>0</v>
      </c>
      <c r="J258" s="4"/>
      <c r="K258" s="4" t="s">
        <v>1082</v>
      </c>
      <c r="L258" s="4" t="s">
        <v>1083</v>
      </c>
      <c r="M258" s="4" t="s">
        <v>1084</v>
      </c>
      <c r="N258" s="6" t="n">
        <v>14337</v>
      </c>
      <c r="O258" s="6" t="n">
        <v>63179</v>
      </c>
      <c r="P258" s="4" t="s">
        <v>46</v>
      </c>
      <c r="Q258" s="6" t="n">
        <v>185500</v>
      </c>
      <c r="R258" s="15" t="n">
        <v>43333</v>
      </c>
      <c r="S258" s="6"/>
      <c r="T258" s="15"/>
      <c r="U258" s="6"/>
      <c r="V258" s="15"/>
      <c r="W258" s="4" t="s">
        <v>47</v>
      </c>
      <c r="X258" s="4" t="s">
        <v>47</v>
      </c>
      <c r="Y258" s="4" t="s">
        <v>1085</v>
      </c>
      <c r="Z258" s="4" t="s">
        <v>958</v>
      </c>
      <c r="AA258" s="6" t="n">
        <v>0</v>
      </c>
      <c r="AB258" s="6" t="n">
        <v>5342.04</v>
      </c>
      <c r="AC258" s="6" t="n">
        <v>2801.22</v>
      </c>
      <c r="AD258" s="14" t="b">
        <f aca="false">TRUE()</f>
        <v>1</v>
      </c>
    </row>
    <row r="259" customFormat="false" ht="15" hidden="false" customHeight="false" outlineLevel="0" collapsed="false">
      <c r="A259" s="14" t="b">
        <f aca="false">TRUE()</f>
        <v>1</v>
      </c>
      <c r="B259" s="14" t="b">
        <f aca="false">FALSE()</f>
        <v>0</v>
      </c>
      <c r="C259" s="4" t="n">
        <v>2</v>
      </c>
      <c r="D259" s="4"/>
      <c r="E259" s="4"/>
      <c r="F259" s="4"/>
      <c r="G259" s="4"/>
      <c r="H259" s="14" t="b">
        <f aca="false">TRUE()</f>
        <v>1</v>
      </c>
      <c r="I259" s="14" t="b">
        <f aca="false">FALSE()</f>
        <v>0</v>
      </c>
      <c r="J259" s="4"/>
      <c r="K259" s="4" t="s">
        <v>1086</v>
      </c>
      <c r="L259" s="4" t="s">
        <v>1087</v>
      </c>
      <c r="M259" s="4" t="s">
        <v>1088</v>
      </c>
      <c r="N259" s="6" t="n">
        <v>9301</v>
      </c>
      <c r="O259" s="6" t="n">
        <v>50213</v>
      </c>
      <c r="P259" s="4" t="s">
        <v>46</v>
      </c>
      <c r="Q259" s="6" t="n">
        <v>100000</v>
      </c>
      <c r="R259" s="15" t="n">
        <v>41464</v>
      </c>
      <c r="S259" s="6"/>
      <c r="T259" s="15"/>
      <c r="U259" s="6"/>
      <c r="V259" s="15"/>
      <c r="W259" s="4" t="s">
        <v>47</v>
      </c>
      <c r="X259" s="4" t="s">
        <v>58</v>
      </c>
      <c r="Y259" s="4" t="s">
        <v>1089</v>
      </c>
      <c r="Z259" s="4" t="s">
        <v>958</v>
      </c>
      <c r="AA259" s="6" t="n">
        <v>0</v>
      </c>
      <c r="AB259" s="6" t="n">
        <v>3705.08</v>
      </c>
      <c r="AC259" s="6" t="n">
        <v>3965.17</v>
      </c>
      <c r="AD259" s="14" t="b">
        <f aca="false">FALSE()</f>
        <v>0</v>
      </c>
    </row>
    <row r="260" customFormat="false" ht="15" hidden="false" customHeight="false" outlineLevel="0" collapsed="false">
      <c r="A260" s="14" t="b">
        <f aca="false">TRUE()</f>
        <v>1</v>
      </c>
      <c r="B260" s="14" t="b">
        <f aca="false">FALSE()</f>
        <v>0</v>
      </c>
      <c r="C260" s="4" t="n">
        <v>2</v>
      </c>
      <c r="D260" s="4"/>
      <c r="E260" s="4"/>
      <c r="F260" s="4"/>
      <c r="G260" s="4"/>
      <c r="H260" s="14" t="b">
        <f aca="false">FALSE()</f>
        <v>0</v>
      </c>
      <c r="I260" s="14" t="b">
        <f aca="false">FALSE()</f>
        <v>0</v>
      </c>
      <c r="J260" s="4"/>
      <c r="K260" s="4" t="s">
        <v>1090</v>
      </c>
      <c r="L260" s="4" t="s">
        <v>1091</v>
      </c>
      <c r="M260" s="4" t="s">
        <v>1092</v>
      </c>
      <c r="N260" s="6" t="n">
        <v>9301</v>
      </c>
      <c r="O260" s="6" t="n">
        <v>49528</v>
      </c>
      <c r="P260" s="4" t="s">
        <v>46</v>
      </c>
      <c r="Q260" s="6" t="n">
        <v>250000</v>
      </c>
      <c r="R260" s="15" t="n">
        <v>45826</v>
      </c>
      <c r="S260" s="6" t="n">
        <v>210500</v>
      </c>
      <c r="T260" s="15" t="n">
        <v>45826</v>
      </c>
      <c r="U260" s="6"/>
      <c r="V260" s="15"/>
      <c r="W260" s="4" t="s">
        <v>47</v>
      </c>
      <c r="X260" s="4" t="s">
        <v>47</v>
      </c>
      <c r="Y260" s="4" t="s">
        <v>1093</v>
      </c>
      <c r="Z260" s="4" t="s">
        <v>958</v>
      </c>
      <c r="AA260" s="6" t="n">
        <v>0</v>
      </c>
      <c r="AB260" s="6" t="n">
        <v>4231.24</v>
      </c>
      <c r="AC260" s="6" t="n">
        <v>2220.82</v>
      </c>
      <c r="AD260" s="14" t="b">
        <f aca="false">TRUE()</f>
        <v>1</v>
      </c>
    </row>
    <row r="261" customFormat="false" ht="15" hidden="false" customHeight="false" outlineLevel="0" collapsed="false">
      <c r="A261" s="14" t="b">
        <f aca="false">TRUE()</f>
        <v>1</v>
      </c>
      <c r="B261" s="14" t="b">
        <f aca="false">FALSE()</f>
        <v>0</v>
      </c>
      <c r="C261" s="4" t="n">
        <v>3</v>
      </c>
      <c r="D261" s="4"/>
      <c r="E261" s="4"/>
      <c r="F261" s="4"/>
      <c r="G261" s="4"/>
      <c r="H261" s="14" t="b">
        <f aca="false">FALSE()</f>
        <v>0</v>
      </c>
      <c r="I261" s="14" t="b">
        <f aca="false">FALSE()</f>
        <v>0</v>
      </c>
      <c r="J261" s="4"/>
      <c r="K261" s="4" t="s">
        <v>1094</v>
      </c>
      <c r="L261" s="4" t="s">
        <v>1095</v>
      </c>
      <c r="M261" s="4" t="s">
        <v>1096</v>
      </c>
      <c r="N261" s="6" t="n">
        <v>11009</v>
      </c>
      <c r="O261" s="6" t="n">
        <v>79301</v>
      </c>
      <c r="P261" s="4" t="s">
        <v>46</v>
      </c>
      <c r="Q261" s="6"/>
      <c r="R261" s="15"/>
      <c r="S261" s="6" t="n">
        <v>172400</v>
      </c>
      <c r="T261" s="15" t="n">
        <v>40109</v>
      </c>
      <c r="U261" s="6"/>
      <c r="V261" s="15"/>
      <c r="W261" s="4" t="s">
        <v>47</v>
      </c>
      <c r="X261" s="4" t="s">
        <v>47</v>
      </c>
      <c r="Y261" s="4" t="s">
        <v>1097</v>
      </c>
      <c r="Z261" s="4" t="s">
        <v>958</v>
      </c>
      <c r="AA261" s="6" t="n">
        <v>0</v>
      </c>
      <c r="AB261" s="6" t="n">
        <v>5344.7</v>
      </c>
      <c r="AC261" s="6" t="n">
        <v>5715.47</v>
      </c>
      <c r="AD261" s="14" t="b">
        <f aca="false">FALSE()</f>
        <v>0</v>
      </c>
    </row>
    <row r="262" customFormat="false" ht="15" hidden="false" customHeight="false" outlineLevel="0" collapsed="false">
      <c r="A262" s="14" t="b">
        <f aca="false">TRUE()</f>
        <v>1</v>
      </c>
      <c r="B262" s="14" t="b">
        <f aca="false">FALSE()</f>
        <v>0</v>
      </c>
      <c r="C262" s="4" t="n">
        <v>2</v>
      </c>
      <c r="D262" s="4"/>
      <c r="E262" s="4"/>
      <c r="F262" s="4"/>
      <c r="G262" s="4"/>
      <c r="H262" s="14" t="b">
        <f aca="false">FALSE()</f>
        <v>0</v>
      </c>
      <c r="I262" s="14" t="b">
        <f aca="false">FALSE()</f>
        <v>0</v>
      </c>
      <c r="J262" s="4"/>
      <c r="K262" s="4" t="s">
        <v>1098</v>
      </c>
      <c r="L262" s="4" t="s">
        <v>1099</v>
      </c>
      <c r="M262" s="4" t="s">
        <v>1100</v>
      </c>
      <c r="N262" s="6" t="n">
        <v>32525</v>
      </c>
      <c r="O262" s="6" t="n">
        <v>87764</v>
      </c>
      <c r="P262" s="4" t="s">
        <v>46</v>
      </c>
      <c r="Q262" s="6"/>
      <c r="R262" s="15" t="n">
        <v>37424</v>
      </c>
      <c r="S262" s="6"/>
      <c r="T262" s="15"/>
      <c r="U262" s="6"/>
      <c r="V262" s="15"/>
      <c r="W262" s="4" t="s">
        <v>47</v>
      </c>
      <c r="X262" s="4" t="s">
        <v>47</v>
      </c>
      <c r="Y262" s="4" t="s">
        <v>1101</v>
      </c>
      <c r="Z262" s="4" t="s">
        <v>958</v>
      </c>
      <c r="AA262" s="6" t="n">
        <v>0</v>
      </c>
      <c r="AB262" s="6" t="n">
        <v>7500.88</v>
      </c>
      <c r="AC262" s="6" t="n">
        <v>8017.19</v>
      </c>
      <c r="AD262" s="14" t="b">
        <f aca="false">FALSE()</f>
        <v>0</v>
      </c>
    </row>
    <row r="263" customFormat="false" ht="15" hidden="false" customHeight="false" outlineLevel="0" collapsed="false">
      <c r="A263" s="14" t="b">
        <f aca="false">TRUE()</f>
        <v>1</v>
      </c>
      <c r="B263" s="14" t="b">
        <f aca="false">FALSE()</f>
        <v>0</v>
      </c>
      <c r="C263" s="4" t="n">
        <v>2</v>
      </c>
      <c r="D263" s="4"/>
      <c r="E263" s="4"/>
      <c r="F263" s="4" t="s">
        <v>440</v>
      </c>
      <c r="G263" s="4"/>
      <c r="H263" s="14" t="b">
        <f aca="false">FALSE()</f>
        <v>0</v>
      </c>
      <c r="I263" s="14" t="b">
        <f aca="false">FALSE()</f>
        <v>0</v>
      </c>
      <c r="J263" s="4"/>
      <c r="K263" s="4" t="s">
        <v>1102</v>
      </c>
      <c r="L263" s="4" t="s">
        <v>1103</v>
      </c>
      <c r="M263" s="4" t="s">
        <v>1104</v>
      </c>
      <c r="N263" s="6" t="n">
        <v>5374</v>
      </c>
      <c r="O263" s="6" t="n">
        <v>52671</v>
      </c>
      <c r="P263" s="4" t="s">
        <v>46</v>
      </c>
      <c r="Q263" s="6"/>
      <c r="R263" s="15"/>
      <c r="S263" s="6"/>
      <c r="T263" s="15"/>
      <c r="U263" s="6"/>
      <c r="V263" s="15"/>
      <c r="W263" s="4" t="s">
        <v>47</v>
      </c>
      <c r="X263" s="4" t="s">
        <v>58</v>
      </c>
      <c r="Y263" s="4" t="s">
        <v>1105</v>
      </c>
      <c r="Z263" s="4" t="s">
        <v>958</v>
      </c>
      <c r="AA263" s="6" t="n">
        <v>0</v>
      </c>
      <c r="AB263" s="6" t="n">
        <v>3599.46</v>
      </c>
      <c r="AC263" s="6" t="n">
        <v>3852.43</v>
      </c>
      <c r="AD263" s="14" t="b">
        <f aca="false">FALSE()</f>
        <v>0</v>
      </c>
    </row>
    <row r="264" customFormat="false" ht="15" hidden="false" customHeight="false" outlineLevel="0" collapsed="false">
      <c r="A264" s="14" t="b">
        <f aca="false">TRUE()</f>
        <v>1</v>
      </c>
      <c r="B264" s="14" t="b">
        <f aca="false">FALSE()</f>
        <v>0</v>
      </c>
      <c r="C264" s="4" t="n">
        <v>2</v>
      </c>
      <c r="D264" s="4"/>
      <c r="E264" s="4"/>
      <c r="F264" s="4"/>
      <c r="G264" s="4"/>
      <c r="H264" s="14" t="b">
        <f aca="false">TRUE()</f>
        <v>1</v>
      </c>
      <c r="I264" s="14" t="b">
        <f aca="false">FALSE()</f>
        <v>0</v>
      </c>
      <c r="J264" s="4"/>
      <c r="K264" s="4" t="s">
        <v>1106</v>
      </c>
      <c r="L264" s="4" t="s">
        <v>1107</v>
      </c>
      <c r="M264" s="4" t="s">
        <v>1108</v>
      </c>
      <c r="N264" s="6" t="n">
        <v>6200</v>
      </c>
      <c r="O264" s="6" t="n">
        <v>60634</v>
      </c>
      <c r="P264" s="4" t="s">
        <v>46</v>
      </c>
      <c r="Q264" s="6" t="n">
        <v>131000</v>
      </c>
      <c r="R264" s="15" t="n">
        <v>36649</v>
      </c>
      <c r="S264" s="6"/>
      <c r="T264" s="15"/>
      <c r="U264" s="6"/>
      <c r="V264" s="15"/>
      <c r="W264" s="4" t="s">
        <v>47</v>
      </c>
      <c r="X264" s="4" t="s">
        <v>47</v>
      </c>
      <c r="Y264" s="4" t="s">
        <v>1109</v>
      </c>
      <c r="Z264" s="4" t="s">
        <v>958</v>
      </c>
      <c r="AA264" s="6" t="n">
        <v>0</v>
      </c>
      <c r="AB264" s="6" t="n">
        <v>4231.56</v>
      </c>
      <c r="AC264" s="6" t="n">
        <v>4527.19</v>
      </c>
      <c r="AD264" s="14" t="b">
        <f aca="false">FALSE()</f>
        <v>0</v>
      </c>
    </row>
    <row r="265" customFormat="false" ht="15" hidden="false" customHeight="false" outlineLevel="0" collapsed="false">
      <c r="A265" s="14" t="b">
        <f aca="false">TRUE()</f>
        <v>1</v>
      </c>
      <c r="B265" s="14" t="b">
        <f aca="false">FALSE()</f>
        <v>0</v>
      </c>
      <c r="C265" s="4" t="n">
        <v>2</v>
      </c>
      <c r="D265" s="4"/>
      <c r="E265" s="4"/>
      <c r="F265" s="4"/>
      <c r="G265" s="4"/>
      <c r="H265" s="14" t="b">
        <f aca="false">FALSE()</f>
        <v>0</v>
      </c>
      <c r="I265" s="14" t="b">
        <f aca="false">FALSE()</f>
        <v>0</v>
      </c>
      <c r="J265" s="4"/>
      <c r="K265" s="4" t="s">
        <v>1110</v>
      </c>
      <c r="L265" s="4" t="s">
        <v>1111</v>
      </c>
      <c r="M265" s="4" t="s">
        <v>1112</v>
      </c>
      <c r="N265" s="6" t="n">
        <v>48385</v>
      </c>
      <c r="O265" s="6" t="n">
        <v>61341</v>
      </c>
      <c r="P265" s="4" t="s">
        <v>46</v>
      </c>
      <c r="Q265" s="6" t="n">
        <v>386000</v>
      </c>
      <c r="R265" s="15" t="n">
        <v>45238</v>
      </c>
      <c r="S265" s="6"/>
      <c r="T265" s="15"/>
      <c r="U265" s="6"/>
      <c r="V265" s="15"/>
      <c r="W265" s="4" t="s">
        <v>47</v>
      </c>
      <c r="X265" s="4" t="s">
        <v>47</v>
      </c>
      <c r="Y265" s="4" t="s">
        <v>1113</v>
      </c>
      <c r="Z265" s="4" t="s">
        <v>958</v>
      </c>
      <c r="AA265" s="6" t="n">
        <v>0</v>
      </c>
      <c r="AB265" s="6" t="n">
        <v>7525.08</v>
      </c>
      <c r="AC265" s="6" t="n">
        <v>3941.85</v>
      </c>
      <c r="AD265" s="14" t="b">
        <f aca="false">TRUE()</f>
        <v>1</v>
      </c>
    </row>
    <row r="266" customFormat="false" ht="15" hidden="false" customHeight="false" outlineLevel="0" collapsed="false">
      <c r="A266" s="14" t="b">
        <f aca="false">TRUE()</f>
        <v>1</v>
      </c>
      <c r="B266" s="14" t="b">
        <f aca="false">FALSE()</f>
        <v>0</v>
      </c>
      <c r="C266" s="4" t="n">
        <v>2</v>
      </c>
      <c r="D266" s="4"/>
      <c r="E266" s="4"/>
      <c r="F266" s="4"/>
      <c r="G266" s="4"/>
      <c r="H266" s="14" t="b">
        <f aca="false">FALSE()</f>
        <v>0</v>
      </c>
      <c r="I266" s="14" t="b">
        <f aca="false">FALSE()</f>
        <v>0</v>
      </c>
      <c r="J266" s="4"/>
      <c r="K266" s="4" t="s">
        <v>1114</v>
      </c>
      <c r="L266" s="4" t="s">
        <v>1115</v>
      </c>
      <c r="M266" s="4" t="s">
        <v>1116</v>
      </c>
      <c r="N266" s="6" t="n">
        <v>60667</v>
      </c>
      <c r="O266" s="6" t="n">
        <v>67106</v>
      </c>
      <c r="P266" s="4" t="s">
        <v>46</v>
      </c>
      <c r="Q266" s="6"/>
      <c r="R266" s="15" t="n">
        <v>45908</v>
      </c>
      <c r="S266" s="6"/>
      <c r="T266" s="15"/>
      <c r="U266" s="6"/>
      <c r="V266" s="15"/>
      <c r="W266" s="4" t="s">
        <v>47</v>
      </c>
      <c r="X266" s="4" t="s">
        <v>58</v>
      </c>
      <c r="Y266" s="4" t="s">
        <v>1117</v>
      </c>
      <c r="Z266" s="4" t="s">
        <v>531</v>
      </c>
      <c r="AA266" s="6" t="n">
        <v>0</v>
      </c>
      <c r="AB266" s="6" t="n">
        <v>8240.14</v>
      </c>
      <c r="AC266" s="6" t="n">
        <v>4315.47</v>
      </c>
      <c r="AD266" s="14" t="b">
        <f aca="false">TRUE()</f>
        <v>1</v>
      </c>
    </row>
    <row r="267" customFormat="false" ht="15" hidden="false" customHeight="false" outlineLevel="0" collapsed="false">
      <c r="A267" s="14" t="b">
        <f aca="false">TRUE()</f>
        <v>1</v>
      </c>
      <c r="B267" s="14" t="b">
        <f aca="false">FALSE()</f>
        <v>0</v>
      </c>
      <c r="C267" s="4" t="n">
        <v>3</v>
      </c>
      <c r="D267" s="4"/>
      <c r="E267" s="4"/>
      <c r="F267" s="4"/>
      <c r="G267" s="4"/>
      <c r="H267" s="14" t="b">
        <f aca="false">FALSE()</f>
        <v>0</v>
      </c>
      <c r="I267" s="14" t="b">
        <f aca="false">FALSE()</f>
        <v>0</v>
      </c>
      <c r="J267" s="4"/>
      <c r="K267" s="4" t="s">
        <v>1118</v>
      </c>
      <c r="L267" s="4" t="s">
        <v>1119</v>
      </c>
      <c r="M267" s="4" t="s">
        <v>1120</v>
      </c>
      <c r="N267" s="6" t="n">
        <v>49245</v>
      </c>
      <c r="O267" s="6" t="n">
        <v>118113</v>
      </c>
      <c r="P267" s="4" t="s">
        <v>46</v>
      </c>
      <c r="Q267" s="6"/>
      <c r="R267" s="15"/>
      <c r="S267" s="6"/>
      <c r="T267" s="15"/>
      <c r="U267" s="6"/>
      <c r="V267" s="15"/>
      <c r="W267" s="4" t="s">
        <v>47</v>
      </c>
      <c r="X267" s="4" t="s">
        <v>58</v>
      </c>
      <c r="Y267" s="4" t="s">
        <v>1121</v>
      </c>
      <c r="Z267" s="4" t="s">
        <v>697</v>
      </c>
      <c r="AA267" s="6" t="n">
        <v>0</v>
      </c>
      <c r="AB267" s="6" t="n">
        <v>10667.88</v>
      </c>
      <c r="AC267" s="6" t="n">
        <v>11397.96</v>
      </c>
      <c r="AD267" s="14" t="b">
        <f aca="false">FALSE()</f>
        <v>0</v>
      </c>
    </row>
    <row r="268" customFormat="false" ht="15" hidden="false" customHeight="false" outlineLevel="0" collapsed="false">
      <c r="A268" s="14" t="b">
        <f aca="false">TRUE()</f>
        <v>1</v>
      </c>
      <c r="B268" s="14" t="b">
        <f aca="false">FALSE()</f>
        <v>0</v>
      </c>
      <c r="C268" s="4" t="n">
        <v>3</v>
      </c>
      <c r="D268" s="4"/>
      <c r="E268" s="4"/>
      <c r="F268" s="4"/>
      <c r="G268" s="4"/>
      <c r="H268" s="14" t="b">
        <f aca="false">FALSE()</f>
        <v>0</v>
      </c>
      <c r="I268" s="14" t="b">
        <f aca="false">FALSE()</f>
        <v>0</v>
      </c>
      <c r="J268" s="4"/>
      <c r="K268" s="4" t="s">
        <v>1122</v>
      </c>
      <c r="L268" s="4" t="s">
        <v>1123</v>
      </c>
      <c r="M268" s="4" t="s">
        <v>1124</v>
      </c>
      <c r="N268" s="6" t="n">
        <v>49245</v>
      </c>
      <c r="O268" s="6" t="n">
        <v>97706</v>
      </c>
      <c r="P268" s="4" t="s">
        <v>46</v>
      </c>
      <c r="Q268" s="6" t="n">
        <v>625000</v>
      </c>
      <c r="R268" s="15" t="n">
        <v>44886</v>
      </c>
      <c r="S268" s="6" t="n">
        <v>37394.63</v>
      </c>
      <c r="T268" s="15" t="n">
        <v>45840</v>
      </c>
      <c r="U268" s="6"/>
      <c r="V268" s="15"/>
      <c r="W268" s="4" t="s">
        <v>47</v>
      </c>
      <c r="X268" s="4" t="s">
        <v>47</v>
      </c>
      <c r="Y268" s="4" t="s">
        <v>1125</v>
      </c>
      <c r="Z268" s="4" t="s">
        <v>697</v>
      </c>
      <c r="AA268" s="6" t="n">
        <v>0</v>
      </c>
      <c r="AB268" s="6" t="n">
        <v>9793.4</v>
      </c>
      <c r="AC268" s="6" t="n">
        <v>10464.45</v>
      </c>
      <c r="AD268" s="14" t="b">
        <f aca="false">FALSE()</f>
        <v>0</v>
      </c>
    </row>
    <row r="269" customFormat="false" ht="15" hidden="false" customHeight="false" outlineLevel="0" collapsed="false">
      <c r="A269" s="14" t="b">
        <f aca="false">TRUE()</f>
        <v>1</v>
      </c>
      <c r="B269" s="14" t="b">
        <f aca="false">FALSE()</f>
        <v>0</v>
      </c>
      <c r="C269" s="4" t="n">
        <v>2</v>
      </c>
      <c r="D269" s="4"/>
      <c r="E269" s="4"/>
      <c r="F269" s="4"/>
      <c r="G269" s="4"/>
      <c r="H269" s="14" t="b">
        <f aca="false">FALSE()</f>
        <v>0</v>
      </c>
      <c r="I269" s="14" t="b">
        <f aca="false">FALSE()</f>
        <v>0</v>
      </c>
      <c r="J269" s="4"/>
      <c r="K269" s="4" t="s">
        <v>1126</v>
      </c>
      <c r="L269" s="4" t="s">
        <v>1127</v>
      </c>
      <c r="M269" s="4" t="s">
        <v>1128</v>
      </c>
      <c r="N269" s="6" t="n">
        <v>49245</v>
      </c>
      <c r="O269" s="6" t="n">
        <v>70228</v>
      </c>
      <c r="P269" s="4" t="s">
        <v>46</v>
      </c>
      <c r="Q269" s="6" t="n">
        <v>0.01</v>
      </c>
      <c r="R269" s="15" t="n">
        <v>42117</v>
      </c>
      <c r="S269" s="6" t="n">
        <v>233000</v>
      </c>
      <c r="T269" s="15" t="n">
        <v>44028</v>
      </c>
      <c r="U269" s="6" t="n">
        <v>72000</v>
      </c>
      <c r="V269" s="15" t="n">
        <v>44012</v>
      </c>
      <c r="W269" s="4" t="s">
        <v>47</v>
      </c>
      <c r="X269" s="4" t="s">
        <v>47</v>
      </c>
      <c r="Y269" s="4" t="s">
        <v>1129</v>
      </c>
      <c r="Z269" s="4" t="s">
        <v>697</v>
      </c>
      <c r="AA269" s="6" t="n">
        <v>0</v>
      </c>
      <c r="AB269" s="6" t="n">
        <v>7856.74</v>
      </c>
      <c r="AC269" s="6" t="n">
        <v>4115.15</v>
      </c>
      <c r="AD269" s="14" t="b">
        <f aca="false">TRUE()</f>
        <v>1</v>
      </c>
    </row>
    <row r="270" customFormat="false" ht="15" hidden="false" customHeight="false" outlineLevel="0" collapsed="false">
      <c r="A270" s="14" t="b">
        <f aca="false">TRUE()</f>
        <v>1</v>
      </c>
      <c r="B270" s="14" t="b">
        <f aca="false">FALSE()</f>
        <v>0</v>
      </c>
      <c r="C270" s="4" t="n">
        <v>3</v>
      </c>
      <c r="D270" s="4"/>
      <c r="E270" s="4"/>
      <c r="F270" s="4"/>
      <c r="G270" s="4"/>
      <c r="H270" s="14" t="b">
        <f aca="false">FALSE()</f>
        <v>0</v>
      </c>
      <c r="I270" s="14" t="b">
        <f aca="false">FALSE()</f>
        <v>0</v>
      </c>
      <c r="J270" s="4"/>
      <c r="K270" s="4" t="s">
        <v>1130</v>
      </c>
      <c r="L270" s="4" t="s">
        <v>1131</v>
      </c>
      <c r="M270" s="4" t="s">
        <v>1132</v>
      </c>
      <c r="N270" s="6" t="n">
        <v>69228</v>
      </c>
      <c r="O270" s="6" t="n">
        <v>54934</v>
      </c>
      <c r="P270" s="4" t="s">
        <v>46</v>
      </c>
      <c r="Q270" s="6" t="n">
        <v>200000</v>
      </c>
      <c r="R270" s="15" t="n">
        <v>43221</v>
      </c>
      <c r="S270" s="6" t="n">
        <v>100000</v>
      </c>
      <c r="T270" s="15" t="n">
        <v>43245</v>
      </c>
      <c r="U270" s="6"/>
      <c r="V270" s="15"/>
      <c r="W270" s="4" t="s">
        <v>47</v>
      </c>
      <c r="X270" s="4" t="s">
        <v>47</v>
      </c>
      <c r="Y270" s="4" t="s">
        <v>1133</v>
      </c>
      <c r="Z270" s="4" t="s">
        <v>531</v>
      </c>
      <c r="AA270" s="6" t="n">
        <v>0</v>
      </c>
      <c r="AB270" s="6" t="n">
        <v>5613.68</v>
      </c>
      <c r="AC270" s="6" t="n">
        <v>6002.61</v>
      </c>
      <c r="AD270" s="14" t="b">
        <f aca="false">FALSE()</f>
        <v>0</v>
      </c>
    </row>
    <row r="271" customFormat="false" ht="15" hidden="false" customHeight="false" outlineLevel="0" collapsed="false">
      <c r="A271" s="14" t="b">
        <f aca="false">TRUE()</f>
        <v>1</v>
      </c>
      <c r="B271" s="14" t="b">
        <f aca="false">FALSE()</f>
        <v>0</v>
      </c>
      <c r="C271" s="4" t="n">
        <v>2</v>
      </c>
      <c r="D271" s="4"/>
      <c r="E271" s="4"/>
      <c r="F271" s="4"/>
      <c r="G271" s="4" t="n">
        <v>3</v>
      </c>
      <c r="H271" s="14" t="b">
        <f aca="false">FALSE()</f>
        <v>0</v>
      </c>
      <c r="I271" s="14" t="b">
        <f aca="false">FALSE()</f>
        <v>0</v>
      </c>
      <c r="J271" s="4"/>
      <c r="K271" s="4" t="s">
        <v>1134</v>
      </c>
      <c r="L271" s="4" t="s">
        <v>1135</v>
      </c>
      <c r="M271" s="4" t="s">
        <v>1136</v>
      </c>
      <c r="N271" s="6" t="n">
        <v>64768</v>
      </c>
      <c r="O271" s="6" t="n">
        <v>50300</v>
      </c>
      <c r="P271" s="4" t="s">
        <v>46</v>
      </c>
      <c r="Q271" s="6" t="n">
        <v>300000</v>
      </c>
      <c r="R271" s="15" t="n">
        <v>39232</v>
      </c>
      <c r="S271" s="6"/>
      <c r="T271" s="15"/>
      <c r="U271" s="6"/>
      <c r="V271" s="15"/>
      <c r="W271" s="4" t="s">
        <v>47</v>
      </c>
      <c r="X271" s="4" t="s">
        <v>47</v>
      </c>
      <c r="Y271" s="4" t="s">
        <v>1137</v>
      </c>
      <c r="Z271" s="4" t="s">
        <v>697</v>
      </c>
      <c r="AA271" s="6" t="n">
        <v>0</v>
      </c>
      <c r="AB271" s="6" t="n">
        <v>8171.66</v>
      </c>
      <c r="AC271" s="6" t="n">
        <v>4279.69</v>
      </c>
      <c r="AD271" s="14" t="b">
        <f aca="false">TRUE()</f>
        <v>1</v>
      </c>
    </row>
    <row r="272" customFormat="false" ht="15" hidden="false" customHeight="false" outlineLevel="0" collapsed="false">
      <c r="A272" s="14" t="b">
        <f aca="false">TRUE()</f>
        <v>1</v>
      </c>
      <c r="B272" s="14" t="b">
        <f aca="false">FALSE()</f>
        <v>0</v>
      </c>
      <c r="C272" s="4" t="n">
        <v>2</v>
      </c>
      <c r="D272" s="4"/>
      <c r="E272" s="4"/>
      <c r="F272" s="4"/>
      <c r="G272" s="4" t="n">
        <v>3</v>
      </c>
      <c r="H272" s="14" t="b">
        <f aca="false">TRUE()</f>
        <v>1</v>
      </c>
      <c r="I272" s="14" t="b">
        <f aca="false">FALSE()</f>
        <v>0</v>
      </c>
      <c r="J272" s="4"/>
      <c r="K272" s="4" t="s">
        <v>1138</v>
      </c>
      <c r="L272" s="4" t="s">
        <v>1139</v>
      </c>
      <c r="M272" s="4" t="s">
        <v>1140</v>
      </c>
      <c r="N272" s="6" t="n">
        <v>47831</v>
      </c>
      <c r="O272" s="6" t="n">
        <v>91658</v>
      </c>
      <c r="P272" s="4" t="s">
        <v>46</v>
      </c>
      <c r="Q272" s="6"/>
      <c r="R272" s="15" t="n">
        <v>45813</v>
      </c>
      <c r="S272" s="6"/>
      <c r="T272" s="15"/>
      <c r="U272" s="6"/>
      <c r="V272" s="15"/>
      <c r="W272" s="4" t="s">
        <v>47</v>
      </c>
      <c r="X272" s="4" t="s">
        <v>58</v>
      </c>
      <c r="Y272" s="4" t="s">
        <v>1141</v>
      </c>
      <c r="Z272" s="4" t="s">
        <v>697</v>
      </c>
      <c r="AA272" s="6" t="n">
        <v>0</v>
      </c>
      <c r="AB272" s="6" t="n">
        <v>9267.48</v>
      </c>
      <c r="AC272" s="6" t="n">
        <v>9903.04</v>
      </c>
      <c r="AD272" s="14" t="b">
        <f aca="false">FALSE()</f>
        <v>0</v>
      </c>
    </row>
    <row r="273" customFormat="false" ht="15" hidden="false" customHeight="false" outlineLevel="0" collapsed="false">
      <c r="A273" s="14" t="b">
        <f aca="false">TRUE()</f>
        <v>1</v>
      </c>
      <c r="B273" s="14" t="b">
        <f aca="false">FALSE()</f>
        <v>0</v>
      </c>
      <c r="C273" s="4" t="n">
        <v>3</v>
      </c>
      <c r="D273" s="4"/>
      <c r="E273" s="4"/>
      <c r="F273" s="4"/>
      <c r="G273" s="4" t="n">
        <v>3</v>
      </c>
      <c r="H273" s="14" t="b">
        <f aca="false">FALSE()</f>
        <v>0</v>
      </c>
      <c r="I273" s="14" t="b">
        <f aca="false">FALSE()</f>
        <v>0</v>
      </c>
      <c r="J273" s="4"/>
      <c r="K273" s="4" t="s">
        <v>1142</v>
      </c>
      <c r="L273" s="4" t="s">
        <v>1143</v>
      </c>
      <c r="M273" s="4" t="s">
        <v>1144</v>
      </c>
      <c r="N273" s="6" t="n">
        <v>47831</v>
      </c>
      <c r="O273" s="6" t="n">
        <v>117830</v>
      </c>
      <c r="P273" s="4" t="s">
        <v>46</v>
      </c>
      <c r="Q273" s="6" t="n">
        <v>220000</v>
      </c>
      <c r="R273" s="15" t="n">
        <v>41926</v>
      </c>
      <c r="S273" s="6" t="n">
        <v>88000</v>
      </c>
      <c r="T273" s="15" t="n">
        <v>45216</v>
      </c>
      <c r="U273" s="6"/>
      <c r="V273" s="15"/>
      <c r="W273" s="4" t="s">
        <v>47</v>
      </c>
      <c r="X273" s="4" t="s">
        <v>47</v>
      </c>
      <c r="Y273" s="4" t="s">
        <v>1145</v>
      </c>
      <c r="Z273" s="4" t="s">
        <v>697</v>
      </c>
      <c r="AA273" s="6" t="n">
        <v>0</v>
      </c>
      <c r="AB273" s="6" t="n">
        <v>11112.1</v>
      </c>
      <c r="AC273" s="6" t="n">
        <v>11872.16</v>
      </c>
      <c r="AD273" s="14" t="b">
        <f aca="false">FALSE()</f>
        <v>0</v>
      </c>
    </row>
    <row r="274" customFormat="false" ht="15" hidden="false" customHeight="false" outlineLevel="0" collapsed="false">
      <c r="A274" s="14" t="b">
        <f aca="false">TRUE()</f>
        <v>1</v>
      </c>
      <c r="B274" s="14" t="b">
        <f aca="false">FALSE()</f>
        <v>0</v>
      </c>
      <c r="C274" s="4" t="n">
        <v>3</v>
      </c>
      <c r="D274" s="4"/>
      <c r="E274" s="4"/>
      <c r="F274" s="4"/>
      <c r="G274" s="4"/>
      <c r="H274" s="14" t="b">
        <f aca="false">FALSE()</f>
        <v>0</v>
      </c>
      <c r="I274" s="14" t="b">
        <f aca="false">FALSE()</f>
        <v>0</v>
      </c>
      <c r="J274" s="4"/>
      <c r="K274" s="4" t="s">
        <v>1146</v>
      </c>
      <c r="L274" s="4" t="s">
        <v>1147</v>
      </c>
      <c r="M274" s="4" t="s">
        <v>1148</v>
      </c>
      <c r="N274" s="6" t="n">
        <v>47831</v>
      </c>
      <c r="O274" s="6" t="n">
        <v>128719</v>
      </c>
      <c r="P274" s="4" t="s">
        <v>46</v>
      </c>
      <c r="Q274" s="6"/>
      <c r="R274" s="15"/>
      <c r="S274" s="6"/>
      <c r="T274" s="15"/>
      <c r="U274" s="6"/>
      <c r="V274" s="15"/>
      <c r="W274" s="4" t="s">
        <v>47</v>
      </c>
      <c r="X274" s="4" t="s">
        <v>58</v>
      </c>
      <c r="Y274" s="4" t="s">
        <v>1149</v>
      </c>
      <c r="Z274" s="4" t="s">
        <v>697</v>
      </c>
      <c r="AA274" s="6" t="n">
        <v>0</v>
      </c>
      <c r="AB274" s="6" t="n">
        <v>11879.58</v>
      </c>
      <c r="AC274" s="6" t="n">
        <v>12691.45</v>
      </c>
      <c r="AD274" s="14" t="b">
        <f aca="false">FALSE()</f>
        <v>0</v>
      </c>
    </row>
    <row r="275" customFormat="false" ht="15" hidden="false" customHeight="false" outlineLevel="0" collapsed="false">
      <c r="A275" s="14" t="b">
        <f aca="false">TRUE()</f>
        <v>1</v>
      </c>
      <c r="B275" s="14" t="b">
        <f aca="false">FALSE()</f>
        <v>0</v>
      </c>
      <c r="C275" s="4" t="n">
        <v>3</v>
      </c>
      <c r="D275" s="4"/>
      <c r="E275" s="4"/>
      <c r="F275" s="4"/>
      <c r="G275" s="4"/>
      <c r="H275" s="14" t="b">
        <f aca="false">FALSE()</f>
        <v>0</v>
      </c>
      <c r="I275" s="14" t="b">
        <f aca="false">FALSE()</f>
        <v>0</v>
      </c>
      <c r="J275" s="4"/>
      <c r="K275" s="4" t="s">
        <v>1150</v>
      </c>
      <c r="L275" s="4" t="s">
        <v>1151</v>
      </c>
      <c r="M275" s="4" t="s">
        <v>1152</v>
      </c>
      <c r="N275" s="6" t="n">
        <v>50974</v>
      </c>
      <c r="O275" s="6" t="n">
        <v>77005</v>
      </c>
      <c r="P275" s="4" t="s">
        <v>46</v>
      </c>
      <c r="Q275" s="6" t="n">
        <v>20000000000000</v>
      </c>
      <c r="R275" s="15" t="n">
        <v>44914</v>
      </c>
      <c r="S275" s="6" t="n">
        <v>258000</v>
      </c>
      <c r="T275" s="15" t="n">
        <v>44914</v>
      </c>
      <c r="U275" s="6"/>
      <c r="V275" s="15"/>
      <c r="W275" s="4" t="s">
        <v>47</v>
      </c>
      <c r="X275" s="4" t="s">
        <v>47</v>
      </c>
      <c r="Y275" s="4" t="s">
        <v>1153</v>
      </c>
      <c r="Z275" s="4" t="s">
        <v>697</v>
      </c>
      <c r="AA275" s="6" t="n">
        <v>0</v>
      </c>
      <c r="AB275" s="6" t="n">
        <v>8456.24</v>
      </c>
      <c r="AC275" s="6" t="n">
        <v>9037.04</v>
      </c>
      <c r="AD275" s="14" t="b">
        <f aca="false">FALSE()</f>
        <v>0</v>
      </c>
    </row>
    <row r="276" customFormat="false" ht="15" hidden="false" customHeight="false" outlineLevel="0" collapsed="false">
      <c r="A276" s="14" t="b">
        <f aca="false">TRUE()</f>
        <v>1</v>
      </c>
      <c r="B276" s="14" t="b">
        <f aca="false">FALSE()</f>
        <v>0</v>
      </c>
      <c r="C276" s="4" t="n">
        <v>2</v>
      </c>
      <c r="D276" s="4"/>
      <c r="E276" s="4"/>
      <c r="F276" s="4"/>
      <c r="G276" s="4"/>
      <c r="H276" s="14" t="b">
        <f aca="false">FALSE()</f>
        <v>0</v>
      </c>
      <c r="I276" s="14" t="b">
        <f aca="false">FALSE()</f>
        <v>0</v>
      </c>
      <c r="J276" s="4"/>
      <c r="K276" s="4" t="s">
        <v>1154</v>
      </c>
      <c r="L276" s="4" t="s">
        <v>1155</v>
      </c>
      <c r="M276" s="4" t="s">
        <v>1156</v>
      </c>
      <c r="N276" s="6" t="n">
        <v>3655</v>
      </c>
      <c r="O276" s="6" t="n">
        <v>69684</v>
      </c>
      <c r="P276" s="4" t="s">
        <v>46</v>
      </c>
      <c r="Q276" s="6" t="n">
        <v>220000</v>
      </c>
      <c r="R276" s="15" t="n">
        <v>44566</v>
      </c>
      <c r="S276" s="6"/>
      <c r="T276" s="15"/>
      <c r="U276" s="6"/>
      <c r="V276" s="15"/>
      <c r="W276" s="4" t="s">
        <v>47</v>
      </c>
      <c r="X276" s="4" t="s">
        <v>47</v>
      </c>
      <c r="Y276" s="4" t="s">
        <v>1157</v>
      </c>
      <c r="Z276" s="4" t="s">
        <v>697</v>
      </c>
      <c r="AA276" s="6" t="n">
        <v>0</v>
      </c>
      <c r="AB276" s="6" t="n">
        <v>5169</v>
      </c>
      <c r="AC276" s="6" t="n">
        <v>2672.04</v>
      </c>
      <c r="AD276" s="14" t="b">
        <f aca="false">TRUE()</f>
        <v>1</v>
      </c>
    </row>
    <row r="277" customFormat="false" ht="15" hidden="false" customHeight="false" outlineLevel="0" collapsed="false">
      <c r="A277" s="14" t="b">
        <f aca="false">TRUE()</f>
        <v>1</v>
      </c>
      <c r="B277" s="14" t="b">
        <f aca="false">FALSE()</f>
        <v>0</v>
      </c>
      <c r="C277" s="4" t="n">
        <v>3</v>
      </c>
      <c r="D277" s="4"/>
      <c r="E277" s="4"/>
      <c r="F277" s="4"/>
      <c r="G277" s="4"/>
      <c r="H277" s="14" t="b">
        <f aca="false">FALSE()</f>
        <v>0</v>
      </c>
      <c r="I277" s="14" t="b">
        <f aca="false">FALSE()</f>
        <v>0</v>
      </c>
      <c r="J277" s="4"/>
      <c r="K277" s="4" t="s">
        <v>1158</v>
      </c>
      <c r="L277" s="4" t="s">
        <v>1159</v>
      </c>
      <c r="M277" s="4" t="s">
        <v>1160</v>
      </c>
      <c r="N277" s="6" t="n">
        <v>47602</v>
      </c>
      <c r="O277" s="6" t="n">
        <v>68336</v>
      </c>
      <c r="P277" s="4" t="s">
        <v>46</v>
      </c>
      <c r="Q277" s="6" t="n">
        <v>257500</v>
      </c>
      <c r="R277" s="15" t="n">
        <v>38231</v>
      </c>
      <c r="S277" s="6" t="n">
        <v>260000</v>
      </c>
      <c r="T277" s="15" t="n">
        <v>38862</v>
      </c>
      <c r="U277" s="6"/>
      <c r="V277" s="15"/>
      <c r="W277" s="4" t="s">
        <v>47</v>
      </c>
      <c r="X277" s="4" t="s">
        <v>58</v>
      </c>
      <c r="Y277" s="4" t="s">
        <v>1161</v>
      </c>
      <c r="Z277" s="4" t="s">
        <v>697</v>
      </c>
      <c r="AA277" s="6" t="n">
        <v>0</v>
      </c>
      <c r="AB277" s="6" t="n">
        <v>7607.58</v>
      </c>
      <c r="AC277" s="6" t="n">
        <v>8131.09</v>
      </c>
      <c r="AD277" s="14" t="b">
        <f aca="false">FALSE()</f>
        <v>0</v>
      </c>
    </row>
    <row r="278" customFormat="false" ht="15" hidden="false" customHeight="false" outlineLevel="0" collapsed="false">
      <c r="A278" s="14" t="b">
        <f aca="false">TRUE()</f>
        <v>1</v>
      </c>
      <c r="B278" s="14" t="b">
        <f aca="false">FALSE()</f>
        <v>0</v>
      </c>
      <c r="C278" s="4" t="n">
        <v>2</v>
      </c>
      <c r="D278" s="4"/>
      <c r="E278" s="4"/>
      <c r="F278" s="4"/>
      <c r="G278" s="4"/>
      <c r="H278" s="14" t="b">
        <f aca="false">FALSE()</f>
        <v>0</v>
      </c>
      <c r="I278" s="14" t="b">
        <f aca="false">FALSE()</f>
        <v>0</v>
      </c>
      <c r="J278" s="4"/>
      <c r="K278" s="4" t="s">
        <v>1162</v>
      </c>
      <c r="L278" s="4" t="s">
        <v>1163</v>
      </c>
      <c r="M278" s="4" t="s">
        <v>1164</v>
      </c>
      <c r="N278" s="6" t="n">
        <v>57316</v>
      </c>
      <c r="O278" s="6" t="n">
        <v>167989</v>
      </c>
      <c r="P278" s="4" t="s">
        <v>46</v>
      </c>
      <c r="Q278" s="6" t="n">
        <v>796500</v>
      </c>
      <c r="R278" s="15" t="n">
        <v>45036</v>
      </c>
      <c r="S278" s="6" t="n">
        <v>370000</v>
      </c>
      <c r="T278" s="15" t="n">
        <v>45875</v>
      </c>
      <c r="U278" s="6"/>
      <c r="V278" s="15"/>
      <c r="W278" s="4" t="s">
        <v>58</v>
      </c>
      <c r="X278" s="4" t="s">
        <v>47</v>
      </c>
      <c r="Y278" s="4" t="s">
        <v>1165</v>
      </c>
      <c r="Z278" s="4" t="s">
        <v>697</v>
      </c>
      <c r="AA278" s="6" t="n">
        <v>0</v>
      </c>
      <c r="AB278" s="6" t="n">
        <v>15315.88</v>
      </c>
      <c r="AC278" s="6" t="n">
        <v>8012.55</v>
      </c>
      <c r="AD278" s="14" t="b">
        <f aca="false">TRUE()</f>
        <v>1</v>
      </c>
    </row>
    <row r="279" customFormat="false" ht="15" hidden="false" customHeight="false" outlineLevel="0" collapsed="false">
      <c r="A279" s="14" t="b">
        <f aca="false">TRUE()</f>
        <v>1</v>
      </c>
      <c r="B279" s="14" t="b">
        <f aca="false">FALSE()</f>
        <v>0</v>
      </c>
      <c r="C279" s="4" t="n">
        <v>3</v>
      </c>
      <c r="D279" s="4"/>
      <c r="E279" s="4"/>
      <c r="F279" s="4"/>
      <c r="G279" s="4"/>
      <c r="H279" s="14" t="b">
        <f aca="false">FALSE()</f>
        <v>0</v>
      </c>
      <c r="I279" s="14" t="b">
        <f aca="false">FALSE()</f>
        <v>0</v>
      </c>
      <c r="J279" s="4"/>
      <c r="K279" s="4" t="s">
        <v>1166</v>
      </c>
      <c r="L279" s="4" t="s">
        <v>1167</v>
      </c>
      <c r="M279" s="4" t="s">
        <v>1168</v>
      </c>
      <c r="N279" s="6" t="n">
        <v>49245</v>
      </c>
      <c r="O279" s="6" t="n">
        <v>101155</v>
      </c>
      <c r="P279" s="4" t="s">
        <v>46</v>
      </c>
      <c r="Q279" s="6" t="n">
        <v>0.01</v>
      </c>
      <c r="R279" s="15" t="n">
        <v>42867</v>
      </c>
      <c r="S279" s="6"/>
      <c r="T279" s="15"/>
      <c r="U279" s="6"/>
      <c r="V279" s="15"/>
      <c r="W279" s="4" t="s">
        <v>47</v>
      </c>
      <c r="X279" s="4" t="s">
        <v>47</v>
      </c>
      <c r="Y279" s="4" t="s">
        <v>1169</v>
      </c>
      <c r="Z279" s="4" t="s">
        <v>697</v>
      </c>
      <c r="AA279" s="6" t="n">
        <v>0</v>
      </c>
      <c r="AB279" s="6" t="n">
        <v>10036.5</v>
      </c>
      <c r="AC279" s="6" t="n">
        <v>10723.96</v>
      </c>
      <c r="AD279" s="14" t="b">
        <f aca="false">FALSE()</f>
        <v>0</v>
      </c>
    </row>
    <row r="280" customFormat="false" ht="15" hidden="false" customHeight="false" outlineLevel="0" collapsed="false">
      <c r="A280" s="14" t="b">
        <f aca="false">TRUE()</f>
        <v>1</v>
      </c>
      <c r="B280" s="14" t="b">
        <f aca="false">FALSE()</f>
        <v>0</v>
      </c>
      <c r="C280" s="4" t="n">
        <v>2</v>
      </c>
      <c r="D280" s="4"/>
      <c r="E280" s="4"/>
      <c r="F280" s="4"/>
      <c r="G280" s="4"/>
      <c r="H280" s="14" t="b">
        <f aca="false">FALSE()</f>
        <v>0</v>
      </c>
      <c r="I280" s="14" t="b">
        <f aca="false">FALSE()</f>
        <v>0</v>
      </c>
      <c r="J280" s="4"/>
      <c r="K280" s="4" t="s">
        <v>1170</v>
      </c>
      <c r="L280" s="4" t="s">
        <v>1171</v>
      </c>
      <c r="M280" s="4" t="s">
        <v>1172</v>
      </c>
      <c r="N280" s="6" t="n">
        <v>54825</v>
      </c>
      <c r="O280" s="6" t="n">
        <v>42859</v>
      </c>
      <c r="P280" s="4" t="s">
        <v>46</v>
      </c>
      <c r="Q280" s="6" t="n">
        <v>94000</v>
      </c>
      <c r="R280" s="15" t="n">
        <v>41887</v>
      </c>
      <c r="S280" s="6"/>
      <c r="T280" s="15"/>
      <c r="U280" s="6"/>
      <c r="V280" s="15"/>
      <c r="W280" s="4" t="s">
        <v>47</v>
      </c>
      <c r="X280" s="4" t="s">
        <v>58</v>
      </c>
      <c r="Y280" s="4" t="s">
        <v>1173</v>
      </c>
      <c r="Z280" s="4" t="s">
        <v>697</v>
      </c>
      <c r="AA280" s="6" t="n">
        <v>0</v>
      </c>
      <c r="AB280" s="6" t="n">
        <v>6884.88</v>
      </c>
      <c r="AC280" s="6" t="n">
        <v>7359.61</v>
      </c>
      <c r="AD280" s="14" t="b">
        <f aca="false">FALSE()</f>
        <v>0</v>
      </c>
    </row>
    <row r="281" customFormat="false" ht="15" hidden="false" customHeight="false" outlineLevel="0" collapsed="false">
      <c r="A281" s="14" t="b">
        <f aca="false">TRUE()</f>
        <v>1</v>
      </c>
      <c r="B281" s="14" t="b">
        <f aca="false">FALSE()</f>
        <v>0</v>
      </c>
      <c r="C281" s="4" t="n">
        <v>3</v>
      </c>
      <c r="D281" s="4"/>
      <c r="E281" s="4"/>
      <c r="F281" s="4"/>
      <c r="G281" s="4"/>
      <c r="H281" s="14" t="b">
        <f aca="false">FALSE()</f>
        <v>0</v>
      </c>
      <c r="I281" s="14" t="b">
        <f aca="false">FALSE()</f>
        <v>0</v>
      </c>
      <c r="J281" s="4"/>
      <c r="K281" s="4" t="s">
        <v>1174</v>
      </c>
      <c r="L281" s="4" t="s">
        <v>1175</v>
      </c>
      <c r="M281" s="4" t="s">
        <v>1176</v>
      </c>
      <c r="N281" s="6" t="n">
        <v>40749</v>
      </c>
      <c r="O281" s="6" t="n">
        <v>87318</v>
      </c>
      <c r="P281" s="4" t="s">
        <v>46</v>
      </c>
      <c r="Q281" s="6"/>
      <c r="R281" s="15"/>
      <c r="S281" s="6" t="n">
        <v>397500</v>
      </c>
      <c r="T281" s="15" t="n">
        <v>43307</v>
      </c>
      <c r="U281" s="6"/>
      <c r="V281" s="15"/>
      <c r="W281" s="4" t="s">
        <v>47</v>
      </c>
      <c r="X281" s="4" t="s">
        <v>47</v>
      </c>
      <c r="Y281" s="4" t="s">
        <v>1177</v>
      </c>
      <c r="Z281" s="4" t="s">
        <v>697</v>
      </c>
      <c r="AA281" s="6" t="n">
        <v>0</v>
      </c>
      <c r="AB281" s="6" t="n">
        <v>7898.6</v>
      </c>
      <c r="AC281" s="6" t="n">
        <v>8441.76</v>
      </c>
      <c r="AD281" s="14" t="b">
        <f aca="false">FALSE()</f>
        <v>0</v>
      </c>
    </row>
    <row r="282" customFormat="false" ht="15" hidden="false" customHeight="false" outlineLevel="0" collapsed="false">
      <c r="A282" s="14" t="b">
        <f aca="false">TRUE()</f>
        <v>1</v>
      </c>
      <c r="B282" s="14" t="b">
        <f aca="false">FALSE()</f>
        <v>0</v>
      </c>
      <c r="C282" s="4" t="n">
        <v>3</v>
      </c>
      <c r="D282" s="4"/>
      <c r="E282" s="4"/>
      <c r="F282" s="4"/>
      <c r="G282" s="4" t="n">
        <v>2</v>
      </c>
      <c r="H282" s="14" t="b">
        <f aca="false">FALSE()</f>
        <v>0</v>
      </c>
      <c r="I282" s="14" t="b">
        <f aca="false">FALSE()</f>
        <v>0</v>
      </c>
      <c r="J282" s="4"/>
      <c r="K282" s="4" t="s">
        <v>1178</v>
      </c>
      <c r="L282" s="4" t="s">
        <v>1179</v>
      </c>
      <c r="M282" s="4" t="s">
        <v>1180</v>
      </c>
      <c r="N282" s="6" t="n">
        <v>36224</v>
      </c>
      <c r="O282" s="6" t="n">
        <v>54401</v>
      </c>
      <c r="P282" s="4" t="s">
        <v>46</v>
      </c>
      <c r="Q282" s="6" t="n">
        <v>126000</v>
      </c>
      <c r="R282" s="15" t="n">
        <v>34870</v>
      </c>
      <c r="S282" s="6" t="n">
        <v>300000</v>
      </c>
      <c r="T282" s="15" t="n">
        <v>38707</v>
      </c>
      <c r="U282" s="6"/>
      <c r="V282" s="15"/>
      <c r="W282" s="4" t="s">
        <v>58</v>
      </c>
      <c r="X282" s="4" t="s">
        <v>58</v>
      </c>
      <c r="Y282" s="4" t="s">
        <v>1181</v>
      </c>
      <c r="Z282" s="4" t="s">
        <v>697</v>
      </c>
      <c r="AA282" s="6" t="n">
        <v>0</v>
      </c>
      <c r="AB282" s="6" t="n">
        <v>5823.5</v>
      </c>
      <c r="AC282" s="6" t="n">
        <v>6226.59</v>
      </c>
      <c r="AD282" s="14" t="b">
        <f aca="false">FALSE()</f>
        <v>0</v>
      </c>
    </row>
    <row r="283" customFormat="false" ht="15" hidden="false" customHeight="false" outlineLevel="0" collapsed="false">
      <c r="A283" s="14" t="b">
        <f aca="false">TRUE()</f>
        <v>1</v>
      </c>
      <c r="B283" s="14" t="b">
        <f aca="false">FALSE()</f>
        <v>0</v>
      </c>
      <c r="C283" s="4" t="n">
        <v>3</v>
      </c>
      <c r="D283" s="4"/>
      <c r="E283" s="4"/>
      <c r="F283" s="4"/>
      <c r="G283" s="4" t="n">
        <v>3</v>
      </c>
      <c r="H283" s="14" t="b">
        <f aca="false">FALSE()</f>
        <v>0</v>
      </c>
      <c r="I283" s="14" t="b">
        <f aca="false">FALSE()</f>
        <v>0</v>
      </c>
      <c r="J283" s="4"/>
      <c r="K283" s="4" t="s">
        <v>1182</v>
      </c>
      <c r="L283" s="4" t="s">
        <v>1183</v>
      </c>
      <c r="M283" s="4" t="s">
        <v>1184</v>
      </c>
      <c r="N283" s="6" t="n">
        <v>67476</v>
      </c>
      <c r="O283" s="6" t="n">
        <v>100545</v>
      </c>
      <c r="P283" s="4" t="s">
        <v>46</v>
      </c>
      <c r="Q283" s="6" t="n">
        <v>440000</v>
      </c>
      <c r="R283" s="15" t="n">
        <v>43593</v>
      </c>
      <c r="S283" s="6" t="n">
        <v>407000</v>
      </c>
      <c r="T283" s="15" t="n">
        <v>44258</v>
      </c>
      <c r="U283" s="6"/>
      <c r="V283" s="15"/>
      <c r="W283" s="4" t="s">
        <v>47</v>
      </c>
      <c r="X283" s="4" t="s">
        <v>47</v>
      </c>
      <c r="Y283" s="4" t="s">
        <v>1185</v>
      </c>
      <c r="Z283" s="4" t="s">
        <v>697</v>
      </c>
      <c r="AA283" s="6" t="n">
        <v>0</v>
      </c>
      <c r="AB283" s="6" t="n">
        <v>9609.9</v>
      </c>
      <c r="AC283" s="6" t="n">
        <v>10268.57</v>
      </c>
      <c r="AD283" s="14" t="b">
        <f aca="false">FALSE()</f>
        <v>0</v>
      </c>
    </row>
    <row r="284" customFormat="false" ht="15" hidden="false" customHeight="false" outlineLevel="0" collapsed="false">
      <c r="A284" s="14" t="b">
        <f aca="false">TRUE()</f>
        <v>1</v>
      </c>
      <c r="B284" s="14" t="b">
        <f aca="false">FALSE()</f>
        <v>0</v>
      </c>
      <c r="C284" s="4" t="n">
        <v>2</v>
      </c>
      <c r="D284" s="4"/>
      <c r="E284" s="4"/>
      <c r="F284" s="4"/>
      <c r="G284" s="4"/>
      <c r="H284" s="14" t="b">
        <f aca="false">FALSE()</f>
        <v>0</v>
      </c>
      <c r="I284" s="14" t="b">
        <f aca="false">FALSE()</f>
        <v>0</v>
      </c>
      <c r="J284" s="4"/>
      <c r="K284" s="4" t="s">
        <v>1186</v>
      </c>
      <c r="L284" s="4" t="s">
        <v>1187</v>
      </c>
      <c r="M284" s="4" t="s">
        <v>1188</v>
      </c>
      <c r="N284" s="6" t="n">
        <v>42218</v>
      </c>
      <c r="O284" s="6" t="n">
        <v>71099</v>
      </c>
      <c r="P284" s="4" t="s">
        <v>46</v>
      </c>
      <c r="Q284" s="6"/>
      <c r="R284" s="15"/>
      <c r="S284" s="6"/>
      <c r="T284" s="15"/>
      <c r="U284" s="6"/>
      <c r="V284" s="15"/>
      <c r="W284" s="4"/>
      <c r="X284" s="4"/>
      <c r="Y284" s="4" t="s">
        <v>1189</v>
      </c>
      <c r="Z284" s="4" t="s">
        <v>697</v>
      </c>
      <c r="AA284" s="6" t="n">
        <v>0</v>
      </c>
      <c r="AB284" s="6" t="n">
        <v>7422.86</v>
      </c>
      <c r="AC284" s="6" t="n">
        <v>7933.9</v>
      </c>
      <c r="AD284" s="14" t="b">
        <f aca="false">FALSE()</f>
        <v>0</v>
      </c>
    </row>
    <row r="285" customFormat="false" ht="15" hidden="false" customHeight="false" outlineLevel="0" collapsed="false">
      <c r="A285" s="14" t="b">
        <f aca="false">TRUE()</f>
        <v>1</v>
      </c>
      <c r="B285" s="14" t="b">
        <f aca="false">FALSE()</f>
        <v>0</v>
      </c>
      <c r="C285" s="4" t="n">
        <v>2</v>
      </c>
      <c r="D285" s="4"/>
      <c r="E285" s="4"/>
      <c r="F285" s="4"/>
      <c r="G285" s="4"/>
      <c r="H285" s="14" t="b">
        <f aca="false">TRUE()</f>
        <v>1</v>
      </c>
      <c r="I285" s="14" t="b">
        <f aca="false">FALSE()</f>
        <v>0</v>
      </c>
      <c r="J285" s="4"/>
      <c r="K285" s="4" t="s">
        <v>1190</v>
      </c>
      <c r="L285" s="4" t="s">
        <v>1191</v>
      </c>
      <c r="M285" s="4" t="s">
        <v>1192</v>
      </c>
      <c r="N285" s="6" t="n">
        <v>3078</v>
      </c>
      <c r="O285" s="6" t="n">
        <v>29360</v>
      </c>
      <c r="P285" s="4" t="s">
        <v>46</v>
      </c>
      <c r="Q285" s="6"/>
      <c r="R285" s="15" t="n">
        <v>38428</v>
      </c>
      <c r="S285" s="6"/>
      <c r="T285" s="15"/>
      <c r="U285" s="6"/>
      <c r="V285" s="15"/>
      <c r="W285" s="4" t="s">
        <v>47</v>
      </c>
      <c r="X285" s="4" t="s">
        <v>47</v>
      </c>
      <c r="Y285" s="4" t="s">
        <v>1193</v>
      </c>
      <c r="Z285" s="4" t="s">
        <v>697</v>
      </c>
      <c r="AA285" s="6" t="n">
        <v>0</v>
      </c>
      <c r="AB285" s="6" t="n">
        <v>1722.4</v>
      </c>
      <c r="AC285" s="6" t="n">
        <v>909.95</v>
      </c>
      <c r="AD285" s="14" t="b">
        <f aca="false">TRUE()</f>
        <v>1</v>
      </c>
    </row>
    <row r="286" customFormat="false" ht="15" hidden="false" customHeight="false" outlineLevel="0" collapsed="false">
      <c r="A286" s="14" t="b">
        <f aca="false">TRUE()</f>
        <v>1</v>
      </c>
      <c r="B286" s="14" t="b">
        <f aca="false">FALSE()</f>
        <v>0</v>
      </c>
      <c r="C286" s="4" t="n">
        <v>2</v>
      </c>
      <c r="D286" s="4"/>
      <c r="E286" s="4"/>
      <c r="F286" s="4"/>
      <c r="G286" s="4" t="n">
        <v>2</v>
      </c>
      <c r="H286" s="14" t="b">
        <f aca="false">FALSE()</f>
        <v>0</v>
      </c>
      <c r="I286" s="14" t="b">
        <f aca="false">FALSE()</f>
        <v>0</v>
      </c>
      <c r="J286" s="4"/>
      <c r="K286" s="4" t="s">
        <v>1194</v>
      </c>
      <c r="L286" s="4" t="s">
        <v>1195</v>
      </c>
      <c r="M286" s="4" t="s">
        <v>1196</v>
      </c>
      <c r="N286" s="6" t="n">
        <v>41141</v>
      </c>
      <c r="O286" s="6" t="n">
        <v>49745</v>
      </c>
      <c r="P286" s="4" t="s">
        <v>46</v>
      </c>
      <c r="Q286" s="6"/>
      <c r="R286" s="15"/>
      <c r="S286" s="6"/>
      <c r="T286" s="15"/>
      <c r="U286" s="6"/>
      <c r="V286" s="15"/>
      <c r="W286" s="4" t="s">
        <v>47</v>
      </c>
      <c r="X286" s="4" t="s">
        <v>47</v>
      </c>
      <c r="Y286" s="4" t="s">
        <v>1197</v>
      </c>
      <c r="Z286" s="4" t="s">
        <v>697</v>
      </c>
      <c r="AA286" s="6" t="n">
        <v>0</v>
      </c>
      <c r="AB286" s="6" t="n">
        <v>5841.88</v>
      </c>
      <c r="AC286" s="6" t="n">
        <v>3062.38</v>
      </c>
      <c r="AD286" s="14" t="b">
        <f aca="false">TRUE()</f>
        <v>1</v>
      </c>
    </row>
    <row r="287" customFormat="false" ht="15" hidden="false" customHeight="false" outlineLevel="0" collapsed="false">
      <c r="A287" s="14" t="b">
        <f aca="false">TRUE()</f>
        <v>1</v>
      </c>
      <c r="B287" s="14" t="b">
        <f aca="false">FALSE()</f>
        <v>0</v>
      </c>
      <c r="C287" s="4" t="n">
        <v>2</v>
      </c>
      <c r="D287" s="4"/>
      <c r="E287" s="4"/>
      <c r="F287" s="4"/>
      <c r="G287" s="4" t="n">
        <v>3</v>
      </c>
      <c r="H287" s="14" t="b">
        <f aca="false">FALSE()</f>
        <v>0</v>
      </c>
      <c r="I287" s="14" t="b">
        <f aca="false">FALSE()</f>
        <v>0</v>
      </c>
      <c r="J287" s="4"/>
      <c r="K287" s="4" t="s">
        <v>1198</v>
      </c>
      <c r="L287" s="4" t="s">
        <v>1199</v>
      </c>
      <c r="M287" s="4" t="s">
        <v>1200</v>
      </c>
      <c r="N287" s="6" t="n">
        <v>6070</v>
      </c>
      <c r="O287" s="6" t="n">
        <v>54227</v>
      </c>
      <c r="P287" s="4" t="s">
        <v>46</v>
      </c>
      <c r="Q287" s="6"/>
      <c r="R287" s="15" t="n">
        <v>42472</v>
      </c>
      <c r="S287" s="6"/>
      <c r="T287" s="15"/>
      <c r="U287" s="6"/>
      <c r="V287" s="15"/>
      <c r="W287" s="4" t="s">
        <v>47</v>
      </c>
      <c r="X287" s="4" t="s">
        <v>58</v>
      </c>
      <c r="Y287" s="4" t="s">
        <v>1201</v>
      </c>
      <c r="Z287" s="4" t="s">
        <v>958</v>
      </c>
      <c r="AA287" s="6" t="n">
        <v>0</v>
      </c>
      <c r="AB287" s="6" t="n">
        <v>3773.46</v>
      </c>
      <c r="AC287" s="6" t="n">
        <v>4038.17</v>
      </c>
      <c r="AD287" s="14" t="b">
        <f aca="false">FALSE()</f>
        <v>0</v>
      </c>
    </row>
    <row r="288" customFormat="false" ht="15" hidden="false" customHeight="false" outlineLevel="0" collapsed="false">
      <c r="A288" s="14" t="b">
        <f aca="false">TRUE()</f>
        <v>1</v>
      </c>
      <c r="B288" s="14" t="b">
        <f aca="false">FALSE()</f>
        <v>0</v>
      </c>
      <c r="C288" s="4" t="n">
        <v>2</v>
      </c>
      <c r="D288" s="4"/>
      <c r="E288" s="4"/>
      <c r="F288" s="4"/>
      <c r="G288" s="4"/>
      <c r="H288" s="14" t="b">
        <f aca="false">TRUE()</f>
        <v>1</v>
      </c>
      <c r="I288" s="14" t="b">
        <f aca="false">FALSE()</f>
        <v>0</v>
      </c>
      <c r="J288" s="4"/>
      <c r="K288" s="4" t="s">
        <v>1202</v>
      </c>
      <c r="L288" s="4" t="s">
        <v>1203</v>
      </c>
      <c r="M288" s="4" t="s">
        <v>1204</v>
      </c>
      <c r="N288" s="6" t="n">
        <v>7538</v>
      </c>
      <c r="O288" s="6" t="n">
        <v>67433</v>
      </c>
      <c r="P288" s="4" t="s">
        <v>46</v>
      </c>
      <c r="Q288" s="6" t="n">
        <v>140000</v>
      </c>
      <c r="R288" s="15" t="n">
        <v>44434</v>
      </c>
      <c r="S288" s="6"/>
      <c r="T288" s="15"/>
      <c r="U288" s="6"/>
      <c r="V288" s="15"/>
      <c r="W288" s="4" t="s">
        <v>47</v>
      </c>
      <c r="X288" s="4" t="s">
        <v>47</v>
      </c>
      <c r="Y288" s="4" t="s">
        <v>1205</v>
      </c>
      <c r="Z288" s="4" t="s">
        <v>958</v>
      </c>
      <c r="AA288" s="6" t="n">
        <v>0</v>
      </c>
      <c r="AB288" s="6" t="n">
        <v>4832.24</v>
      </c>
      <c r="AC288" s="6" t="n">
        <v>5168.42</v>
      </c>
      <c r="AD288" s="14" t="b">
        <f aca="false">FALSE()</f>
        <v>0</v>
      </c>
    </row>
    <row r="289" customFormat="false" ht="15" hidden="false" customHeight="false" outlineLevel="0" collapsed="false">
      <c r="A289" s="14" t="b">
        <f aca="false">TRUE()</f>
        <v>1</v>
      </c>
      <c r="B289" s="14" t="b">
        <f aca="false">FALSE()</f>
        <v>0</v>
      </c>
      <c r="C289" s="4" t="n">
        <v>2</v>
      </c>
      <c r="D289" s="4"/>
      <c r="E289" s="4"/>
      <c r="F289" s="4"/>
      <c r="G289" s="4" t="n">
        <v>2</v>
      </c>
      <c r="H289" s="14" t="b">
        <f aca="false">TRUE()</f>
        <v>1</v>
      </c>
      <c r="I289" s="14" t="b">
        <f aca="false">FALSE()</f>
        <v>0</v>
      </c>
      <c r="J289" s="4"/>
      <c r="K289" s="4" t="s">
        <v>1206</v>
      </c>
      <c r="L289" s="4" t="s">
        <v>1207</v>
      </c>
      <c r="M289" s="4" t="s">
        <v>1208</v>
      </c>
      <c r="N289" s="6" t="n">
        <v>8006</v>
      </c>
      <c r="O289" s="6" t="n">
        <v>71675</v>
      </c>
      <c r="P289" s="4" t="s">
        <v>46</v>
      </c>
      <c r="Q289" s="6" t="n">
        <v>195000</v>
      </c>
      <c r="R289" s="15" t="n">
        <v>43782</v>
      </c>
      <c r="S289" s="6"/>
      <c r="T289" s="15"/>
      <c r="U289" s="6"/>
      <c r="V289" s="15"/>
      <c r="W289" s="4" t="s">
        <v>47</v>
      </c>
      <c r="X289" s="4" t="s">
        <v>58</v>
      </c>
      <c r="Y289" s="4" t="s">
        <v>1209</v>
      </c>
      <c r="Z289" s="4" t="s">
        <v>958</v>
      </c>
      <c r="AA289" s="6" t="n">
        <v>0</v>
      </c>
      <c r="AB289" s="6" t="n">
        <v>5172.1</v>
      </c>
      <c r="AC289" s="6" t="n">
        <v>5531.21</v>
      </c>
      <c r="AD289" s="14" t="b">
        <f aca="false">FALSE()</f>
        <v>0</v>
      </c>
    </row>
    <row r="290" customFormat="false" ht="15" hidden="false" customHeight="false" outlineLevel="0" collapsed="false">
      <c r="A290" s="14" t="b">
        <f aca="false">TRUE()</f>
        <v>1</v>
      </c>
      <c r="B290" s="14" t="b">
        <f aca="false">FALSE()</f>
        <v>0</v>
      </c>
      <c r="C290" s="4" t="n">
        <v>3</v>
      </c>
      <c r="D290" s="4"/>
      <c r="E290" s="4"/>
      <c r="F290" s="4"/>
      <c r="G290" s="4"/>
      <c r="H290" s="14" t="b">
        <f aca="false">FALSE()</f>
        <v>0</v>
      </c>
      <c r="I290" s="14" t="b">
        <f aca="false">FALSE()</f>
        <v>0</v>
      </c>
      <c r="J290" s="4"/>
      <c r="K290" s="4" t="s">
        <v>1210</v>
      </c>
      <c r="L290" s="4" t="s">
        <v>1211</v>
      </c>
      <c r="M290" s="4" t="s">
        <v>1212</v>
      </c>
      <c r="N290" s="6" t="n">
        <v>78768</v>
      </c>
      <c r="O290" s="6" t="n">
        <v>118157</v>
      </c>
      <c r="P290" s="4" t="s">
        <v>46</v>
      </c>
      <c r="Q290" s="6" t="n">
        <v>820000</v>
      </c>
      <c r="R290" s="15" t="n">
        <v>45744</v>
      </c>
      <c r="S290" s="6" t="n">
        <v>640000</v>
      </c>
      <c r="T290" s="15" t="n">
        <v>45744</v>
      </c>
      <c r="U290" s="6"/>
      <c r="V290" s="15"/>
      <c r="W290" s="4" t="s">
        <v>58</v>
      </c>
      <c r="X290" s="4" t="s">
        <v>47</v>
      </c>
      <c r="Y290" s="4" t="s">
        <v>1213</v>
      </c>
      <c r="Z290" s="4" t="s">
        <v>697</v>
      </c>
      <c r="AA290" s="6" t="n">
        <v>0</v>
      </c>
      <c r="AB290" s="6" t="n">
        <v>13879.46</v>
      </c>
      <c r="AC290" s="6" t="n">
        <v>14826.33</v>
      </c>
      <c r="AD290" s="14" t="b">
        <f aca="false">FALSE()</f>
        <v>0</v>
      </c>
    </row>
    <row r="291" customFormat="false" ht="15" hidden="false" customHeight="false" outlineLevel="0" collapsed="false">
      <c r="A291" s="14" t="b">
        <f aca="false">TRUE()</f>
        <v>1</v>
      </c>
      <c r="B291" s="14" t="b">
        <f aca="false">FALSE()</f>
        <v>0</v>
      </c>
      <c r="C291" s="4" t="n">
        <v>3</v>
      </c>
      <c r="D291" s="4"/>
      <c r="E291" s="4"/>
      <c r="F291" s="4"/>
      <c r="G291" s="4"/>
      <c r="H291" s="14" t="b">
        <f aca="false">FALSE()</f>
        <v>0</v>
      </c>
      <c r="I291" s="14" t="b">
        <f aca="false">FALSE()</f>
        <v>0</v>
      </c>
      <c r="J291" s="4"/>
      <c r="K291" s="4" t="s">
        <v>1214</v>
      </c>
      <c r="L291" s="4" t="s">
        <v>1215</v>
      </c>
      <c r="M291" s="4" t="s">
        <v>1216</v>
      </c>
      <c r="N291" s="6" t="n">
        <v>47363</v>
      </c>
      <c r="O291" s="6" t="n">
        <v>33613</v>
      </c>
      <c r="P291" s="4" t="s">
        <v>46</v>
      </c>
      <c r="Q291" s="6" t="n">
        <v>303000</v>
      </c>
      <c r="R291" s="15" t="n">
        <v>45532</v>
      </c>
      <c r="S291" s="6" t="n">
        <v>150000</v>
      </c>
      <c r="T291" s="15" t="n">
        <v>45532</v>
      </c>
      <c r="U291" s="6"/>
      <c r="V291" s="15"/>
      <c r="W291" s="4" t="s">
        <v>47</v>
      </c>
      <c r="X291" s="4" t="s">
        <v>47</v>
      </c>
      <c r="Y291" s="4" t="s">
        <v>1217</v>
      </c>
      <c r="Z291" s="4" t="s">
        <v>697</v>
      </c>
      <c r="AA291" s="6" t="n">
        <v>0</v>
      </c>
      <c r="AB291" s="6" t="n">
        <v>4122.72</v>
      </c>
      <c r="AC291" s="6" t="n">
        <v>4411</v>
      </c>
      <c r="AD291" s="14" t="b">
        <f aca="false">FALSE()</f>
        <v>0</v>
      </c>
    </row>
    <row r="292" customFormat="false" ht="15" hidden="false" customHeight="false" outlineLevel="0" collapsed="false">
      <c r="A292" s="14" t="b">
        <f aca="false">TRUE()</f>
        <v>1</v>
      </c>
      <c r="B292" s="14" t="b">
        <f aca="false">FALSE()</f>
        <v>0</v>
      </c>
      <c r="C292" s="4" t="n">
        <v>2</v>
      </c>
      <c r="D292" s="4"/>
      <c r="E292" s="4"/>
      <c r="F292" s="4"/>
      <c r="G292" s="4"/>
      <c r="H292" s="14" t="b">
        <f aca="false">FALSE()</f>
        <v>0</v>
      </c>
      <c r="I292" s="14" t="b">
        <f aca="false">FALSE()</f>
        <v>0</v>
      </c>
      <c r="J292" s="4"/>
      <c r="K292" s="4" t="s">
        <v>1218</v>
      </c>
      <c r="L292" s="4" t="s">
        <v>1219</v>
      </c>
      <c r="M292" s="4" t="s">
        <v>1220</v>
      </c>
      <c r="N292" s="6" t="n">
        <v>43708</v>
      </c>
      <c r="O292" s="6" t="n">
        <v>99403</v>
      </c>
      <c r="P292" s="4" t="s">
        <v>46</v>
      </c>
      <c r="Q292" s="6"/>
      <c r="R292" s="15"/>
      <c r="S292" s="6"/>
      <c r="T292" s="15"/>
      <c r="U292" s="6"/>
      <c r="V292" s="15"/>
      <c r="W292" s="4" t="s">
        <v>47</v>
      </c>
      <c r="X292" s="4" t="s">
        <v>47</v>
      </c>
      <c r="Y292" s="4" t="s">
        <v>1221</v>
      </c>
      <c r="Z292" s="4" t="s">
        <v>958</v>
      </c>
      <c r="AA292" s="6" t="n">
        <v>0</v>
      </c>
      <c r="AB292" s="6" t="n">
        <v>9141.64</v>
      </c>
      <c r="AC292" s="6" t="n">
        <v>4786.51</v>
      </c>
      <c r="AD292" s="14" t="b">
        <f aca="false">TRUE()</f>
        <v>1</v>
      </c>
    </row>
    <row r="293" customFormat="false" ht="15" hidden="false" customHeight="false" outlineLevel="0" collapsed="false">
      <c r="A293" s="14" t="b">
        <f aca="false">TRUE()</f>
        <v>1</v>
      </c>
      <c r="B293" s="14" t="b">
        <f aca="false">FALSE()</f>
        <v>0</v>
      </c>
      <c r="C293" s="4" t="n">
        <v>2</v>
      </c>
      <c r="D293" s="4"/>
      <c r="E293" s="4"/>
      <c r="F293" s="4"/>
      <c r="G293" s="4"/>
      <c r="H293" s="14" t="b">
        <f aca="false">FALSE()</f>
        <v>0</v>
      </c>
      <c r="I293" s="14" t="b">
        <f aca="false">FALSE()</f>
        <v>0</v>
      </c>
      <c r="J293" s="4"/>
      <c r="K293" s="4" t="s">
        <v>1222</v>
      </c>
      <c r="L293" s="4" t="s">
        <v>1223</v>
      </c>
      <c r="M293" s="4" t="s">
        <v>1224</v>
      </c>
      <c r="N293" s="6" t="n">
        <v>48298</v>
      </c>
      <c r="O293" s="6" t="n">
        <v>152966</v>
      </c>
      <c r="P293" s="4" t="s">
        <v>46</v>
      </c>
      <c r="Q293" s="6"/>
      <c r="R293" s="15" t="n">
        <v>36299</v>
      </c>
      <c r="S293" s="6"/>
      <c r="T293" s="15"/>
      <c r="U293" s="6"/>
      <c r="V293" s="15"/>
      <c r="W293" s="4" t="s">
        <v>47</v>
      </c>
      <c r="X293" s="4" t="s">
        <v>47</v>
      </c>
      <c r="Y293" s="4" t="s">
        <v>1225</v>
      </c>
      <c r="Z293" s="4" t="s">
        <v>958</v>
      </c>
      <c r="AA293" s="6" t="n">
        <v>0</v>
      </c>
      <c r="AB293" s="6" t="n">
        <v>16088.32</v>
      </c>
      <c r="AC293" s="6" t="n">
        <v>8416.15</v>
      </c>
      <c r="AD293" s="14" t="b">
        <f aca="false">TRUE()</f>
        <v>1</v>
      </c>
    </row>
    <row r="294" customFormat="false" ht="15" hidden="false" customHeight="false" outlineLevel="0" collapsed="false">
      <c r="A294" s="14" t="b">
        <f aca="false">TRUE()</f>
        <v>1</v>
      </c>
      <c r="B294" s="14" t="b">
        <f aca="false">FALSE()</f>
        <v>0</v>
      </c>
      <c r="C294" s="4" t="n">
        <v>3</v>
      </c>
      <c r="D294" s="4"/>
      <c r="E294" s="4"/>
      <c r="F294" s="4"/>
      <c r="G294" s="4" t="n">
        <v>3</v>
      </c>
      <c r="H294" s="14" t="b">
        <f aca="false">FALSE()</f>
        <v>0</v>
      </c>
      <c r="I294" s="14" t="b">
        <f aca="false">FALSE()</f>
        <v>0</v>
      </c>
      <c r="J294" s="4"/>
      <c r="K294" s="4" t="s">
        <v>1226</v>
      </c>
      <c r="L294" s="4" t="s">
        <v>1227</v>
      </c>
      <c r="M294" s="4" t="s">
        <v>1228</v>
      </c>
      <c r="N294" s="6" t="n">
        <v>77625</v>
      </c>
      <c r="O294" s="6" t="n">
        <v>140729</v>
      </c>
      <c r="P294" s="4" t="s">
        <v>46</v>
      </c>
      <c r="Q294" s="6" t="n">
        <v>480000</v>
      </c>
      <c r="R294" s="15" t="n">
        <v>42907</v>
      </c>
      <c r="S294" s="6"/>
      <c r="T294" s="15"/>
      <c r="U294" s="6"/>
      <c r="V294" s="15"/>
      <c r="W294" s="4" t="s">
        <v>47</v>
      </c>
      <c r="X294" s="4" t="s">
        <v>58</v>
      </c>
      <c r="Y294" s="4" t="s">
        <v>1229</v>
      </c>
      <c r="Z294" s="4" t="s">
        <v>697</v>
      </c>
      <c r="AA294" s="6" t="n">
        <v>0</v>
      </c>
      <c r="AB294" s="6" t="n">
        <v>14262.1</v>
      </c>
      <c r="AC294" s="6" t="n">
        <v>15234.79</v>
      </c>
      <c r="AD294" s="14" t="b">
        <f aca="false">FALSE()</f>
        <v>0</v>
      </c>
    </row>
    <row r="295" customFormat="false" ht="15" hidden="false" customHeight="false" outlineLevel="0" collapsed="false">
      <c r="A295" s="14" t="b">
        <f aca="false">TRUE()</f>
        <v>1</v>
      </c>
      <c r="B295" s="14" t="b">
        <f aca="false">FALSE()</f>
        <v>0</v>
      </c>
      <c r="C295" s="4" t="n">
        <v>2</v>
      </c>
      <c r="D295" s="4"/>
      <c r="E295" s="4"/>
      <c r="F295" s="4"/>
      <c r="G295" s="4"/>
      <c r="H295" s="14" t="b">
        <f aca="false">FALSE()</f>
        <v>0</v>
      </c>
      <c r="I295" s="14" t="b">
        <f aca="false">FALSE()</f>
        <v>0</v>
      </c>
      <c r="J295" s="4"/>
      <c r="K295" s="4" t="s">
        <v>1230</v>
      </c>
      <c r="L295" s="4" t="s">
        <v>1231</v>
      </c>
      <c r="M295" s="4" t="s">
        <v>1232</v>
      </c>
      <c r="N295" s="6" t="n">
        <v>47363</v>
      </c>
      <c r="O295" s="6" t="n">
        <v>140631</v>
      </c>
      <c r="P295" s="4" t="s">
        <v>46</v>
      </c>
      <c r="Q295" s="6" t="n">
        <v>700000</v>
      </c>
      <c r="R295" s="15" t="n">
        <v>39381</v>
      </c>
      <c r="S295" s="6" t="n">
        <v>104000</v>
      </c>
      <c r="T295" s="15" t="n">
        <v>39896</v>
      </c>
      <c r="U295" s="6"/>
      <c r="V295" s="15"/>
      <c r="W295" s="4" t="s">
        <v>47</v>
      </c>
      <c r="X295" s="4" t="s">
        <v>47</v>
      </c>
      <c r="Y295" s="4" t="s">
        <v>1233</v>
      </c>
      <c r="Z295" s="4" t="s">
        <v>697</v>
      </c>
      <c r="AA295" s="6" t="n">
        <v>0</v>
      </c>
      <c r="AB295" s="6" t="n">
        <v>12122.3</v>
      </c>
      <c r="AC295" s="6" t="n">
        <v>6252.98</v>
      </c>
      <c r="AD295" s="14" t="b">
        <f aca="false">TRUE()</f>
        <v>1</v>
      </c>
    </row>
    <row r="296" customFormat="false" ht="15" hidden="false" customHeight="false" outlineLevel="0" collapsed="false">
      <c r="A296" s="14" t="b">
        <f aca="false">TRUE()</f>
        <v>1</v>
      </c>
      <c r="B296" s="14" t="b">
        <f aca="false">FALSE()</f>
        <v>0</v>
      </c>
      <c r="C296" s="4" t="n">
        <v>2</v>
      </c>
      <c r="D296" s="4"/>
      <c r="E296" s="4"/>
      <c r="F296" s="4"/>
      <c r="G296" s="4" t="n">
        <v>3</v>
      </c>
      <c r="H296" s="14" t="b">
        <f aca="false">FALSE()</f>
        <v>0</v>
      </c>
      <c r="I296" s="14" t="b">
        <f aca="false">FALSE()</f>
        <v>0</v>
      </c>
      <c r="J296" s="4"/>
      <c r="K296" s="4" t="s">
        <v>1234</v>
      </c>
      <c r="L296" s="4" t="s">
        <v>1235</v>
      </c>
      <c r="M296" s="4" t="s">
        <v>1236</v>
      </c>
      <c r="N296" s="6" t="n">
        <v>70435</v>
      </c>
      <c r="O296" s="6" t="n">
        <v>129524</v>
      </c>
      <c r="P296" s="4" t="s">
        <v>46</v>
      </c>
      <c r="Q296" s="6" t="n">
        <v>695000</v>
      </c>
      <c r="R296" s="15" t="n">
        <v>45686</v>
      </c>
      <c r="S296" s="6"/>
      <c r="T296" s="15"/>
      <c r="U296" s="6"/>
      <c r="V296" s="15"/>
      <c r="W296" s="4" t="s">
        <v>47</v>
      </c>
      <c r="X296" s="4" t="s">
        <v>47</v>
      </c>
      <c r="Y296" s="4" t="s">
        <v>1237</v>
      </c>
      <c r="Z296" s="4" t="s">
        <v>697</v>
      </c>
      <c r="AA296" s="6" t="n">
        <v>0</v>
      </c>
      <c r="AB296" s="6" t="n">
        <v>12965.62</v>
      </c>
      <c r="AC296" s="6" t="n">
        <v>6784.54</v>
      </c>
      <c r="AD296" s="14" t="b">
        <f aca="false">TRUE()</f>
        <v>1</v>
      </c>
    </row>
    <row r="297" customFormat="false" ht="15" hidden="false" customHeight="false" outlineLevel="0" collapsed="false">
      <c r="A297" s="14" t="b">
        <f aca="false">TRUE()</f>
        <v>1</v>
      </c>
      <c r="B297" s="14" t="b">
        <f aca="false">FALSE()</f>
        <v>0</v>
      </c>
      <c r="C297" s="4" t="n">
        <v>2</v>
      </c>
      <c r="D297" s="4"/>
      <c r="E297" s="4"/>
      <c r="F297" s="4"/>
      <c r="G297" s="4"/>
      <c r="H297" s="14" t="b">
        <f aca="false">TRUE()</f>
        <v>1</v>
      </c>
      <c r="I297" s="14" t="b">
        <f aca="false">FALSE()</f>
        <v>0</v>
      </c>
      <c r="J297" s="4"/>
      <c r="K297" s="4" t="s">
        <v>1238</v>
      </c>
      <c r="L297" s="4" t="s">
        <v>1239</v>
      </c>
      <c r="M297" s="4" t="s">
        <v>1240</v>
      </c>
      <c r="N297" s="6" t="n">
        <v>42098</v>
      </c>
      <c r="O297" s="6" t="n">
        <v>82477</v>
      </c>
      <c r="P297" s="4" t="s">
        <v>46</v>
      </c>
      <c r="Q297" s="6" t="n">
        <v>152000</v>
      </c>
      <c r="R297" s="15" t="n">
        <v>35426</v>
      </c>
      <c r="S297" s="6" t="n">
        <v>100000</v>
      </c>
      <c r="T297" s="15" t="n">
        <v>44595</v>
      </c>
      <c r="U297" s="6"/>
      <c r="V297" s="15"/>
      <c r="W297" s="4" t="s">
        <v>47</v>
      </c>
      <c r="X297" s="4" t="s">
        <v>47</v>
      </c>
      <c r="Y297" s="4" t="s">
        <v>1241</v>
      </c>
      <c r="Z297" s="4" t="s">
        <v>987</v>
      </c>
      <c r="AA297" s="6" t="n">
        <v>0</v>
      </c>
      <c r="AB297" s="6" t="n">
        <v>10135.84</v>
      </c>
      <c r="AC297" s="6" t="n">
        <v>5305.98</v>
      </c>
      <c r="AD297" s="14" t="b">
        <f aca="false">TRUE()</f>
        <v>1</v>
      </c>
    </row>
    <row r="298" customFormat="false" ht="15" hidden="false" customHeight="false" outlineLevel="0" collapsed="false">
      <c r="A298" s="14" t="b">
        <f aca="false">TRUE()</f>
        <v>1</v>
      </c>
      <c r="B298" s="14" t="b">
        <f aca="false">FALSE()</f>
        <v>0</v>
      </c>
      <c r="C298" s="4" t="n">
        <v>3</v>
      </c>
      <c r="D298" s="4"/>
      <c r="E298" s="4"/>
      <c r="F298" s="4"/>
      <c r="G298" s="4" t="n">
        <v>3</v>
      </c>
      <c r="H298" s="14" t="b">
        <f aca="false">TRUE()</f>
        <v>1</v>
      </c>
      <c r="I298" s="14" t="b">
        <f aca="false">FALSE()</f>
        <v>0</v>
      </c>
      <c r="J298" s="4"/>
      <c r="K298" s="4" t="s">
        <v>1242</v>
      </c>
      <c r="L298" s="4" t="s">
        <v>1243</v>
      </c>
      <c r="M298" s="4" t="s">
        <v>1244</v>
      </c>
      <c r="N298" s="6" t="n">
        <v>34940</v>
      </c>
      <c r="O298" s="6" t="n">
        <v>102221</v>
      </c>
      <c r="P298" s="4" t="s">
        <v>46</v>
      </c>
      <c r="Q298" s="6" t="n">
        <v>515000</v>
      </c>
      <c r="R298" s="15" t="n">
        <v>44260</v>
      </c>
      <c r="S298" s="6"/>
      <c r="T298" s="15"/>
      <c r="U298" s="6"/>
      <c r="V298" s="15"/>
      <c r="W298" s="4" t="s">
        <v>47</v>
      </c>
      <c r="X298" s="4" t="s">
        <v>47</v>
      </c>
      <c r="Y298" s="4" t="s">
        <v>1245</v>
      </c>
      <c r="Z298" s="4" t="s">
        <v>987</v>
      </c>
      <c r="AA298" s="6" t="n">
        <v>0</v>
      </c>
      <c r="AB298" s="6" t="n">
        <v>11230.16</v>
      </c>
      <c r="AC298" s="6" t="n">
        <v>11998.2</v>
      </c>
      <c r="AD298" s="14" t="b">
        <f aca="false">FALSE()</f>
        <v>0</v>
      </c>
    </row>
    <row r="299" customFormat="false" ht="15" hidden="false" customHeight="false" outlineLevel="0" collapsed="false">
      <c r="A299" s="14" t="b">
        <f aca="false">TRUE()</f>
        <v>1</v>
      </c>
      <c r="B299" s="14" t="b">
        <f aca="false">FALSE()</f>
        <v>0</v>
      </c>
      <c r="C299" s="4" t="n">
        <v>3</v>
      </c>
      <c r="D299" s="4"/>
      <c r="E299" s="4"/>
      <c r="F299" s="4"/>
      <c r="G299" s="4" t="n">
        <v>3</v>
      </c>
      <c r="H299" s="14" t="b">
        <f aca="false">FALSE()</f>
        <v>0</v>
      </c>
      <c r="I299" s="14" t="b">
        <f aca="false">FALSE()</f>
        <v>0</v>
      </c>
      <c r="J299" s="4"/>
      <c r="K299" s="4" t="s">
        <v>1246</v>
      </c>
      <c r="L299" s="4" t="s">
        <v>1247</v>
      </c>
      <c r="M299" s="4" t="s">
        <v>1248</v>
      </c>
      <c r="N299" s="6" t="n">
        <v>34940</v>
      </c>
      <c r="O299" s="6" t="n">
        <v>110836</v>
      </c>
      <c r="P299" s="4" t="s">
        <v>46</v>
      </c>
      <c r="Q299" s="6" t="n">
        <v>490000</v>
      </c>
      <c r="R299" s="15" t="n">
        <v>45190</v>
      </c>
      <c r="S299" s="6"/>
      <c r="T299" s="15"/>
      <c r="U299" s="6"/>
      <c r="V299" s="15"/>
      <c r="W299" s="4" t="s">
        <v>47</v>
      </c>
      <c r="X299" s="4" t="s">
        <v>47</v>
      </c>
      <c r="Y299" s="4" t="s">
        <v>1249</v>
      </c>
      <c r="Z299" s="4" t="s">
        <v>987</v>
      </c>
      <c r="AA299" s="6" t="n">
        <v>0</v>
      </c>
      <c r="AB299" s="6" t="n">
        <v>11979.2</v>
      </c>
      <c r="AC299" s="6" t="n">
        <v>12797.79</v>
      </c>
      <c r="AD299" s="14" t="b">
        <f aca="false">FALSE()</f>
        <v>0</v>
      </c>
    </row>
    <row r="300" customFormat="false" ht="15" hidden="false" customHeight="false" outlineLevel="0" collapsed="false">
      <c r="A300" s="14" t="b">
        <f aca="false">TRUE()</f>
        <v>1</v>
      </c>
      <c r="B300" s="14" t="b">
        <f aca="false">FALSE()</f>
        <v>0</v>
      </c>
      <c r="C300" s="4" t="n">
        <v>2</v>
      </c>
      <c r="D300" s="4"/>
      <c r="E300" s="4"/>
      <c r="F300" s="4"/>
      <c r="G300" s="4"/>
      <c r="H300" s="14" t="b">
        <f aca="false">FALSE()</f>
        <v>0</v>
      </c>
      <c r="I300" s="14" t="b">
        <f aca="false">FALSE()</f>
        <v>0</v>
      </c>
      <c r="J300" s="4"/>
      <c r="K300" s="4" t="s">
        <v>1250</v>
      </c>
      <c r="L300" s="4" t="s">
        <v>1251</v>
      </c>
      <c r="M300" s="4" t="s">
        <v>1252</v>
      </c>
      <c r="N300" s="6" t="n">
        <v>37377</v>
      </c>
      <c r="O300" s="6" t="n">
        <v>44012</v>
      </c>
      <c r="P300" s="4" t="s">
        <v>46</v>
      </c>
      <c r="Q300" s="6"/>
      <c r="R300" s="15"/>
      <c r="S300" s="6"/>
      <c r="T300" s="15"/>
      <c r="U300" s="6"/>
      <c r="V300" s="15"/>
      <c r="W300" s="4" t="s">
        <v>58</v>
      </c>
      <c r="X300" s="4" t="s">
        <v>58</v>
      </c>
      <c r="Y300" s="4" t="s">
        <v>1253</v>
      </c>
      <c r="Z300" s="4" t="s">
        <v>987</v>
      </c>
      <c r="AA300" s="6" t="n">
        <v>0</v>
      </c>
      <c r="AB300" s="6" t="n">
        <v>6029.32</v>
      </c>
      <c r="AC300" s="6" t="n">
        <v>6446.3</v>
      </c>
      <c r="AD300" s="14" t="b">
        <f aca="false">FALSE()</f>
        <v>0</v>
      </c>
    </row>
    <row r="301" customFormat="false" ht="15" hidden="false" customHeight="false" outlineLevel="0" collapsed="false">
      <c r="A301" s="14" t="b">
        <f aca="false">TRUE()</f>
        <v>1</v>
      </c>
      <c r="B301" s="14" t="b">
        <f aca="false">FALSE()</f>
        <v>0</v>
      </c>
      <c r="C301" s="4" t="n">
        <v>3</v>
      </c>
      <c r="D301" s="4"/>
      <c r="E301" s="4"/>
      <c r="F301" s="4"/>
      <c r="G301" s="4" t="n">
        <v>3</v>
      </c>
      <c r="H301" s="14" t="b">
        <f aca="false">TRUE()</f>
        <v>1</v>
      </c>
      <c r="I301" s="14" t="b">
        <f aca="false">FALSE()</f>
        <v>0</v>
      </c>
      <c r="J301" s="4"/>
      <c r="K301" s="4" t="s">
        <v>1254</v>
      </c>
      <c r="L301" s="4" t="s">
        <v>1255</v>
      </c>
      <c r="M301" s="4" t="s">
        <v>1256</v>
      </c>
      <c r="N301" s="6" t="n">
        <v>37050</v>
      </c>
      <c r="O301" s="6" t="n">
        <v>195793</v>
      </c>
      <c r="P301" s="4" t="s">
        <v>46</v>
      </c>
      <c r="Q301" s="6" t="n">
        <v>260000</v>
      </c>
      <c r="R301" s="15" t="n">
        <v>36790</v>
      </c>
      <c r="S301" s="6"/>
      <c r="T301" s="15"/>
      <c r="U301" s="6"/>
      <c r="V301" s="15"/>
      <c r="W301" s="4" t="s">
        <v>58</v>
      </c>
      <c r="X301" s="4" t="s">
        <v>58</v>
      </c>
      <c r="Y301" s="4" t="s">
        <v>1257</v>
      </c>
      <c r="Z301" s="4" t="s">
        <v>987</v>
      </c>
      <c r="AA301" s="6" t="n">
        <v>0</v>
      </c>
      <c r="AB301" s="6" t="n">
        <v>16656.36</v>
      </c>
      <c r="AC301" s="6" t="n">
        <v>17790.67</v>
      </c>
      <c r="AD301" s="14" t="b">
        <f aca="false">FALSE()</f>
        <v>0</v>
      </c>
    </row>
    <row r="302" customFormat="false" ht="15" hidden="false" customHeight="false" outlineLevel="0" collapsed="false">
      <c r="A302" s="14" t="b">
        <f aca="false">TRUE()</f>
        <v>1</v>
      </c>
      <c r="B302" s="14" t="b">
        <f aca="false">FALSE()</f>
        <v>0</v>
      </c>
      <c r="C302" s="4" t="n">
        <v>2</v>
      </c>
      <c r="D302" s="4"/>
      <c r="E302" s="4"/>
      <c r="F302" s="4"/>
      <c r="G302" s="4"/>
      <c r="H302" s="14" t="b">
        <f aca="false">FALSE()</f>
        <v>0</v>
      </c>
      <c r="I302" s="14" t="b">
        <f aca="false">FALSE()</f>
        <v>0</v>
      </c>
      <c r="J302" s="4"/>
      <c r="K302" s="4" t="s">
        <v>1258</v>
      </c>
      <c r="L302" s="4" t="s">
        <v>1259</v>
      </c>
      <c r="M302" s="4" t="s">
        <v>1260</v>
      </c>
      <c r="N302" s="6" t="n">
        <v>35593</v>
      </c>
      <c r="O302" s="6" t="n">
        <v>70065</v>
      </c>
      <c r="P302" s="4" t="s">
        <v>46</v>
      </c>
      <c r="Q302" s="6" t="n">
        <v>308000</v>
      </c>
      <c r="R302" s="15" t="n">
        <v>38146</v>
      </c>
      <c r="S302" s="6"/>
      <c r="T302" s="15"/>
      <c r="U302" s="6"/>
      <c r="V302" s="15"/>
      <c r="W302" s="4" t="s">
        <v>58</v>
      </c>
      <c r="X302" s="4" t="s">
        <v>47</v>
      </c>
      <c r="Y302" s="4" t="s">
        <v>1261</v>
      </c>
      <c r="Z302" s="4" t="s">
        <v>987</v>
      </c>
      <c r="AA302" s="6" t="n">
        <v>0</v>
      </c>
      <c r="AB302" s="6" t="n">
        <v>8491.06</v>
      </c>
      <c r="AC302" s="6" t="n">
        <v>9074.21</v>
      </c>
      <c r="AD302" s="14" t="b">
        <f aca="false">FALSE()</f>
        <v>0</v>
      </c>
    </row>
    <row r="303" customFormat="false" ht="15" hidden="false" customHeight="false" outlineLevel="0" collapsed="false">
      <c r="A303" s="14" t="b">
        <f aca="false">TRUE()</f>
        <v>1</v>
      </c>
      <c r="B303" s="14" t="b">
        <f aca="false">FALSE()</f>
        <v>0</v>
      </c>
      <c r="C303" s="4" t="n">
        <v>2</v>
      </c>
      <c r="D303" s="4"/>
      <c r="E303" s="4"/>
      <c r="F303" s="4"/>
      <c r="G303" s="4"/>
      <c r="H303" s="14" t="b">
        <f aca="false">FALSE()</f>
        <v>0</v>
      </c>
      <c r="I303" s="14" t="b">
        <f aca="false">FALSE()</f>
        <v>0</v>
      </c>
      <c r="J303" s="4"/>
      <c r="K303" s="4" t="s">
        <v>1262</v>
      </c>
      <c r="L303" s="4" t="s">
        <v>1263</v>
      </c>
      <c r="M303" s="4" t="s">
        <v>1264</v>
      </c>
      <c r="N303" s="6" t="n">
        <v>35593</v>
      </c>
      <c r="O303" s="6" t="n">
        <v>36202</v>
      </c>
      <c r="P303" s="4" t="s">
        <v>46</v>
      </c>
      <c r="Q303" s="6"/>
      <c r="R303" s="15" t="n">
        <v>45848</v>
      </c>
      <c r="S303" s="6"/>
      <c r="T303" s="15"/>
      <c r="U303" s="6"/>
      <c r="V303" s="15"/>
      <c r="W303" s="4" t="s">
        <v>47</v>
      </c>
      <c r="X303" s="4" t="s">
        <v>47</v>
      </c>
      <c r="Y303" s="4" t="s">
        <v>1265</v>
      </c>
      <c r="Z303" s="4" t="s">
        <v>987</v>
      </c>
      <c r="AA303" s="6" t="n">
        <v>0</v>
      </c>
      <c r="AB303" s="6" t="n">
        <v>4851.24</v>
      </c>
      <c r="AC303" s="6" t="n">
        <v>2544.77</v>
      </c>
      <c r="AD303" s="14" t="b">
        <f aca="false">TRUE()</f>
        <v>1</v>
      </c>
    </row>
    <row r="304" customFormat="false" ht="15" hidden="false" customHeight="false" outlineLevel="0" collapsed="false">
      <c r="A304" s="14" t="b">
        <f aca="false">TRUE()</f>
        <v>1</v>
      </c>
      <c r="B304" s="14" t="b">
        <f aca="false">FALSE()</f>
        <v>0</v>
      </c>
      <c r="C304" s="4" t="n">
        <v>2</v>
      </c>
      <c r="D304" s="4"/>
      <c r="E304" s="4"/>
      <c r="F304" s="4"/>
      <c r="G304" s="4"/>
      <c r="H304" s="14" t="b">
        <f aca="false">FALSE()</f>
        <v>0</v>
      </c>
      <c r="I304" s="14" t="b">
        <f aca="false">FALSE()</f>
        <v>0</v>
      </c>
      <c r="J304" s="4"/>
      <c r="K304" s="4" t="s">
        <v>1266</v>
      </c>
      <c r="L304" s="4" t="s">
        <v>1267</v>
      </c>
      <c r="M304" s="4" t="s">
        <v>1268</v>
      </c>
      <c r="N304" s="6" t="n">
        <v>33515</v>
      </c>
      <c r="O304" s="6" t="n">
        <v>61569</v>
      </c>
      <c r="P304" s="4" t="s">
        <v>46</v>
      </c>
      <c r="Q304" s="6" t="n">
        <v>265000</v>
      </c>
      <c r="R304" s="15" t="n">
        <v>44110</v>
      </c>
      <c r="S304" s="6"/>
      <c r="T304" s="15"/>
      <c r="U304" s="6"/>
      <c r="V304" s="15"/>
      <c r="W304" s="4" t="s">
        <v>47</v>
      </c>
      <c r="X304" s="4" t="s">
        <v>58</v>
      </c>
      <c r="Y304" s="4" t="s">
        <v>1269</v>
      </c>
      <c r="Z304" s="4" t="s">
        <v>987</v>
      </c>
      <c r="AA304" s="6" t="n">
        <v>0</v>
      </c>
      <c r="AB304" s="6" t="n">
        <v>6451.16</v>
      </c>
      <c r="AC304" s="6" t="n">
        <v>6896.61</v>
      </c>
      <c r="AD304" s="14" t="b">
        <f aca="false">FALSE()</f>
        <v>0</v>
      </c>
    </row>
    <row r="305" customFormat="false" ht="15" hidden="false" customHeight="false" outlineLevel="0" collapsed="false">
      <c r="A305" s="14" t="b">
        <f aca="false">TRUE()</f>
        <v>1</v>
      </c>
      <c r="B305" s="14" t="b">
        <f aca="false">FALSE()</f>
        <v>0</v>
      </c>
      <c r="C305" s="4" t="n">
        <v>2</v>
      </c>
      <c r="D305" s="4"/>
      <c r="E305" s="4"/>
      <c r="F305" s="4"/>
      <c r="G305" s="4"/>
      <c r="H305" s="14" t="b">
        <f aca="false">FALSE()</f>
        <v>0</v>
      </c>
      <c r="I305" s="14" t="b">
        <f aca="false">FALSE()</f>
        <v>0</v>
      </c>
      <c r="J305" s="4"/>
      <c r="K305" s="4" t="s">
        <v>1270</v>
      </c>
      <c r="L305" s="4" t="s">
        <v>1271</v>
      </c>
      <c r="M305" s="4" t="s">
        <v>1272</v>
      </c>
      <c r="N305" s="6" t="n">
        <v>33515</v>
      </c>
      <c r="O305" s="6" t="n">
        <v>91876</v>
      </c>
      <c r="P305" s="4" t="s">
        <v>46</v>
      </c>
      <c r="Q305" s="6" t="n">
        <v>225000</v>
      </c>
      <c r="R305" s="15" t="n">
        <v>41243</v>
      </c>
      <c r="S305" s="6"/>
      <c r="T305" s="15"/>
      <c r="U305" s="6"/>
      <c r="V305" s="15"/>
      <c r="W305" s="4" t="s">
        <v>47</v>
      </c>
      <c r="X305" s="4" t="s">
        <v>47</v>
      </c>
      <c r="Y305" s="4" t="s">
        <v>1273</v>
      </c>
      <c r="Z305" s="4" t="s">
        <v>987</v>
      </c>
      <c r="AA305" s="6" t="n">
        <v>0</v>
      </c>
      <c r="AB305" s="6" t="n">
        <v>8696.32</v>
      </c>
      <c r="AC305" s="6" t="n">
        <v>9293.32</v>
      </c>
      <c r="AD305" s="14" t="b">
        <f aca="false">FALSE()</f>
        <v>0</v>
      </c>
    </row>
    <row r="306" customFormat="false" ht="15" hidden="false" customHeight="false" outlineLevel="0" collapsed="false">
      <c r="A306" s="14" t="b">
        <f aca="false">TRUE()</f>
        <v>1</v>
      </c>
      <c r="B306" s="14" t="b">
        <f aca="false">FALSE()</f>
        <v>0</v>
      </c>
      <c r="C306" s="4" t="n">
        <v>2</v>
      </c>
      <c r="D306" s="4"/>
      <c r="E306" s="4"/>
      <c r="F306" s="4"/>
      <c r="G306" s="4"/>
      <c r="H306" s="14" t="b">
        <f aca="false">FALSE()</f>
        <v>0</v>
      </c>
      <c r="I306" s="14" t="b">
        <f aca="false">FALSE()</f>
        <v>0</v>
      </c>
      <c r="J306" s="4"/>
      <c r="K306" s="4" t="s">
        <v>1274</v>
      </c>
      <c r="L306" s="4" t="s">
        <v>1275</v>
      </c>
      <c r="M306" s="4" t="s">
        <v>1276</v>
      </c>
      <c r="N306" s="6" t="n">
        <v>46884</v>
      </c>
      <c r="O306" s="6" t="n">
        <v>64148</v>
      </c>
      <c r="P306" s="4" t="s">
        <v>46</v>
      </c>
      <c r="Q306" s="6" t="n">
        <v>219500</v>
      </c>
      <c r="R306" s="15" t="n">
        <v>40749</v>
      </c>
      <c r="S306" s="6" t="n">
        <v>196340</v>
      </c>
      <c r="T306" s="15" t="n">
        <v>42650</v>
      </c>
      <c r="U306" s="6"/>
      <c r="V306" s="15"/>
      <c r="W306" s="4" t="s">
        <v>58</v>
      </c>
      <c r="X306" s="4" t="s">
        <v>58</v>
      </c>
      <c r="Y306" s="4" t="s">
        <v>1277</v>
      </c>
      <c r="Z306" s="4" t="s">
        <v>987</v>
      </c>
      <c r="AA306" s="6" t="n">
        <v>0</v>
      </c>
      <c r="AB306" s="6" t="n">
        <v>8958.34</v>
      </c>
      <c r="AC306" s="6" t="n">
        <v>4690.73</v>
      </c>
      <c r="AD306" s="14" t="b">
        <f aca="false">TRUE()</f>
        <v>1</v>
      </c>
    </row>
    <row r="307" customFormat="false" ht="15" hidden="false" customHeight="false" outlineLevel="0" collapsed="false">
      <c r="A307" s="14" t="b">
        <f aca="false">TRUE()</f>
        <v>1</v>
      </c>
      <c r="B307" s="14" t="b">
        <f aca="false">FALSE()</f>
        <v>0</v>
      </c>
      <c r="C307" s="4" t="n">
        <v>2</v>
      </c>
      <c r="D307" s="4"/>
      <c r="E307" s="4"/>
      <c r="F307" s="4"/>
      <c r="G307" s="4"/>
      <c r="H307" s="14" t="b">
        <f aca="false">FALSE()</f>
        <v>0</v>
      </c>
      <c r="I307" s="14" t="b">
        <f aca="false">FALSE()</f>
        <v>0</v>
      </c>
      <c r="J307" s="4"/>
      <c r="K307" s="4" t="s">
        <v>1278</v>
      </c>
      <c r="L307" s="4" t="s">
        <v>1279</v>
      </c>
      <c r="M307" s="4" t="s">
        <v>1280</v>
      </c>
      <c r="N307" s="6" t="n">
        <v>35582</v>
      </c>
      <c r="O307" s="6" t="n">
        <v>53422</v>
      </c>
      <c r="P307" s="4" t="s">
        <v>46</v>
      </c>
      <c r="Q307" s="6" t="n">
        <v>212000</v>
      </c>
      <c r="R307" s="15" t="n">
        <v>38386</v>
      </c>
      <c r="S307" s="6"/>
      <c r="T307" s="15"/>
      <c r="U307" s="6"/>
      <c r="V307" s="15"/>
      <c r="W307" s="4" t="s">
        <v>47</v>
      </c>
      <c r="X307" s="4" t="s">
        <v>47</v>
      </c>
      <c r="Y307" s="4" t="s">
        <v>1281</v>
      </c>
      <c r="Z307" s="4" t="s">
        <v>987</v>
      </c>
      <c r="AA307" s="6" t="n">
        <v>0</v>
      </c>
      <c r="AB307" s="6" t="n">
        <v>7043.06</v>
      </c>
      <c r="AC307" s="6" t="n">
        <v>7528.47</v>
      </c>
      <c r="AD307" s="14" t="b">
        <f aca="false">FALSE()</f>
        <v>0</v>
      </c>
    </row>
    <row r="308" customFormat="false" ht="15" hidden="false" customHeight="false" outlineLevel="0" collapsed="false">
      <c r="A308" s="14" t="b">
        <f aca="false">TRUE()</f>
        <v>1</v>
      </c>
      <c r="B308" s="14" t="b">
        <f aca="false">FALSE()</f>
        <v>0</v>
      </c>
      <c r="C308" s="4" t="n">
        <v>3</v>
      </c>
      <c r="D308" s="4"/>
      <c r="E308" s="4"/>
      <c r="F308" s="4"/>
      <c r="G308" s="4"/>
      <c r="H308" s="14" t="b">
        <f aca="false">FALSE()</f>
        <v>0</v>
      </c>
      <c r="I308" s="14" t="b">
        <f aca="false">FALSE()</f>
        <v>0</v>
      </c>
      <c r="J308" s="4"/>
      <c r="K308" s="4" t="s">
        <v>1282</v>
      </c>
      <c r="L308" s="4" t="s">
        <v>1283</v>
      </c>
      <c r="M308" s="4" t="s">
        <v>1284</v>
      </c>
      <c r="N308" s="6" t="n">
        <v>35582</v>
      </c>
      <c r="O308" s="6" t="n">
        <v>38856</v>
      </c>
      <c r="P308" s="4" t="s">
        <v>46</v>
      </c>
      <c r="Q308" s="6" t="n">
        <v>115000</v>
      </c>
      <c r="R308" s="15" t="n">
        <v>34547</v>
      </c>
      <c r="S308" s="6" t="n">
        <v>113650</v>
      </c>
      <c r="T308" s="15" t="n">
        <v>34547</v>
      </c>
      <c r="U308" s="6" t="n">
        <v>12290</v>
      </c>
      <c r="V308" s="15" t="n">
        <v>36888</v>
      </c>
      <c r="W308" s="4" t="s">
        <v>47</v>
      </c>
      <c r="X308" s="4" t="s">
        <v>58</v>
      </c>
      <c r="Y308" s="4" t="s">
        <v>1285</v>
      </c>
      <c r="Z308" s="4" t="s">
        <v>987</v>
      </c>
      <c r="AA308" s="6" t="n">
        <v>0</v>
      </c>
      <c r="AB308" s="6" t="n">
        <v>4084.78</v>
      </c>
      <c r="AC308" s="6" t="n">
        <v>4370.51</v>
      </c>
      <c r="AD308" s="14" t="b">
        <f aca="false">FALSE()</f>
        <v>0</v>
      </c>
    </row>
    <row r="309" customFormat="false" ht="15" hidden="false" customHeight="false" outlineLevel="0" collapsed="false">
      <c r="A309" s="14" t="b">
        <f aca="false">TRUE()</f>
        <v>1</v>
      </c>
      <c r="B309" s="14" t="b">
        <f aca="false">FALSE()</f>
        <v>0</v>
      </c>
      <c r="C309" s="4" t="n">
        <v>2</v>
      </c>
      <c r="D309" s="4"/>
      <c r="E309" s="4"/>
      <c r="F309" s="4"/>
      <c r="G309" s="4"/>
      <c r="H309" s="14" t="b">
        <f aca="false">FALSE()</f>
        <v>0</v>
      </c>
      <c r="I309" s="14" t="b">
        <f aca="false">FALSE()</f>
        <v>0</v>
      </c>
      <c r="J309" s="4"/>
      <c r="K309" s="4" t="s">
        <v>1286</v>
      </c>
      <c r="L309" s="4" t="s">
        <v>1287</v>
      </c>
      <c r="M309" s="4" t="s">
        <v>1288</v>
      </c>
      <c r="N309" s="6" t="n">
        <v>56381</v>
      </c>
      <c r="O309" s="6" t="n">
        <v>108149</v>
      </c>
      <c r="P309" s="4" t="s">
        <v>46</v>
      </c>
      <c r="Q309" s="6" t="n">
        <v>403000</v>
      </c>
      <c r="R309" s="15" t="n">
        <v>43864</v>
      </c>
      <c r="S309" s="6" t="n">
        <v>223000</v>
      </c>
      <c r="T309" s="15" t="n">
        <v>43864</v>
      </c>
      <c r="U309" s="6"/>
      <c r="V309" s="15"/>
      <c r="W309" s="4" t="s">
        <v>47</v>
      </c>
      <c r="X309" s="4" t="s">
        <v>47</v>
      </c>
      <c r="Y309" s="4" t="s">
        <v>1289</v>
      </c>
      <c r="Z309" s="4" t="s">
        <v>987</v>
      </c>
      <c r="AA309" s="6" t="n">
        <v>0</v>
      </c>
      <c r="AB309" s="6" t="n">
        <v>13609.82</v>
      </c>
      <c r="AC309" s="6" t="n">
        <v>7121.13</v>
      </c>
      <c r="AD309" s="14" t="b">
        <f aca="false">TRUE()</f>
        <v>1</v>
      </c>
    </row>
    <row r="310" customFormat="false" ht="15" hidden="false" customHeight="false" outlineLevel="0" collapsed="false">
      <c r="A310" s="14" t="b">
        <f aca="false">TRUE()</f>
        <v>1</v>
      </c>
      <c r="B310" s="14" t="b">
        <f aca="false">FALSE()</f>
        <v>0</v>
      </c>
      <c r="C310" s="4" t="n">
        <v>3</v>
      </c>
      <c r="D310" s="4"/>
      <c r="E310" s="4"/>
      <c r="F310" s="4"/>
      <c r="G310" s="4"/>
      <c r="H310" s="14" t="b">
        <f aca="false">TRUE()</f>
        <v>1</v>
      </c>
      <c r="I310" s="14" t="b">
        <f aca="false">FALSE()</f>
        <v>0</v>
      </c>
      <c r="J310" s="4"/>
      <c r="K310" s="4" t="s">
        <v>1290</v>
      </c>
      <c r="L310" s="4" t="s">
        <v>1291</v>
      </c>
      <c r="M310" s="4" t="s">
        <v>1292</v>
      </c>
      <c r="N310" s="6" t="n">
        <v>5591</v>
      </c>
      <c r="O310" s="6" t="n">
        <v>32830</v>
      </c>
      <c r="P310" s="4" t="s">
        <v>46</v>
      </c>
      <c r="Q310" s="6" t="n">
        <v>80000</v>
      </c>
      <c r="R310" s="15" t="n">
        <v>43392</v>
      </c>
      <c r="S310" s="6" t="n">
        <v>149800</v>
      </c>
      <c r="T310" s="15" t="n">
        <v>43476</v>
      </c>
      <c r="U310" s="6"/>
      <c r="V310" s="15"/>
      <c r="W310" s="4" t="s">
        <v>47</v>
      </c>
      <c r="X310" s="4" t="s">
        <v>58</v>
      </c>
      <c r="Y310" s="4" t="s">
        <v>1293</v>
      </c>
      <c r="Z310" s="4" t="s">
        <v>987</v>
      </c>
      <c r="AA310" s="6" t="n">
        <v>0</v>
      </c>
      <c r="AB310" s="6" t="n">
        <v>3340.6</v>
      </c>
      <c r="AC310" s="6" t="n">
        <v>3576.09</v>
      </c>
      <c r="AD310" s="14" t="b">
        <f aca="false">FALSE()</f>
        <v>0</v>
      </c>
    </row>
    <row r="311" customFormat="false" ht="15" hidden="false" customHeight="false" outlineLevel="0" collapsed="false">
      <c r="A311" s="14" t="b">
        <f aca="false">TRUE()</f>
        <v>1</v>
      </c>
      <c r="B311" s="14" t="b">
        <f aca="false">FALSE()</f>
        <v>0</v>
      </c>
      <c r="C311" s="4" t="n">
        <v>2</v>
      </c>
      <c r="D311" s="4"/>
      <c r="E311" s="4"/>
      <c r="F311" s="4"/>
      <c r="G311" s="4"/>
      <c r="H311" s="14" t="b">
        <f aca="false">FALSE()</f>
        <v>0</v>
      </c>
      <c r="I311" s="14" t="b">
        <f aca="false">FALSE()</f>
        <v>0</v>
      </c>
      <c r="J311" s="4"/>
      <c r="K311" s="4" t="s">
        <v>1294</v>
      </c>
      <c r="L311" s="4" t="s">
        <v>1295</v>
      </c>
      <c r="M311" s="4" t="s">
        <v>1296</v>
      </c>
      <c r="N311" s="6" t="n">
        <v>60177</v>
      </c>
      <c r="O311" s="6" t="n">
        <v>73176</v>
      </c>
      <c r="P311" s="4" t="s">
        <v>46</v>
      </c>
      <c r="Q311" s="6" t="n">
        <v>300000</v>
      </c>
      <c r="R311" s="15" t="n">
        <v>44372</v>
      </c>
      <c r="S311" s="6" t="n">
        <v>285000</v>
      </c>
      <c r="T311" s="15" t="n">
        <v>44372</v>
      </c>
      <c r="U311" s="6"/>
      <c r="V311" s="15"/>
      <c r="W311" s="4" t="s">
        <v>47</v>
      </c>
      <c r="X311" s="4" t="s">
        <v>47</v>
      </c>
      <c r="Y311" s="4" t="s">
        <v>1297</v>
      </c>
      <c r="Z311" s="4" t="s">
        <v>1298</v>
      </c>
      <c r="AA311" s="6" t="n">
        <v>0</v>
      </c>
      <c r="AB311" s="6" t="n">
        <v>7298.56</v>
      </c>
      <c r="AC311" s="6" t="n">
        <v>3823.5</v>
      </c>
      <c r="AD311" s="14" t="b">
        <f aca="false">TRUE()</f>
        <v>1</v>
      </c>
    </row>
    <row r="312" customFormat="false" ht="15" hidden="false" customHeight="false" outlineLevel="0" collapsed="false">
      <c r="A312" s="14" t="b">
        <f aca="false">TRUE()</f>
        <v>1</v>
      </c>
      <c r="B312" s="14" t="b">
        <f aca="false">FALSE()</f>
        <v>0</v>
      </c>
      <c r="C312" s="4" t="n">
        <v>2</v>
      </c>
      <c r="D312" s="4"/>
      <c r="E312" s="4"/>
      <c r="F312" s="4"/>
      <c r="G312" s="4"/>
      <c r="H312" s="14" t="b">
        <f aca="false">TRUE()</f>
        <v>1</v>
      </c>
      <c r="I312" s="14" t="b">
        <f aca="false">FALSE()</f>
        <v>0</v>
      </c>
      <c r="J312" s="4"/>
      <c r="K312" s="4" t="s">
        <v>1299</v>
      </c>
      <c r="L312" s="4" t="s">
        <v>1300</v>
      </c>
      <c r="M312" s="4" t="s">
        <v>1301</v>
      </c>
      <c r="N312" s="6" t="n">
        <v>5994</v>
      </c>
      <c r="O312" s="6" t="n">
        <v>23953</v>
      </c>
      <c r="P312" s="4" t="s">
        <v>46</v>
      </c>
      <c r="Q312" s="6" t="n">
        <v>36000</v>
      </c>
      <c r="R312" s="15" t="n">
        <v>41437</v>
      </c>
      <c r="S312" s="6"/>
      <c r="T312" s="15"/>
      <c r="U312" s="6"/>
      <c r="V312" s="15"/>
      <c r="W312" s="4" t="s">
        <v>58</v>
      </c>
      <c r="X312" s="4" t="s">
        <v>58</v>
      </c>
      <c r="Y312" s="4" t="s">
        <v>1302</v>
      </c>
      <c r="Z312" s="4" t="s">
        <v>987</v>
      </c>
      <c r="AA312" s="6" t="n">
        <v>0</v>
      </c>
      <c r="AB312" s="6" t="n">
        <v>2183.92</v>
      </c>
      <c r="AC312" s="6" t="n">
        <v>1151.1</v>
      </c>
      <c r="AD312" s="14" t="b">
        <f aca="false">TRUE()</f>
        <v>1</v>
      </c>
    </row>
    <row r="313" customFormat="false" ht="15" hidden="false" customHeight="false" outlineLevel="0" collapsed="false">
      <c r="A313" s="14" t="b">
        <f aca="false">TRUE()</f>
        <v>1</v>
      </c>
      <c r="B313" s="14" t="b">
        <f aca="false">FALSE()</f>
        <v>0</v>
      </c>
      <c r="C313" s="4" t="n">
        <v>2</v>
      </c>
      <c r="D313" s="4"/>
      <c r="E313" s="4"/>
      <c r="F313" s="4"/>
      <c r="G313" s="4"/>
      <c r="H313" s="14" t="b">
        <f aca="false">TRUE()</f>
        <v>1</v>
      </c>
      <c r="I313" s="14" t="b">
        <f aca="false">FALSE()</f>
        <v>0</v>
      </c>
      <c r="J313" s="4"/>
      <c r="K313" s="4" t="s">
        <v>1303</v>
      </c>
      <c r="L313" s="4" t="s">
        <v>1304</v>
      </c>
      <c r="M313" s="4" t="s">
        <v>1305</v>
      </c>
      <c r="N313" s="6" t="n">
        <v>54695</v>
      </c>
      <c r="O313" s="6" t="n">
        <v>106942</v>
      </c>
      <c r="P313" s="4" t="s">
        <v>46</v>
      </c>
      <c r="Q313" s="6" t="n">
        <v>435000</v>
      </c>
      <c r="R313" s="15" t="n">
        <v>44729</v>
      </c>
      <c r="S313" s="6"/>
      <c r="T313" s="15"/>
      <c r="U313" s="6"/>
      <c r="V313" s="15"/>
      <c r="W313" s="4" t="s">
        <v>47</v>
      </c>
      <c r="X313" s="4" t="s">
        <v>47</v>
      </c>
      <c r="Y313" s="4" t="s">
        <v>1306</v>
      </c>
      <c r="Z313" s="4" t="s">
        <v>1298</v>
      </c>
      <c r="AA313" s="6" t="n">
        <v>0</v>
      </c>
      <c r="AB313" s="6" t="n">
        <v>9411.16</v>
      </c>
      <c r="AC313" s="6" t="n">
        <v>4927.33</v>
      </c>
      <c r="AD313" s="14" t="b">
        <f aca="false">TRUE()</f>
        <v>1</v>
      </c>
    </row>
    <row r="314" customFormat="false" ht="15" hidden="false" customHeight="false" outlineLevel="0" collapsed="false">
      <c r="A314" s="14" t="b">
        <f aca="false">TRUE()</f>
        <v>1</v>
      </c>
      <c r="B314" s="14" t="b">
        <f aca="false">FALSE()</f>
        <v>0</v>
      </c>
      <c r="C314" s="4" t="n">
        <v>2</v>
      </c>
      <c r="D314" s="4"/>
      <c r="E314" s="4"/>
      <c r="F314" s="4"/>
      <c r="G314" s="4" t="n">
        <v>2</v>
      </c>
      <c r="H314" s="14" t="b">
        <f aca="false">FALSE()</f>
        <v>0</v>
      </c>
      <c r="I314" s="14" t="b">
        <f aca="false">FALSE()</f>
        <v>0</v>
      </c>
      <c r="J314" s="4"/>
      <c r="K314" s="4" t="s">
        <v>1307</v>
      </c>
      <c r="L314" s="4" t="s">
        <v>1308</v>
      </c>
      <c r="M314" s="4" t="s">
        <v>1309</v>
      </c>
      <c r="N314" s="6" t="n">
        <v>52671</v>
      </c>
      <c r="O314" s="6" t="n">
        <v>70729</v>
      </c>
      <c r="P314" s="4" t="s">
        <v>46</v>
      </c>
      <c r="Q314" s="6"/>
      <c r="R314" s="15"/>
      <c r="S314" s="6"/>
      <c r="T314" s="15"/>
      <c r="U314" s="6"/>
      <c r="V314" s="15"/>
      <c r="W314" s="4" t="s">
        <v>47</v>
      </c>
      <c r="X314" s="4" t="s">
        <v>47</v>
      </c>
      <c r="Y314" s="4" t="s">
        <v>1310</v>
      </c>
      <c r="Z314" s="4" t="s">
        <v>1298</v>
      </c>
      <c r="AA314" s="6" t="n">
        <v>0</v>
      </c>
      <c r="AB314" s="6" t="n">
        <v>7067.1</v>
      </c>
      <c r="AC314" s="6" t="n">
        <v>7554.13</v>
      </c>
      <c r="AD314" s="14" t="b">
        <f aca="false">FALSE()</f>
        <v>0</v>
      </c>
    </row>
    <row r="315" customFormat="false" ht="15" hidden="false" customHeight="false" outlineLevel="0" collapsed="false">
      <c r="A315" s="14" t="b">
        <f aca="false">TRUE()</f>
        <v>1</v>
      </c>
      <c r="B315" s="14" t="b">
        <f aca="false">FALSE()</f>
        <v>0</v>
      </c>
      <c r="C315" s="4" t="n">
        <v>2</v>
      </c>
      <c r="D315" s="4"/>
      <c r="E315" s="4"/>
      <c r="F315" s="4"/>
      <c r="G315" s="4"/>
      <c r="H315" s="14" t="b">
        <f aca="false">TRUE()</f>
        <v>1</v>
      </c>
      <c r="I315" s="14" t="b">
        <f aca="false">FALSE()</f>
        <v>0</v>
      </c>
      <c r="J315" s="4"/>
      <c r="K315" s="4" t="s">
        <v>1311</v>
      </c>
      <c r="L315" s="4" t="s">
        <v>1312</v>
      </c>
      <c r="M315" s="4" t="s">
        <v>1313</v>
      </c>
      <c r="N315" s="6" t="n">
        <v>52671</v>
      </c>
      <c r="O315" s="6" t="n">
        <v>45840</v>
      </c>
      <c r="P315" s="4" t="s">
        <v>46</v>
      </c>
      <c r="Q315" s="6" t="n">
        <v>560000</v>
      </c>
      <c r="R315" s="15" t="n">
        <v>44999</v>
      </c>
      <c r="S315" s="6"/>
      <c r="T315" s="15"/>
      <c r="U315" s="6"/>
      <c r="V315" s="15"/>
      <c r="W315" s="4" t="s">
        <v>47</v>
      </c>
      <c r="X315" s="4" t="s">
        <v>47</v>
      </c>
      <c r="Y315" s="4" t="s">
        <v>1314</v>
      </c>
      <c r="Z315" s="4" t="s">
        <v>1298</v>
      </c>
      <c r="AA315" s="6" t="n">
        <v>0</v>
      </c>
      <c r="AB315" s="6" t="n">
        <v>6032.82</v>
      </c>
      <c r="AC315" s="6" t="n">
        <v>6450.04</v>
      </c>
      <c r="AD315" s="14" t="b">
        <f aca="false">FALSE()</f>
        <v>0</v>
      </c>
    </row>
    <row r="316" customFormat="false" ht="15" hidden="false" customHeight="false" outlineLevel="0" collapsed="false">
      <c r="A316" s="14" t="b">
        <f aca="false">TRUE()</f>
        <v>1</v>
      </c>
      <c r="B316" s="14" t="b">
        <f aca="false">FALSE()</f>
        <v>0</v>
      </c>
      <c r="C316" s="4" t="n">
        <v>3</v>
      </c>
      <c r="D316" s="4"/>
      <c r="E316" s="4"/>
      <c r="F316" s="4"/>
      <c r="G316" s="4"/>
      <c r="H316" s="14" t="b">
        <f aca="false">FALSE()</f>
        <v>0</v>
      </c>
      <c r="I316" s="14" t="b">
        <f aca="false">FALSE()</f>
        <v>0</v>
      </c>
      <c r="J316" s="4"/>
      <c r="K316" s="4" t="s">
        <v>1315</v>
      </c>
      <c r="L316" s="4" t="s">
        <v>1316</v>
      </c>
      <c r="M316" s="4" t="s">
        <v>1317</v>
      </c>
      <c r="N316" s="6" t="n">
        <v>52671</v>
      </c>
      <c r="O316" s="6" t="n">
        <v>104701</v>
      </c>
      <c r="P316" s="4" t="s">
        <v>46</v>
      </c>
      <c r="Q316" s="6" t="n">
        <v>380000</v>
      </c>
      <c r="R316" s="15" t="n">
        <v>45090</v>
      </c>
      <c r="S316" s="6" t="n">
        <v>304000</v>
      </c>
      <c r="T316" s="15" t="n">
        <v>45090</v>
      </c>
      <c r="U316" s="6"/>
      <c r="V316" s="15"/>
      <c r="W316" s="4" t="s">
        <v>47</v>
      </c>
      <c r="X316" s="4" t="s">
        <v>47</v>
      </c>
      <c r="Y316" s="4" t="s">
        <v>1318</v>
      </c>
      <c r="Z316" s="4" t="s">
        <v>1298</v>
      </c>
      <c r="AA316" s="6" t="n">
        <v>0</v>
      </c>
      <c r="AB316" s="6" t="n">
        <v>9147.54</v>
      </c>
      <c r="AC316" s="6" t="n">
        <v>9775</v>
      </c>
      <c r="AD316" s="14" t="b">
        <f aca="false">FALSE()</f>
        <v>0</v>
      </c>
    </row>
    <row r="317" customFormat="false" ht="15" hidden="false" customHeight="false" outlineLevel="0" collapsed="false">
      <c r="A317" s="14" t="b">
        <f aca="false">TRUE()</f>
        <v>1</v>
      </c>
      <c r="B317" s="14" t="b">
        <f aca="false">FALSE()</f>
        <v>0</v>
      </c>
      <c r="C317" s="4" t="n">
        <v>2</v>
      </c>
      <c r="D317" s="4"/>
      <c r="E317" s="4"/>
      <c r="F317" s="4"/>
      <c r="G317" s="4"/>
      <c r="H317" s="14" t="b">
        <f aca="false">FALSE()</f>
        <v>0</v>
      </c>
      <c r="I317" s="14" t="b">
        <f aca="false">FALSE()</f>
        <v>0</v>
      </c>
      <c r="J317" s="4"/>
      <c r="K317" s="4" t="s">
        <v>1319</v>
      </c>
      <c r="L317" s="4" t="s">
        <v>1320</v>
      </c>
      <c r="M317" s="4" t="s">
        <v>1321</v>
      </c>
      <c r="N317" s="6" t="n">
        <v>5678</v>
      </c>
      <c r="O317" s="6" t="n">
        <v>50746</v>
      </c>
      <c r="P317" s="4" t="s">
        <v>46</v>
      </c>
      <c r="Q317" s="6" t="n">
        <v>150000</v>
      </c>
      <c r="R317" s="15" t="n">
        <v>45128</v>
      </c>
      <c r="S317" s="6"/>
      <c r="T317" s="15"/>
      <c r="U317" s="6"/>
      <c r="V317" s="15"/>
      <c r="W317" s="4" t="s">
        <v>47</v>
      </c>
      <c r="X317" s="4" t="s">
        <v>47</v>
      </c>
      <c r="Y317" s="4" t="s">
        <v>1322</v>
      </c>
      <c r="Z317" s="4" t="s">
        <v>1298</v>
      </c>
      <c r="AA317" s="6" t="n">
        <v>0</v>
      </c>
      <c r="AB317" s="6" t="n">
        <v>2965.5</v>
      </c>
      <c r="AC317" s="6" t="n">
        <v>3175.67</v>
      </c>
      <c r="AD317" s="14" t="b">
        <f aca="false">FALSE()</f>
        <v>0</v>
      </c>
    </row>
    <row r="318" customFormat="false" ht="15" hidden="false" customHeight="false" outlineLevel="0" collapsed="false">
      <c r="A318" s="14" t="b">
        <f aca="false">TRUE()</f>
        <v>1</v>
      </c>
      <c r="B318" s="14" t="b">
        <f aca="false">FALSE()</f>
        <v>0</v>
      </c>
      <c r="C318" s="4" t="n">
        <v>3</v>
      </c>
      <c r="D318" s="4"/>
      <c r="E318" s="4"/>
      <c r="F318" s="4"/>
      <c r="G318" s="4"/>
      <c r="H318" s="14" t="b">
        <f aca="false">TRUE()</f>
        <v>1</v>
      </c>
      <c r="I318" s="14" t="b">
        <f aca="false">FALSE()</f>
        <v>0</v>
      </c>
      <c r="J318" s="4"/>
      <c r="K318" s="4" t="s">
        <v>1323</v>
      </c>
      <c r="L318" s="4" t="s">
        <v>1324</v>
      </c>
      <c r="M318" s="4" t="s">
        <v>1325</v>
      </c>
      <c r="N318" s="6" t="n">
        <v>157416</v>
      </c>
      <c r="O318" s="6" t="n">
        <v>236140</v>
      </c>
      <c r="P318" s="4" t="s">
        <v>46</v>
      </c>
      <c r="Q318" s="6"/>
      <c r="R318" s="15"/>
      <c r="S318" s="6" t="n">
        <v>765000</v>
      </c>
      <c r="T318" s="15" t="n">
        <v>42591</v>
      </c>
      <c r="U318" s="6"/>
      <c r="V318" s="15"/>
      <c r="W318" s="4" t="s">
        <v>58</v>
      </c>
      <c r="X318" s="4" t="s">
        <v>47</v>
      </c>
      <c r="Y318" s="4" t="s">
        <v>1326</v>
      </c>
      <c r="Z318" s="4" t="s">
        <v>987</v>
      </c>
      <c r="AA318" s="6" t="n">
        <v>0</v>
      </c>
      <c r="AB318" s="6" t="n">
        <v>28700.46</v>
      </c>
      <c r="AC318" s="6" t="n">
        <v>30647.74</v>
      </c>
      <c r="AD318" s="14" t="b">
        <f aca="false">FALSE()</f>
        <v>0</v>
      </c>
    </row>
    <row r="319" customFormat="false" ht="15" hidden="false" customHeight="false" outlineLevel="0" collapsed="false">
      <c r="A319" s="14" t="b">
        <f aca="false">TRUE()</f>
        <v>1</v>
      </c>
      <c r="B319" s="14" t="b">
        <f aca="false">FALSE()</f>
        <v>0</v>
      </c>
      <c r="C319" s="4" t="n">
        <v>2</v>
      </c>
      <c r="D319" s="4"/>
      <c r="E319" s="4"/>
      <c r="F319" s="4"/>
      <c r="G319" s="4"/>
      <c r="H319" s="14" t="b">
        <f aca="false">TRUE()</f>
        <v>1</v>
      </c>
      <c r="I319" s="14" t="b">
        <f aca="false">FALSE()</f>
        <v>0</v>
      </c>
      <c r="J319" s="4"/>
      <c r="K319" s="4" t="s">
        <v>1327</v>
      </c>
      <c r="L319" s="4" t="s">
        <v>1328</v>
      </c>
      <c r="M319" s="4" t="s">
        <v>1329</v>
      </c>
      <c r="N319" s="6" t="n">
        <v>64039</v>
      </c>
      <c r="O319" s="6" t="n">
        <v>147288</v>
      </c>
      <c r="P319" s="4" t="s">
        <v>46</v>
      </c>
      <c r="Q319" s="6" t="n">
        <v>1280000</v>
      </c>
      <c r="R319" s="15" t="n">
        <v>44887</v>
      </c>
      <c r="S319" s="6" t="n">
        <v>44000</v>
      </c>
      <c r="T319" s="15" t="n">
        <v>45078</v>
      </c>
      <c r="U319" s="6"/>
      <c r="V319" s="15"/>
      <c r="W319" s="4" t="s">
        <v>47</v>
      </c>
      <c r="X319" s="4" t="s">
        <v>47</v>
      </c>
      <c r="Y319" s="4" t="s">
        <v>1330</v>
      </c>
      <c r="Z319" s="4" t="s">
        <v>697</v>
      </c>
      <c r="AA319" s="6" t="n">
        <v>0</v>
      </c>
      <c r="AB319" s="6" t="n">
        <v>14330.68</v>
      </c>
      <c r="AC319" s="6" t="n">
        <v>7497.78</v>
      </c>
      <c r="AD319" s="14" t="b">
        <f aca="false">TRUE()</f>
        <v>1</v>
      </c>
    </row>
    <row r="320" customFormat="false" ht="15" hidden="false" customHeight="false" outlineLevel="0" collapsed="false">
      <c r="A320" s="14" t="b">
        <f aca="false">TRUE()</f>
        <v>1</v>
      </c>
      <c r="B320" s="14" t="b">
        <f aca="false">FALSE()</f>
        <v>0</v>
      </c>
      <c r="C320" s="4" t="n">
        <v>3</v>
      </c>
      <c r="D320" s="4"/>
      <c r="E320" s="4"/>
      <c r="F320" s="4"/>
      <c r="G320" s="4"/>
      <c r="H320" s="14" t="b">
        <f aca="false">FALSE()</f>
        <v>0</v>
      </c>
      <c r="I320" s="14" t="b">
        <f aca="false">FALSE()</f>
        <v>0</v>
      </c>
      <c r="J320" s="4"/>
      <c r="K320" s="4" t="s">
        <v>1331</v>
      </c>
      <c r="L320" s="4" t="s">
        <v>1332</v>
      </c>
      <c r="M320" s="4" t="s">
        <v>1333</v>
      </c>
      <c r="N320" s="6" t="n">
        <v>64039</v>
      </c>
      <c r="O320" s="6" t="n">
        <v>137509</v>
      </c>
      <c r="P320" s="4" t="s">
        <v>46</v>
      </c>
      <c r="Q320" s="6" t="n">
        <v>396000</v>
      </c>
      <c r="R320" s="15" t="n">
        <v>42880</v>
      </c>
      <c r="S320" s="6"/>
      <c r="T320" s="15"/>
      <c r="U320" s="6"/>
      <c r="V320" s="15"/>
      <c r="W320" s="4" t="s">
        <v>47</v>
      </c>
      <c r="X320" s="4" t="s">
        <v>47</v>
      </c>
      <c r="Y320" s="4" t="s">
        <v>1334</v>
      </c>
      <c r="Z320" s="4" t="s">
        <v>697</v>
      </c>
      <c r="AA320" s="6" t="n">
        <v>0</v>
      </c>
      <c r="AB320" s="6" t="n">
        <v>13641.46</v>
      </c>
      <c r="AC320" s="6" t="n">
        <v>14572.26</v>
      </c>
      <c r="AD320" s="14" t="b">
        <f aca="false">FALSE()</f>
        <v>0</v>
      </c>
    </row>
    <row r="321" customFormat="false" ht="15" hidden="false" customHeight="false" outlineLevel="0" collapsed="false">
      <c r="A321" s="14" t="b">
        <f aca="false">TRUE()</f>
        <v>1</v>
      </c>
      <c r="B321" s="14" t="b">
        <f aca="false">FALSE()</f>
        <v>0</v>
      </c>
      <c r="C321" s="4" t="n">
        <v>3</v>
      </c>
      <c r="D321" s="4"/>
      <c r="E321" s="4"/>
      <c r="F321" s="4"/>
      <c r="G321" s="4"/>
      <c r="H321" s="14" t="b">
        <f aca="false">FALSE()</f>
        <v>0</v>
      </c>
      <c r="I321" s="14" t="b">
        <f aca="false">FALSE()</f>
        <v>0</v>
      </c>
      <c r="J321" s="4"/>
      <c r="K321" s="4" t="s">
        <v>1335</v>
      </c>
      <c r="L321" s="4" t="s">
        <v>1336</v>
      </c>
      <c r="M321" s="4" t="s">
        <v>1337</v>
      </c>
      <c r="N321" s="6" t="n">
        <v>60841</v>
      </c>
      <c r="O321" s="6" t="n">
        <v>32329</v>
      </c>
      <c r="P321" s="4" t="s">
        <v>46</v>
      </c>
      <c r="Q321" s="6" t="n">
        <v>220000</v>
      </c>
      <c r="R321" s="15" t="n">
        <v>45456</v>
      </c>
      <c r="S321" s="6" t="n">
        <v>170000</v>
      </c>
      <c r="T321" s="15" t="n">
        <v>45456</v>
      </c>
      <c r="U321" s="6"/>
      <c r="V321" s="15"/>
      <c r="W321" s="4" t="s">
        <v>47</v>
      </c>
      <c r="X321" s="4" t="s">
        <v>58</v>
      </c>
      <c r="Y321" s="4" t="s">
        <v>1338</v>
      </c>
      <c r="Z321" s="4" t="s">
        <v>987</v>
      </c>
      <c r="AA321" s="6" t="n">
        <v>0</v>
      </c>
      <c r="AB321" s="6" t="n">
        <v>5494.42</v>
      </c>
      <c r="AC321" s="6" t="n">
        <v>5875.29</v>
      </c>
      <c r="AD321" s="14" t="b">
        <f aca="false">FALSE()</f>
        <v>0</v>
      </c>
    </row>
    <row r="322" customFormat="false" ht="15" hidden="false" customHeight="false" outlineLevel="0" collapsed="false">
      <c r="A322" s="14" t="b">
        <f aca="false">TRUE()</f>
        <v>1</v>
      </c>
      <c r="B322" s="14" t="b">
        <f aca="false">FALSE()</f>
        <v>0</v>
      </c>
      <c r="C322" s="4" t="n">
        <v>2</v>
      </c>
      <c r="D322" s="4"/>
      <c r="E322" s="4"/>
      <c r="F322" s="4"/>
      <c r="G322" s="4" t="n">
        <v>2</v>
      </c>
      <c r="H322" s="14" t="b">
        <f aca="false">FALSE()</f>
        <v>0</v>
      </c>
      <c r="I322" s="14" t="b">
        <f aca="false">FALSE()</f>
        <v>0</v>
      </c>
      <c r="J322" s="4"/>
      <c r="K322" s="4" t="s">
        <v>726</v>
      </c>
      <c r="L322" s="4" t="s">
        <v>1339</v>
      </c>
      <c r="M322" s="4" t="s">
        <v>1340</v>
      </c>
      <c r="N322" s="6" t="n">
        <v>37551</v>
      </c>
      <c r="O322" s="6" t="n">
        <v>48657</v>
      </c>
      <c r="P322" s="4" t="s">
        <v>46</v>
      </c>
      <c r="Q322" s="6" t="n">
        <v>187000</v>
      </c>
      <c r="R322" s="15" t="n">
        <v>37231</v>
      </c>
      <c r="S322" s="6"/>
      <c r="T322" s="15"/>
      <c r="U322" s="6"/>
      <c r="V322" s="15"/>
      <c r="W322" s="4" t="s">
        <v>47</v>
      </c>
      <c r="X322" s="4" t="s">
        <v>47</v>
      </c>
      <c r="Y322" s="4" t="s">
        <v>1341</v>
      </c>
      <c r="Z322" s="4" t="s">
        <v>697</v>
      </c>
      <c r="AA322" s="6" t="n">
        <v>0</v>
      </c>
      <c r="AB322" s="6" t="n">
        <v>5512.18</v>
      </c>
      <c r="AC322" s="6" t="n">
        <v>5894.25</v>
      </c>
      <c r="AD322" s="14" t="b">
        <f aca="false">FALSE()</f>
        <v>0</v>
      </c>
    </row>
    <row r="323" customFormat="false" ht="15" hidden="false" customHeight="false" outlineLevel="0" collapsed="false">
      <c r="A323" s="14" t="b">
        <f aca="false">TRUE()</f>
        <v>1</v>
      </c>
      <c r="B323" s="14" t="b">
        <f aca="false">FALSE()</f>
        <v>0</v>
      </c>
      <c r="C323" s="4" t="n">
        <v>3</v>
      </c>
      <c r="D323" s="4"/>
      <c r="E323" s="4"/>
      <c r="F323" s="4"/>
      <c r="G323" s="4" t="n">
        <v>2</v>
      </c>
      <c r="H323" s="14" t="b">
        <f aca="false">FALSE()</f>
        <v>0</v>
      </c>
      <c r="I323" s="14" t="b">
        <f aca="false">FALSE()</f>
        <v>0</v>
      </c>
      <c r="J323" s="4"/>
      <c r="K323" s="4" t="s">
        <v>1342</v>
      </c>
      <c r="L323" s="4" t="s">
        <v>1343</v>
      </c>
      <c r="M323" s="4" t="s">
        <v>1344</v>
      </c>
      <c r="N323" s="6" t="n">
        <v>37703</v>
      </c>
      <c r="O323" s="6" t="n">
        <v>47885</v>
      </c>
      <c r="P323" s="4" t="s">
        <v>46</v>
      </c>
      <c r="Q323" s="6" t="n">
        <v>101333.33</v>
      </c>
      <c r="R323" s="15" t="n">
        <v>44820</v>
      </c>
      <c r="S323" s="6" t="n">
        <v>288800</v>
      </c>
      <c r="T323" s="15" t="n">
        <v>44820</v>
      </c>
      <c r="U323" s="6"/>
      <c r="V323" s="15"/>
      <c r="W323" s="4" t="s">
        <v>47</v>
      </c>
      <c r="X323" s="4" t="s">
        <v>47</v>
      </c>
      <c r="Y323" s="4" t="s">
        <v>1345</v>
      </c>
      <c r="Z323" s="4" t="s">
        <v>697</v>
      </c>
      <c r="AA323" s="6" t="n">
        <v>0</v>
      </c>
      <c r="AB323" s="6" t="n">
        <v>5468.48</v>
      </c>
      <c r="AC323" s="6" t="n">
        <v>5847.6</v>
      </c>
      <c r="AD323" s="14" t="b">
        <f aca="false">FALSE()</f>
        <v>0</v>
      </c>
    </row>
    <row r="324" customFormat="false" ht="15" hidden="false" customHeight="false" outlineLevel="0" collapsed="false">
      <c r="A324" s="14" t="b">
        <f aca="false">TRUE()</f>
        <v>1</v>
      </c>
      <c r="B324" s="14" t="b">
        <f aca="false">FALSE()</f>
        <v>0</v>
      </c>
      <c r="C324" s="4" t="n">
        <v>2</v>
      </c>
      <c r="D324" s="4"/>
      <c r="E324" s="4"/>
      <c r="F324" s="4"/>
      <c r="G324" s="4" t="n">
        <v>2</v>
      </c>
      <c r="H324" s="14" t="b">
        <f aca="false">TRUE()</f>
        <v>1</v>
      </c>
      <c r="I324" s="14" t="b">
        <f aca="false">FALSE()</f>
        <v>0</v>
      </c>
      <c r="J324" s="4"/>
      <c r="K324" s="4" t="s">
        <v>1346</v>
      </c>
      <c r="L324" s="4" t="s">
        <v>1347</v>
      </c>
      <c r="M324" s="4" t="s">
        <v>1348</v>
      </c>
      <c r="N324" s="6" t="n">
        <v>37703</v>
      </c>
      <c r="O324" s="6" t="n">
        <v>48799</v>
      </c>
      <c r="P324" s="4" t="s">
        <v>46</v>
      </c>
      <c r="Q324" s="6" t="n">
        <v>122000</v>
      </c>
      <c r="R324" s="15" t="n">
        <v>40827</v>
      </c>
      <c r="S324" s="6"/>
      <c r="T324" s="15"/>
      <c r="U324" s="6"/>
      <c r="V324" s="15"/>
      <c r="W324" s="4" t="s">
        <v>47</v>
      </c>
      <c r="X324" s="4" t="s">
        <v>58</v>
      </c>
      <c r="Y324" s="4" t="s">
        <v>1349</v>
      </c>
      <c r="Z324" s="4" t="s">
        <v>697</v>
      </c>
      <c r="AA324" s="6" t="n">
        <v>0</v>
      </c>
      <c r="AB324" s="6" t="n">
        <v>5532.9</v>
      </c>
      <c r="AC324" s="6" t="n">
        <v>5916.37</v>
      </c>
      <c r="AD324" s="14" t="b">
        <f aca="false">FALSE()</f>
        <v>0</v>
      </c>
    </row>
    <row r="325" customFormat="false" ht="15" hidden="false" customHeight="false" outlineLevel="0" collapsed="false">
      <c r="A325" s="14" t="b">
        <f aca="false">TRUE()</f>
        <v>1</v>
      </c>
      <c r="B325" s="14" t="b">
        <f aca="false">FALSE()</f>
        <v>0</v>
      </c>
      <c r="C325" s="4" t="n">
        <v>2</v>
      </c>
      <c r="D325" s="4"/>
      <c r="E325" s="4"/>
      <c r="F325" s="4"/>
      <c r="G325" s="4"/>
      <c r="H325" s="14" t="b">
        <f aca="false">FALSE()</f>
        <v>0</v>
      </c>
      <c r="I325" s="14" t="b">
        <f aca="false">FALSE()</f>
        <v>0</v>
      </c>
      <c r="J325" s="4"/>
      <c r="K325" s="4" t="s">
        <v>255</v>
      </c>
      <c r="L325" s="4" t="s">
        <v>1350</v>
      </c>
      <c r="M325" s="4" t="s">
        <v>1351</v>
      </c>
      <c r="N325" s="6" t="n">
        <v>59187</v>
      </c>
      <c r="O325" s="6" t="n">
        <v>104635</v>
      </c>
      <c r="P325" s="4" t="s">
        <v>46</v>
      </c>
      <c r="Q325" s="6" t="n">
        <v>455000</v>
      </c>
      <c r="R325" s="15" t="n">
        <v>45525</v>
      </c>
      <c r="S325" s="6"/>
      <c r="T325" s="15"/>
      <c r="U325" s="6"/>
      <c r="V325" s="15"/>
      <c r="W325" s="4" t="s">
        <v>47</v>
      </c>
      <c r="X325" s="4" t="s">
        <v>47</v>
      </c>
      <c r="Y325" s="4" t="s">
        <v>1352</v>
      </c>
      <c r="Z325" s="4" t="s">
        <v>697</v>
      </c>
      <c r="AA325" s="6" t="n">
        <v>0</v>
      </c>
      <c r="AB325" s="6" t="n">
        <v>9433.88</v>
      </c>
      <c r="AC325" s="6" t="n">
        <v>4939.2</v>
      </c>
      <c r="AD325" s="14" t="b">
        <f aca="false">TRUE()</f>
        <v>1</v>
      </c>
    </row>
    <row r="326" customFormat="false" ht="15" hidden="false" customHeight="false" outlineLevel="0" collapsed="false">
      <c r="A326" s="14" t="b">
        <f aca="false">TRUE()</f>
        <v>1</v>
      </c>
      <c r="B326" s="14" t="b">
        <f aca="false">FALSE()</f>
        <v>0</v>
      </c>
      <c r="C326" s="4" t="n">
        <v>2</v>
      </c>
      <c r="D326" s="4"/>
      <c r="E326" s="4"/>
      <c r="F326" s="4"/>
      <c r="G326" s="4"/>
      <c r="H326" s="14" t="b">
        <f aca="false">FALSE()</f>
        <v>0</v>
      </c>
      <c r="I326" s="14" t="b">
        <f aca="false">FALSE()</f>
        <v>0</v>
      </c>
      <c r="J326" s="4"/>
      <c r="K326" s="4" t="s">
        <v>1353</v>
      </c>
      <c r="L326" s="4" t="s">
        <v>1354</v>
      </c>
      <c r="M326" s="4" t="s">
        <v>1355</v>
      </c>
      <c r="N326" s="6" t="n">
        <v>37551</v>
      </c>
      <c r="O326" s="6" t="n">
        <v>52562</v>
      </c>
      <c r="P326" s="4" t="s">
        <v>46</v>
      </c>
      <c r="Q326" s="6" t="n">
        <v>113500</v>
      </c>
      <c r="R326" s="15" t="n">
        <v>34444</v>
      </c>
      <c r="S326" s="6"/>
      <c r="T326" s="15"/>
      <c r="U326" s="6"/>
      <c r="V326" s="15"/>
      <c r="W326" s="4" t="s">
        <v>47</v>
      </c>
      <c r="X326" s="4" t="s">
        <v>47</v>
      </c>
      <c r="Y326" s="4" t="s">
        <v>1356</v>
      </c>
      <c r="Z326" s="4" t="s">
        <v>697</v>
      </c>
      <c r="AA326" s="6" t="n">
        <v>0</v>
      </c>
      <c r="AB326" s="6" t="n">
        <v>5787.42</v>
      </c>
      <c r="AC326" s="6" t="n">
        <v>6188.07</v>
      </c>
      <c r="AD326" s="14" t="b">
        <f aca="false">FALSE()</f>
        <v>0</v>
      </c>
    </row>
    <row r="327" customFormat="false" ht="15" hidden="false" customHeight="false" outlineLevel="0" collapsed="false">
      <c r="A327" s="14" t="b">
        <f aca="false">TRUE()</f>
        <v>1</v>
      </c>
      <c r="B327" s="14" t="b">
        <f aca="false">FALSE()</f>
        <v>0</v>
      </c>
      <c r="C327" s="4" t="n">
        <v>2</v>
      </c>
      <c r="D327" s="4"/>
      <c r="E327" s="4"/>
      <c r="F327" s="4"/>
      <c r="G327" s="4"/>
      <c r="H327" s="14" t="b">
        <f aca="false">FALSE()</f>
        <v>0</v>
      </c>
      <c r="I327" s="14" t="b">
        <f aca="false">FALSE()</f>
        <v>0</v>
      </c>
      <c r="J327" s="4"/>
      <c r="K327" s="4" t="s">
        <v>380</v>
      </c>
      <c r="L327" s="4" t="s">
        <v>1357</v>
      </c>
      <c r="M327" s="4" t="s">
        <v>1358</v>
      </c>
      <c r="N327" s="6" t="n">
        <v>43240</v>
      </c>
      <c r="O327" s="6" t="n">
        <v>64844</v>
      </c>
      <c r="P327" s="4" t="s">
        <v>46</v>
      </c>
      <c r="Q327" s="6"/>
      <c r="R327" s="15"/>
      <c r="S327" s="6"/>
      <c r="T327" s="15"/>
      <c r="U327" s="6"/>
      <c r="V327" s="15"/>
      <c r="W327" s="4" t="s">
        <v>47</v>
      </c>
      <c r="X327" s="4" t="s">
        <v>47</v>
      </c>
      <c r="Y327" s="4" t="s">
        <v>1359</v>
      </c>
      <c r="Z327" s="4" t="s">
        <v>697</v>
      </c>
      <c r="AA327" s="6" t="n">
        <v>0</v>
      </c>
      <c r="AB327" s="6" t="n">
        <v>7617.88</v>
      </c>
      <c r="AC327" s="6" t="n">
        <v>3990.34</v>
      </c>
      <c r="AD327" s="14" t="b">
        <f aca="false">TRUE()</f>
        <v>1</v>
      </c>
    </row>
    <row r="328" customFormat="false" ht="15" hidden="false" customHeight="false" outlineLevel="0" collapsed="false">
      <c r="A328" s="14" t="b">
        <f aca="false">TRUE()</f>
        <v>1</v>
      </c>
      <c r="B328" s="14" t="b">
        <f aca="false">FALSE()</f>
        <v>0</v>
      </c>
      <c r="C328" s="4" t="n">
        <v>3</v>
      </c>
      <c r="D328" s="4"/>
      <c r="E328" s="4"/>
      <c r="F328" s="4"/>
      <c r="G328" s="4" t="n">
        <v>2</v>
      </c>
      <c r="H328" s="14" t="b">
        <f aca="false">FALSE()</f>
        <v>0</v>
      </c>
      <c r="I328" s="14" t="b">
        <f aca="false">FALSE()</f>
        <v>0</v>
      </c>
      <c r="J328" s="4"/>
      <c r="K328" s="4" t="s">
        <v>1360</v>
      </c>
      <c r="L328" s="4" t="s">
        <v>1361</v>
      </c>
      <c r="M328" s="4" t="s">
        <v>1362</v>
      </c>
      <c r="N328" s="6" t="n">
        <v>37551</v>
      </c>
      <c r="O328" s="6" t="n">
        <v>59024</v>
      </c>
      <c r="P328" s="4" t="s">
        <v>46</v>
      </c>
      <c r="Q328" s="6"/>
      <c r="R328" s="15" t="n">
        <v>40499</v>
      </c>
      <c r="S328" s="6" t="n">
        <v>176000</v>
      </c>
      <c r="T328" s="15" t="n">
        <v>44357</v>
      </c>
      <c r="U328" s="6"/>
      <c r="V328" s="15"/>
      <c r="W328" s="4" t="s">
        <v>47</v>
      </c>
      <c r="X328" s="4" t="s">
        <v>47</v>
      </c>
      <c r="Y328" s="4" t="s">
        <v>1363</v>
      </c>
      <c r="Z328" s="4" t="s">
        <v>697</v>
      </c>
      <c r="AA328" s="6" t="n">
        <v>0</v>
      </c>
      <c r="AB328" s="6" t="n">
        <v>6242.88</v>
      </c>
      <c r="AC328" s="6" t="n">
        <v>6674.27</v>
      </c>
      <c r="AD328" s="14" t="b">
        <f aca="false">FALSE()</f>
        <v>0</v>
      </c>
    </row>
    <row r="329" customFormat="false" ht="15" hidden="false" customHeight="false" outlineLevel="0" collapsed="false">
      <c r="A329" s="14" t="b">
        <f aca="false">TRUE()</f>
        <v>1</v>
      </c>
      <c r="B329" s="14" t="b">
        <f aca="false">FALSE()</f>
        <v>0</v>
      </c>
      <c r="C329" s="4" t="n">
        <v>3</v>
      </c>
      <c r="D329" s="4"/>
      <c r="E329" s="4"/>
      <c r="F329" s="4"/>
      <c r="G329" s="4" t="n">
        <v>2</v>
      </c>
      <c r="H329" s="14" t="b">
        <f aca="false">FALSE()</f>
        <v>0</v>
      </c>
      <c r="I329" s="14" t="b">
        <f aca="false">FALSE()</f>
        <v>0</v>
      </c>
      <c r="J329" s="4"/>
      <c r="K329" s="4" t="s">
        <v>1364</v>
      </c>
      <c r="L329" s="4" t="s">
        <v>1365</v>
      </c>
      <c r="M329" s="4" t="s">
        <v>1366</v>
      </c>
      <c r="N329" s="6" t="n">
        <v>42250</v>
      </c>
      <c r="O329" s="6" t="n">
        <v>52269</v>
      </c>
      <c r="P329" s="4" t="s">
        <v>46</v>
      </c>
      <c r="Q329" s="6" t="n">
        <v>132000</v>
      </c>
      <c r="R329" s="15" t="n">
        <v>35746</v>
      </c>
      <c r="S329" s="6" t="n">
        <v>136000</v>
      </c>
      <c r="T329" s="15" t="n">
        <v>38161</v>
      </c>
      <c r="U329" s="6"/>
      <c r="V329" s="15"/>
      <c r="W329" s="4" t="s">
        <v>47</v>
      </c>
      <c r="X329" s="4" t="s">
        <v>47</v>
      </c>
      <c r="Y329" s="4" t="s">
        <v>1367</v>
      </c>
      <c r="Z329" s="4" t="s">
        <v>697</v>
      </c>
      <c r="AA329" s="6" t="n">
        <v>0</v>
      </c>
      <c r="AB329" s="6" t="n">
        <v>6097.96</v>
      </c>
      <c r="AC329" s="6" t="n">
        <v>6519.57</v>
      </c>
      <c r="AD329" s="14" t="b">
        <f aca="false">FALSE()</f>
        <v>0</v>
      </c>
    </row>
    <row r="330" customFormat="false" ht="15" hidden="false" customHeight="false" outlineLevel="0" collapsed="false">
      <c r="A330" s="14" t="b">
        <f aca="false">TRUE()</f>
        <v>1</v>
      </c>
      <c r="B330" s="14" t="b">
        <f aca="false">FALSE()</f>
        <v>0</v>
      </c>
      <c r="C330" s="4" t="n">
        <v>2</v>
      </c>
      <c r="D330" s="4"/>
      <c r="E330" s="4"/>
      <c r="F330" s="4"/>
      <c r="G330" s="4"/>
      <c r="H330" s="14" t="b">
        <f aca="false">FALSE()</f>
        <v>0</v>
      </c>
      <c r="I330" s="14" t="b">
        <f aca="false">FALSE()</f>
        <v>0</v>
      </c>
      <c r="J330" s="4"/>
      <c r="K330" s="4" t="s">
        <v>1368</v>
      </c>
      <c r="L330" s="4" t="s">
        <v>1369</v>
      </c>
      <c r="M330" s="4" t="s">
        <v>1370</v>
      </c>
      <c r="N330" s="6" t="n">
        <v>38878</v>
      </c>
      <c r="O330" s="6" t="n">
        <v>76255</v>
      </c>
      <c r="P330" s="4" t="s">
        <v>46</v>
      </c>
      <c r="Q330" s="6"/>
      <c r="R330" s="15" t="n">
        <v>37061</v>
      </c>
      <c r="S330" s="6" t="n">
        <v>375000</v>
      </c>
      <c r="T330" s="15" t="n">
        <v>43000</v>
      </c>
      <c r="U330" s="6"/>
      <c r="V330" s="15"/>
      <c r="W330" s="4" t="s">
        <v>47</v>
      </c>
      <c r="X330" s="4" t="s">
        <v>47</v>
      </c>
      <c r="Y330" s="4" t="s">
        <v>1371</v>
      </c>
      <c r="Z330" s="4" t="s">
        <v>697</v>
      </c>
      <c r="AA330" s="6" t="n">
        <v>0</v>
      </c>
      <c r="AB330" s="6" t="n">
        <v>7550.86</v>
      </c>
      <c r="AC330" s="6" t="n">
        <v>3955.32</v>
      </c>
      <c r="AD330" s="14" t="b">
        <f aca="false">TRUE()</f>
        <v>1</v>
      </c>
    </row>
    <row r="331" customFormat="false" ht="15" hidden="false" customHeight="false" outlineLevel="0" collapsed="false">
      <c r="A331" s="14" t="b">
        <f aca="false">TRUE()</f>
        <v>1</v>
      </c>
      <c r="B331" s="14" t="b">
        <f aca="false">FALSE()</f>
        <v>0</v>
      </c>
      <c r="C331" s="4" t="n">
        <v>2</v>
      </c>
      <c r="D331" s="4"/>
      <c r="E331" s="4"/>
      <c r="F331" s="4"/>
      <c r="G331" s="4" t="n">
        <v>3</v>
      </c>
      <c r="H331" s="14" t="b">
        <f aca="false">TRUE()</f>
        <v>1</v>
      </c>
      <c r="I331" s="14" t="b">
        <f aca="false">FALSE()</f>
        <v>0</v>
      </c>
      <c r="J331" s="4"/>
      <c r="K331" s="4" t="s">
        <v>1372</v>
      </c>
      <c r="L331" s="4" t="s">
        <v>1373</v>
      </c>
      <c r="M331" s="4" t="s">
        <v>1374</v>
      </c>
      <c r="N331" s="6" t="n">
        <v>50757</v>
      </c>
      <c r="O331" s="6" t="n">
        <v>80356</v>
      </c>
      <c r="P331" s="4" t="s">
        <v>46</v>
      </c>
      <c r="Q331" s="6"/>
      <c r="R331" s="15"/>
      <c r="S331" s="6"/>
      <c r="T331" s="15"/>
      <c r="U331" s="6"/>
      <c r="V331" s="15"/>
      <c r="W331" s="4" t="s">
        <v>47</v>
      </c>
      <c r="X331" s="4" t="s">
        <v>47</v>
      </c>
      <c r="Y331" s="4" t="s">
        <v>1375</v>
      </c>
      <c r="Z331" s="4" t="s">
        <v>697</v>
      </c>
      <c r="AA331" s="6" t="n">
        <v>0</v>
      </c>
      <c r="AB331" s="6" t="n">
        <v>8113.28</v>
      </c>
      <c r="AC331" s="6" t="n">
        <v>8670.93</v>
      </c>
      <c r="AD331" s="14" t="b">
        <f aca="false">FALSE()</f>
        <v>0</v>
      </c>
    </row>
    <row r="332" customFormat="false" ht="15" hidden="false" customHeight="false" outlineLevel="0" collapsed="false">
      <c r="A332" s="14" t="b">
        <f aca="false">TRUE()</f>
        <v>1</v>
      </c>
      <c r="B332" s="14" t="b">
        <f aca="false">FALSE()</f>
        <v>0</v>
      </c>
      <c r="C332" s="4" t="n">
        <v>2</v>
      </c>
      <c r="D332" s="4"/>
      <c r="E332" s="4"/>
      <c r="F332" s="4"/>
      <c r="G332" s="4"/>
      <c r="H332" s="14" t="b">
        <f aca="false">FALSE()</f>
        <v>0</v>
      </c>
      <c r="I332" s="14" t="b">
        <f aca="false">FALSE()</f>
        <v>0</v>
      </c>
      <c r="J332" s="4"/>
      <c r="K332" s="4" t="s">
        <v>1376</v>
      </c>
      <c r="L332" s="4" t="s">
        <v>1377</v>
      </c>
      <c r="M332" s="4" t="s">
        <v>1378</v>
      </c>
      <c r="N332" s="6" t="n">
        <v>7234</v>
      </c>
      <c r="O332" s="6" t="n">
        <v>63147</v>
      </c>
      <c r="P332" s="4" t="s">
        <v>46</v>
      </c>
      <c r="Q332" s="6" t="n">
        <v>212000</v>
      </c>
      <c r="R332" s="15" t="n">
        <v>38624</v>
      </c>
      <c r="S332" s="6"/>
      <c r="T332" s="15"/>
      <c r="U332" s="6"/>
      <c r="V332" s="15"/>
      <c r="W332" s="4" t="s">
        <v>47</v>
      </c>
      <c r="X332" s="4" t="s">
        <v>47</v>
      </c>
      <c r="Y332" s="4" t="s">
        <v>1379</v>
      </c>
      <c r="Z332" s="4" t="s">
        <v>697</v>
      </c>
      <c r="AA332" s="6" t="n">
        <v>0</v>
      </c>
      <c r="AB332" s="6" t="n">
        <v>4960.52</v>
      </c>
      <c r="AC332" s="6" t="n">
        <v>5305.35</v>
      </c>
      <c r="AD332" s="14" t="b">
        <f aca="false">FALSE()</f>
        <v>0</v>
      </c>
    </row>
    <row r="333" customFormat="false" ht="15" hidden="false" customHeight="false" outlineLevel="0" collapsed="false">
      <c r="A333" s="14" t="b">
        <f aca="false">TRUE()</f>
        <v>1</v>
      </c>
      <c r="B333" s="14" t="b">
        <f aca="false">FALSE()</f>
        <v>0</v>
      </c>
      <c r="C333" s="4" t="n">
        <v>3</v>
      </c>
      <c r="D333" s="4"/>
      <c r="E333" s="4"/>
      <c r="F333" s="4"/>
      <c r="G333" s="4" t="n">
        <v>2</v>
      </c>
      <c r="H333" s="14" t="b">
        <f aca="false">TRUE()</f>
        <v>1</v>
      </c>
      <c r="I333" s="14" t="b">
        <f aca="false">FALSE()</f>
        <v>0</v>
      </c>
      <c r="J333" s="4"/>
      <c r="K333" s="4" t="s">
        <v>1380</v>
      </c>
      <c r="L333" s="4" t="s">
        <v>1381</v>
      </c>
      <c r="M333" s="4" t="s">
        <v>1382</v>
      </c>
      <c r="N333" s="6" t="n">
        <v>42424</v>
      </c>
      <c r="O333" s="6" t="n">
        <v>75700</v>
      </c>
      <c r="P333" s="4" t="s">
        <v>46</v>
      </c>
      <c r="Q333" s="6" t="n">
        <v>135000</v>
      </c>
      <c r="R333" s="15" t="n">
        <v>41474</v>
      </c>
      <c r="S333" s="6" t="n">
        <v>160000</v>
      </c>
      <c r="T333" s="15" t="n">
        <v>44812</v>
      </c>
      <c r="U333" s="6" t="n">
        <v>650</v>
      </c>
      <c r="V333" s="15" t="n">
        <v>41474</v>
      </c>
      <c r="W333" s="4" t="s">
        <v>58</v>
      </c>
      <c r="X333" s="4" t="s">
        <v>58</v>
      </c>
      <c r="Y333" s="4" t="s">
        <v>1383</v>
      </c>
      <c r="Z333" s="4" t="s">
        <v>697</v>
      </c>
      <c r="AA333" s="6" t="n">
        <v>0</v>
      </c>
      <c r="AB333" s="6" t="n">
        <v>7761.66</v>
      </c>
      <c r="AC333" s="6" t="n">
        <v>8295.57</v>
      </c>
      <c r="AD333" s="14" t="b">
        <f aca="false">FALSE()</f>
        <v>0</v>
      </c>
    </row>
    <row r="334" customFormat="false" ht="15" hidden="false" customHeight="false" outlineLevel="0" collapsed="false">
      <c r="A334" s="14" t="b">
        <f aca="false">TRUE()</f>
        <v>1</v>
      </c>
      <c r="B334" s="14" t="b">
        <f aca="false">FALSE()</f>
        <v>0</v>
      </c>
      <c r="C334" s="4" t="n">
        <v>2</v>
      </c>
      <c r="D334" s="4"/>
      <c r="E334" s="4"/>
      <c r="F334" s="4"/>
      <c r="G334" s="4" t="n">
        <v>2</v>
      </c>
      <c r="H334" s="14" t="b">
        <f aca="false">TRUE()</f>
        <v>1</v>
      </c>
      <c r="I334" s="14" t="b">
        <f aca="false">FALSE()</f>
        <v>0</v>
      </c>
      <c r="J334" s="4"/>
      <c r="K334" s="4" t="s">
        <v>1384</v>
      </c>
      <c r="L334" s="4" t="s">
        <v>1385</v>
      </c>
      <c r="M334" s="4" t="s">
        <v>1386</v>
      </c>
      <c r="N334" s="6" t="n">
        <v>42424</v>
      </c>
      <c r="O334" s="6" t="n">
        <v>61026</v>
      </c>
      <c r="P334" s="4" t="s">
        <v>46</v>
      </c>
      <c r="Q334" s="6" t="n">
        <v>153000</v>
      </c>
      <c r="R334" s="15" t="n">
        <v>36336</v>
      </c>
      <c r="S334" s="6"/>
      <c r="T334" s="15"/>
      <c r="U334" s="6"/>
      <c r="V334" s="15"/>
      <c r="W334" s="4" t="s">
        <v>47</v>
      </c>
      <c r="X334" s="4" t="s">
        <v>58</v>
      </c>
      <c r="Y334" s="4" t="s">
        <v>1387</v>
      </c>
      <c r="Z334" s="4" t="s">
        <v>697</v>
      </c>
      <c r="AA334" s="6" t="n">
        <v>0</v>
      </c>
      <c r="AB334" s="6" t="n">
        <v>6727.42</v>
      </c>
      <c r="AC334" s="6" t="n">
        <v>7191.52</v>
      </c>
      <c r="AD334" s="14" t="b">
        <f aca="false">FALSE()</f>
        <v>0</v>
      </c>
    </row>
    <row r="335" customFormat="false" ht="15" hidden="false" customHeight="false" outlineLevel="0" collapsed="false">
      <c r="A335" s="14" t="b">
        <f aca="false">TRUE()</f>
        <v>1</v>
      </c>
      <c r="B335" s="14" t="b">
        <f aca="false">FALSE()</f>
        <v>0</v>
      </c>
      <c r="C335" s="4" t="n">
        <v>2</v>
      </c>
      <c r="D335" s="4"/>
      <c r="E335" s="4"/>
      <c r="F335" s="4"/>
      <c r="G335" s="4"/>
      <c r="H335" s="14" t="b">
        <f aca="false">FALSE()</f>
        <v>0</v>
      </c>
      <c r="I335" s="14" t="b">
        <f aca="false">FALSE()</f>
        <v>0</v>
      </c>
      <c r="J335" s="4"/>
      <c r="K335" s="4" t="s">
        <v>1388</v>
      </c>
      <c r="L335" s="4" t="s">
        <v>1389</v>
      </c>
      <c r="M335" s="4" t="s">
        <v>1390</v>
      </c>
      <c r="N335" s="6" t="n">
        <v>6016</v>
      </c>
      <c r="O335" s="6" t="n">
        <v>34081</v>
      </c>
      <c r="P335" s="4" t="s">
        <v>46</v>
      </c>
      <c r="Q335" s="6" t="n">
        <v>52000</v>
      </c>
      <c r="R335" s="15" t="n">
        <v>41586</v>
      </c>
      <c r="S335" s="6"/>
      <c r="T335" s="15"/>
      <c r="U335" s="6"/>
      <c r="V335" s="15"/>
      <c r="W335" s="4" t="s">
        <v>47</v>
      </c>
      <c r="X335" s="4" t="s">
        <v>47</v>
      </c>
      <c r="Y335" s="4" t="s">
        <v>1391</v>
      </c>
      <c r="Z335" s="4" t="s">
        <v>697</v>
      </c>
      <c r="AA335" s="6" t="n">
        <v>0</v>
      </c>
      <c r="AB335" s="6" t="n">
        <v>1698.4</v>
      </c>
      <c r="AC335" s="6" t="n">
        <v>897.41</v>
      </c>
      <c r="AD335" s="14" t="b">
        <f aca="false">TRUE()</f>
        <v>1</v>
      </c>
    </row>
    <row r="336" customFormat="false" ht="15" hidden="false" customHeight="false" outlineLevel="0" collapsed="false">
      <c r="A336" s="14" t="b">
        <f aca="false">TRUE()</f>
        <v>1</v>
      </c>
      <c r="B336" s="14" t="b">
        <f aca="false">FALSE()</f>
        <v>0</v>
      </c>
      <c r="C336" s="4" t="n">
        <v>2</v>
      </c>
      <c r="D336" s="4"/>
      <c r="E336" s="4"/>
      <c r="F336" s="4"/>
      <c r="G336" s="4"/>
      <c r="H336" s="14" t="b">
        <f aca="false">TRUE()</f>
        <v>1</v>
      </c>
      <c r="I336" s="14" t="b">
        <f aca="false">FALSE()</f>
        <v>0</v>
      </c>
      <c r="J336" s="4"/>
      <c r="K336" s="4" t="s">
        <v>1392</v>
      </c>
      <c r="L336" s="4" t="s">
        <v>1393</v>
      </c>
      <c r="M336" s="4" t="s">
        <v>1394</v>
      </c>
      <c r="N336" s="6" t="n">
        <v>41238</v>
      </c>
      <c r="O336" s="6" t="n">
        <v>52541</v>
      </c>
      <c r="P336" s="4" t="s">
        <v>46</v>
      </c>
      <c r="Q336" s="6" t="n">
        <v>185000</v>
      </c>
      <c r="R336" s="15" t="n">
        <v>45376</v>
      </c>
      <c r="S336" s="6"/>
      <c r="T336" s="15"/>
      <c r="U336" s="6"/>
      <c r="V336" s="15"/>
      <c r="W336" s="4" t="s">
        <v>47</v>
      </c>
      <c r="X336" s="4" t="s">
        <v>47</v>
      </c>
      <c r="Y336" s="4" t="s">
        <v>1395</v>
      </c>
      <c r="Z336" s="4" t="s">
        <v>697</v>
      </c>
      <c r="AA336" s="6" t="n">
        <v>0</v>
      </c>
      <c r="AB336" s="6" t="n">
        <v>4869.68</v>
      </c>
      <c r="AC336" s="6" t="n">
        <v>5208.39</v>
      </c>
      <c r="AD336" s="14" t="b">
        <f aca="false">FALSE()</f>
        <v>0</v>
      </c>
    </row>
    <row r="337" customFormat="false" ht="15" hidden="false" customHeight="false" outlineLevel="0" collapsed="false">
      <c r="A337" s="14" t="b">
        <f aca="false">TRUE()</f>
        <v>1</v>
      </c>
      <c r="B337" s="14" t="b">
        <f aca="false">FALSE()</f>
        <v>0</v>
      </c>
      <c r="C337" s="4" t="n">
        <v>3</v>
      </c>
      <c r="D337" s="4"/>
      <c r="E337" s="4"/>
      <c r="F337" s="4"/>
      <c r="G337" s="4"/>
      <c r="H337" s="14" t="b">
        <f aca="false">FALSE()</f>
        <v>0</v>
      </c>
      <c r="I337" s="14" t="b">
        <f aca="false">FALSE()</f>
        <v>0</v>
      </c>
      <c r="J337" s="4"/>
      <c r="K337" s="4" t="s">
        <v>1396</v>
      </c>
      <c r="L337" s="4" t="s">
        <v>1397</v>
      </c>
      <c r="M337" s="4" t="s">
        <v>1398</v>
      </c>
      <c r="N337" s="6" t="n">
        <v>42664</v>
      </c>
      <c r="O337" s="6" t="n">
        <v>72295</v>
      </c>
      <c r="P337" s="4" t="s">
        <v>46</v>
      </c>
      <c r="Q337" s="6" t="n">
        <v>180000</v>
      </c>
      <c r="R337" s="15" t="n">
        <v>41089</v>
      </c>
      <c r="S337" s="6" t="n">
        <v>100000</v>
      </c>
      <c r="T337" s="15" t="n">
        <v>43847</v>
      </c>
      <c r="U337" s="6"/>
      <c r="V337" s="15"/>
      <c r="W337" s="4" t="s">
        <v>47</v>
      </c>
      <c r="X337" s="4" t="s">
        <v>47</v>
      </c>
      <c r="Y337" s="4" t="s">
        <v>1399</v>
      </c>
      <c r="Z337" s="4" t="s">
        <v>697</v>
      </c>
      <c r="AA337" s="6" t="n">
        <v>0</v>
      </c>
      <c r="AB337" s="6" t="n">
        <v>3648.82</v>
      </c>
      <c r="AC337" s="6" t="n">
        <v>3905.12</v>
      </c>
      <c r="AD337" s="14" t="b">
        <f aca="false">FALSE()</f>
        <v>0</v>
      </c>
    </row>
    <row r="338" customFormat="false" ht="15" hidden="false" customHeight="false" outlineLevel="0" collapsed="false">
      <c r="A338" s="14" t="b">
        <f aca="false">TRUE()</f>
        <v>1</v>
      </c>
      <c r="B338" s="14" t="b">
        <f aca="false">FALSE()</f>
        <v>0</v>
      </c>
      <c r="C338" s="4" t="n">
        <v>2</v>
      </c>
      <c r="D338" s="4"/>
      <c r="E338" s="4"/>
      <c r="F338" s="4"/>
      <c r="G338" s="4"/>
      <c r="H338" s="14" t="b">
        <f aca="false">FALSE()</f>
        <v>0</v>
      </c>
      <c r="I338" s="14" t="b">
        <f aca="false">FALSE()</f>
        <v>0</v>
      </c>
      <c r="J338" s="4"/>
      <c r="K338" s="4" t="s">
        <v>1400</v>
      </c>
      <c r="L338" s="4" t="s">
        <v>1401</v>
      </c>
      <c r="M338" s="4" t="s">
        <v>1402</v>
      </c>
      <c r="N338" s="6" t="n">
        <v>21277</v>
      </c>
      <c r="O338" s="6" t="n">
        <v>71871</v>
      </c>
      <c r="P338" s="4" t="s">
        <v>46</v>
      </c>
      <c r="Q338" s="6" t="n">
        <v>5500</v>
      </c>
      <c r="R338" s="15" t="n">
        <v>37533</v>
      </c>
      <c r="S338" s="6" t="n">
        <v>94100</v>
      </c>
      <c r="T338" s="15" t="n">
        <v>37826</v>
      </c>
      <c r="U338" s="6"/>
      <c r="V338" s="15"/>
      <c r="W338" s="4" t="s">
        <v>47</v>
      </c>
      <c r="X338" s="4" t="s">
        <v>58</v>
      </c>
      <c r="Y338" s="4" t="s">
        <v>1403</v>
      </c>
      <c r="Z338" s="4" t="s">
        <v>910</v>
      </c>
      <c r="AA338" s="6" t="n">
        <v>0</v>
      </c>
      <c r="AB338" s="6" t="n">
        <v>4810.36</v>
      </c>
      <c r="AC338" s="6" t="n">
        <v>2523.41</v>
      </c>
      <c r="AD338" s="14" t="b">
        <f aca="false">TRUE()</f>
        <v>1</v>
      </c>
    </row>
    <row r="339" customFormat="false" ht="15" hidden="false" customHeight="false" outlineLevel="0" collapsed="false">
      <c r="A339" s="14" t="b">
        <f aca="false">TRUE()</f>
        <v>1</v>
      </c>
      <c r="B339" s="14" t="b">
        <f aca="false">FALSE()</f>
        <v>0</v>
      </c>
      <c r="C339" s="4" t="n">
        <v>2</v>
      </c>
      <c r="D339" s="4"/>
      <c r="E339" s="4"/>
      <c r="F339" s="4"/>
      <c r="G339" s="4" t="n">
        <v>2</v>
      </c>
      <c r="H339" s="14" t="b">
        <f aca="false">TRUE()</f>
        <v>1</v>
      </c>
      <c r="I339" s="14" t="b">
        <f aca="false">FALSE()</f>
        <v>0</v>
      </c>
      <c r="J339" s="4"/>
      <c r="K339" s="4" t="s">
        <v>1404</v>
      </c>
      <c r="L339" s="4" t="s">
        <v>1405</v>
      </c>
      <c r="M339" s="4" t="s">
        <v>1406</v>
      </c>
      <c r="N339" s="6" t="n">
        <v>21277</v>
      </c>
      <c r="O339" s="6" t="n">
        <v>32373</v>
      </c>
      <c r="P339" s="4" t="s">
        <v>46</v>
      </c>
      <c r="Q339" s="6"/>
      <c r="R339" s="15"/>
      <c r="S339" s="6"/>
      <c r="T339" s="15"/>
      <c r="U339" s="6"/>
      <c r="V339" s="15"/>
      <c r="W339" s="4" t="s">
        <v>47</v>
      </c>
      <c r="X339" s="4" t="s">
        <v>58</v>
      </c>
      <c r="Y339" s="4" t="s">
        <v>1407</v>
      </c>
      <c r="Z339" s="4" t="s">
        <v>910</v>
      </c>
      <c r="AA339" s="6" t="n">
        <v>0</v>
      </c>
      <c r="AB339" s="6" t="n">
        <v>3030.92</v>
      </c>
      <c r="AC339" s="6" t="n">
        <v>3245.51</v>
      </c>
      <c r="AD339" s="14" t="b">
        <f aca="false">FALSE()</f>
        <v>0</v>
      </c>
    </row>
    <row r="340" customFormat="false" ht="15" hidden="false" customHeight="false" outlineLevel="0" collapsed="false">
      <c r="A340" s="14" t="b">
        <f aca="false">TRUE()</f>
        <v>1</v>
      </c>
      <c r="B340" s="14" t="b">
        <f aca="false">FALSE()</f>
        <v>0</v>
      </c>
      <c r="C340" s="4" t="n">
        <v>3</v>
      </c>
      <c r="D340" s="4"/>
      <c r="E340" s="4"/>
      <c r="F340" s="4"/>
      <c r="G340" s="4" t="n">
        <v>2</v>
      </c>
      <c r="H340" s="14" t="b">
        <f aca="false">FALSE()</f>
        <v>0</v>
      </c>
      <c r="I340" s="14" t="b">
        <f aca="false">FALSE()</f>
        <v>0</v>
      </c>
      <c r="J340" s="4"/>
      <c r="K340" s="4" t="s">
        <v>1408</v>
      </c>
      <c r="L340" s="4" t="s">
        <v>1409</v>
      </c>
      <c r="M340" s="4" t="s">
        <v>1410</v>
      </c>
      <c r="N340" s="6" t="n">
        <v>33461</v>
      </c>
      <c r="O340" s="6" t="n">
        <v>52911</v>
      </c>
      <c r="P340" s="4" t="s">
        <v>46</v>
      </c>
      <c r="Q340" s="6" t="n">
        <v>1100000</v>
      </c>
      <c r="R340" s="15" t="n">
        <v>44117</v>
      </c>
      <c r="S340" s="6" t="n">
        <v>176000</v>
      </c>
      <c r="T340" s="15" t="n">
        <v>44117</v>
      </c>
      <c r="U340" s="6"/>
      <c r="V340" s="15"/>
      <c r="W340" s="4" t="s">
        <v>47</v>
      </c>
      <c r="X340" s="4" t="s">
        <v>47</v>
      </c>
      <c r="Y340" s="4" t="s">
        <v>1411</v>
      </c>
      <c r="Z340" s="4" t="s">
        <v>697</v>
      </c>
      <c r="AA340" s="6" t="n">
        <v>0</v>
      </c>
      <c r="AB340" s="6" t="n">
        <v>6087.58</v>
      </c>
      <c r="AC340" s="6" t="n">
        <v>6508.49</v>
      </c>
      <c r="AD340" s="14" t="b">
        <f aca="false">FALSE()</f>
        <v>0</v>
      </c>
    </row>
    <row r="341" customFormat="false" ht="15" hidden="false" customHeight="false" outlineLevel="0" collapsed="false">
      <c r="A341" s="14" t="b">
        <f aca="false">TRUE()</f>
        <v>1</v>
      </c>
      <c r="B341" s="14" t="b">
        <f aca="false">FALSE()</f>
        <v>0</v>
      </c>
      <c r="C341" s="4" t="n">
        <v>2</v>
      </c>
      <c r="D341" s="4"/>
      <c r="E341" s="4"/>
      <c r="F341" s="4"/>
      <c r="G341" s="4"/>
      <c r="H341" s="14" t="b">
        <f aca="false">FALSE()</f>
        <v>0</v>
      </c>
      <c r="I341" s="14" t="b">
        <f aca="false">FALSE()</f>
        <v>0</v>
      </c>
      <c r="J341" s="4"/>
      <c r="K341" s="4" t="s">
        <v>1412</v>
      </c>
      <c r="L341" s="4" t="s">
        <v>1413</v>
      </c>
      <c r="M341" s="4" t="s">
        <v>1414</v>
      </c>
      <c r="N341" s="6" t="n">
        <v>36202</v>
      </c>
      <c r="O341" s="6" t="n">
        <v>65681</v>
      </c>
      <c r="P341" s="4" t="s">
        <v>46</v>
      </c>
      <c r="Q341" s="6"/>
      <c r="R341" s="15"/>
      <c r="S341" s="6"/>
      <c r="T341" s="15"/>
      <c r="U341" s="6"/>
      <c r="V341" s="15"/>
      <c r="W341" s="4" t="s">
        <v>47</v>
      </c>
      <c r="X341" s="4" t="s">
        <v>47</v>
      </c>
      <c r="Y341" s="4" t="s">
        <v>1415</v>
      </c>
      <c r="Z341" s="4" t="s">
        <v>697</v>
      </c>
      <c r="AA341" s="6" t="n">
        <v>0</v>
      </c>
      <c r="AB341" s="6" t="n">
        <v>6053.12</v>
      </c>
      <c r="AC341" s="6" t="n">
        <v>3172.76</v>
      </c>
      <c r="AD341" s="14" t="b">
        <f aca="false">TRUE()</f>
        <v>1</v>
      </c>
    </row>
    <row r="342" customFormat="false" ht="15" hidden="false" customHeight="false" outlineLevel="0" collapsed="false">
      <c r="A342" s="14" t="b">
        <f aca="false">TRUE()</f>
        <v>1</v>
      </c>
      <c r="B342" s="14" t="b">
        <f aca="false">FALSE()</f>
        <v>0</v>
      </c>
      <c r="C342" s="4" t="n">
        <v>3</v>
      </c>
      <c r="D342" s="4"/>
      <c r="E342" s="4"/>
      <c r="F342" s="4"/>
      <c r="G342" s="4" t="n">
        <v>2</v>
      </c>
      <c r="H342" s="14" t="b">
        <f aca="false">TRUE()</f>
        <v>1</v>
      </c>
      <c r="I342" s="14" t="b">
        <f aca="false">FALSE()</f>
        <v>0</v>
      </c>
      <c r="J342" s="4"/>
      <c r="K342" s="4" t="s">
        <v>1416</v>
      </c>
      <c r="L342" s="4" t="s">
        <v>1417</v>
      </c>
      <c r="M342" s="4" t="s">
        <v>1418</v>
      </c>
      <c r="N342" s="6" t="n">
        <v>71501</v>
      </c>
      <c r="O342" s="6" t="n">
        <v>75591</v>
      </c>
      <c r="P342" s="4" t="s">
        <v>46</v>
      </c>
      <c r="Q342" s="6" t="n">
        <v>186000</v>
      </c>
      <c r="R342" s="15" t="n">
        <v>35359</v>
      </c>
      <c r="S342" s="6" t="n">
        <v>100000</v>
      </c>
      <c r="T342" s="15" t="n">
        <v>41642</v>
      </c>
      <c r="U342" s="6" t="n">
        <v>30447.1</v>
      </c>
      <c r="V342" s="15" t="n">
        <v>45082</v>
      </c>
      <c r="W342" s="4" t="s">
        <v>47</v>
      </c>
      <c r="X342" s="4" t="s">
        <v>47</v>
      </c>
      <c r="Y342" s="4" t="s">
        <v>1419</v>
      </c>
      <c r="Z342" s="4" t="s">
        <v>1298</v>
      </c>
      <c r="AA342" s="6" t="n">
        <v>0</v>
      </c>
      <c r="AB342" s="6" t="n">
        <v>6539.22</v>
      </c>
      <c r="AC342" s="6" t="n">
        <v>6990.61</v>
      </c>
      <c r="AD342" s="14" t="b">
        <f aca="false">FALSE()</f>
        <v>0</v>
      </c>
    </row>
    <row r="343" customFormat="false" ht="15" hidden="false" customHeight="false" outlineLevel="0" collapsed="false">
      <c r="A343" s="14" t="b">
        <f aca="false">TRUE()</f>
        <v>1</v>
      </c>
      <c r="B343" s="14" t="b">
        <f aca="false">FALSE()</f>
        <v>0</v>
      </c>
      <c r="C343" s="4" t="n">
        <v>2</v>
      </c>
      <c r="D343" s="4"/>
      <c r="E343" s="4"/>
      <c r="F343" s="4"/>
      <c r="G343" s="4"/>
      <c r="H343" s="14" t="b">
        <f aca="false">FALSE()</f>
        <v>0</v>
      </c>
      <c r="I343" s="14" t="b">
        <f aca="false">FALSE()</f>
        <v>0</v>
      </c>
      <c r="J343" s="4"/>
      <c r="K343" s="4" t="s">
        <v>1420</v>
      </c>
      <c r="L343" s="4" t="s">
        <v>1421</v>
      </c>
      <c r="M343" s="4" t="s">
        <v>1422</v>
      </c>
      <c r="N343" s="6" t="n">
        <v>75080</v>
      </c>
      <c r="O343" s="6" t="n">
        <v>54542</v>
      </c>
      <c r="P343" s="4" t="s">
        <v>46</v>
      </c>
      <c r="Q343" s="6" t="n">
        <v>400000</v>
      </c>
      <c r="R343" s="15" t="n">
        <v>45448</v>
      </c>
      <c r="S343" s="6"/>
      <c r="T343" s="15"/>
      <c r="U343" s="6"/>
      <c r="V343" s="15"/>
      <c r="W343" s="4" t="s">
        <v>47</v>
      </c>
      <c r="X343" s="4" t="s">
        <v>47</v>
      </c>
      <c r="Y343" s="4" t="s">
        <v>1423</v>
      </c>
      <c r="Z343" s="4" t="s">
        <v>1298</v>
      </c>
      <c r="AA343" s="6" t="n">
        <v>0</v>
      </c>
      <c r="AB343" s="6" t="n">
        <v>6958.22</v>
      </c>
      <c r="AC343" s="6" t="n">
        <v>7437.9</v>
      </c>
      <c r="AD343" s="14" t="b">
        <f aca="false">FALSE()</f>
        <v>0</v>
      </c>
    </row>
    <row r="344" customFormat="false" ht="15" hidden="false" customHeight="false" outlineLevel="0" collapsed="false">
      <c r="A344" s="14" t="b">
        <f aca="false">TRUE()</f>
        <v>1</v>
      </c>
      <c r="B344" s="14" t="b">
        <f aca="false">FALSE()</f>
        <v>0</v>
      </c>
      <c r="C344" s="4" t="n">
        <v>2</v>
      </c>
      <c r="D344" s="4"/>
      <c r="E344" s="4"/>
      <c r="F344" s="4"/>
      <c r="G344" s="4"/>
      <c r="H344" s="14" t="b">
        <f aca="false">FALSE()</f>
        <v>0</v>
      </c>
      <c r="I344" s="14" t="b">
        <f aca="false">FALSE()</f>
        <v>0</v>
      </c>
      <c r="J344" s="4"/>
      <c r="K344" s="4" t="s">
        <v>1424</v>
      </c>
      <c r="L344" s="4" t="s">
        <v>1425</v>
      </c>
      <c r="M344" s="4" t="s">
        <v>1426</v>
      </c>
      <c r="N344" s="6" t="n">
        <v>74362</v>
      </c>
      <c r="O344" s="6" t="n">
        <v>81977</v>
      </c>
      <c r="P344" s="4" t="s">
        <v>46</v>
      </c>
      <c r="Q344" s="6" t="n">
        <v>205000</v>
      </c>
      <c r="R344" s="15" t="n">
        <v>35184</v>
      </c>
      <c r="S344" s="6"/>
      <c r="T344" s="15"/>
      <c r="U344" s="6"/>
      <c r="V344" s="15"/>
      <c r="W344" s="4" t="s">
        <v>58</v>
      </c>
      <c r="X344" s="4" t="s">
        <v>47</v>
      </c>
      <c r="Y344" s="4" t="s">
        <v>1427</v>
      </c>
      <c r="Z344" s="4" t="s">
        <v>1298</v>
      </c>
      <c r="AA344" s="6" t="n">
        <v>0</v>
      </c>
      <c r="AB344" s="6" t="n">
        <v>9084.28</v>
      </c>
      <c r="AC344" s="6" t="n">
        <v>9707.47</v>
      </c>
      <c r="AD344" s="14" t="b">
        <f aca="false">FALSE()</f>
        <v>0</v>
      </c>
    </row>
    <row r="345" customFormat="false" ht="15" hidden="false" customHeight="false" outlineLevel="0" collapsed="false">
      <c r="A345" s="14" t="b">
        <f aca="false">TRUE()</f>
        <v>1</v>
      </c>
      <c r="B345" s="14" t="b">
        <f aca="false">FALSE()</f>
        <v>0</v>
      </c>
      <c r="C345" s="4" t="n">
        <v>3</v>
      </c>
      <c r="D345" s="4"/>
      <c r="E345" s="4"/>
      <c r="F345" s="4" t="s">
        <v>440</v>
      </c>
      <c r="G345" s="4"/>
      <c r="H345" s="14" t="b">
        <f aca="false">FALSE()</f>
        <v>0</v>
      </c>
      <c r="I345" s="14" t="b">
        <f aca="false">FALSE()</f>
        <v>0</v>
      </c>
      <c r="J345" s="4"/>
      <c r="K345" s="4" t="s">
        <v>1428</v>
      </c>
      <c r="L345" s="4" t="s">
        <v>1429</v>
      </c>
      <c r="M345" s="4" t="s">
        <v>1430</v>
      </c>
      <c r="N345" s="6" t="n">
        <v>70827</v>
      </c>
      <c r="O345" s="6" t="n">
        <v>42783</v>
      </c>
      <c r="P345" s="4" t="s">
        <v>46</v>
      </c>
      <c r="Q345" s="6"/>
      <c r="R345" s="15"/>
      <c r="S345" s="6" t="n">
        <v>150000</v>
      </c>
      <c r="T345" s="15" t="n">
        <v>45779</v>
      </c>
      <c r="U345" s="6"/>
      <c r="V345" s="15"/>
      <c r="W345" s="4" t="s">
        <v>58</v>
      </c>
      <c r="X345" s="4" t="s">
        <v>58</v>
      </c>
      <c r="Y345" s="4" t="s">
        <v>1431</v>
      </c>
      <c r="Z345" s="4" t="s">
        <v>1298</v>
      </c>
      <c r="AA345" s="6" t="n">
        <v>0</v>
      </c>
      <c r="AB345" s="6" t="n">
        <v>6957.48</v>
      </c>
      <c r="AC345" s="6" t="n">
        <v>7437.11</v>
      </c>
      <c r="AD345" s="14" t="b">
        <f aca="false">FALSE()</f>
        <v>0</v>
      </c>
    </row>
    <row r="346" customFormat="false" ht="15" hidden="false" customHeight="false" outlineLevel="0" collapsed="false">
      <c r="A346" s="14" t="b">
        <f aca="false">TRUE()</f>
        <v>1</v>
      </c>
      <c r="B346" s="14" t="b">
        <f aca="false">FALSE()</f>
        <v>0</v>
      </c>
      <c r="C346" s="4" t="n">
        <v>3</v>
      </c>
      <c r="D346" s="4"/>
      <c r="E346" s="4"/>
      <c r="F346" s="4"/>
      <c r="G346" s="4"/>
      <c r="H346" s="14" t="b">
        <f aca="false">FALSE()</f>
        <v>0</v>
      </c>
      <c r="I346" s="14" t="b">
        <f aca="false">FALSE()</f>
        <v>0</v>
      </c>
      <c r="J346" s="4"/>
      <c r="K346" s="4" t="s">
        <v>1432</v>
      </c>
      <c r="L346" s="4" t="s">
        <v>1433</v>
      </c>
      <c r="M346" s="4" t="s">
        <v>1434</v>
      </c>
      <c r="N346" s="6" t="n">
        <v>70816</v>
      </c>
      <c r="O346" s="6" t="n">
        <v>130558</v>
      </c>
      <c r="P346" s="4" t="s">
        <v>46</v>
      </c>
      <c r="Q346" s="6" t="n">
        <v>249500</v>
      </c>
      <c r="R346" s="15" t="n">
        <v>42762</v>
      </c>
      <c r="S346" s="6" t="n">
        <v>300000</v>
      </c>
      <c r="T346" s="15" t="n">
        <v>42762</v>
      </c>
      <c r="U346" s="6" t="n">
        <v>160000</v>
      </c>
      <c r="V346" s="15" t="n">
        <v>43704</v>
      </c>
      <c r="W346" s="4" t="s">
        <v>47</v>
      </c>
      <c r="X346" s="4" t="s">
        <v>47</v>
      </c>
      <c r="Y346" s="4" t="s">
        <v>1435</v>
      </c>
      <c r="Z346" s="4" t="s">
        <v>1298</v>
      </c>
      <c r="AA346" s="6" t="n">
        <v>0</v>
      </c>
      <c r="AB346" s="6" t="n">
        <v>11842.22</v>
      </c>
      <c r="AC346" s="6" t="n">
        <v>12651.57</v>
      </c>
      <c r="AD346" s="14" t="b">
        <f aca="false">FALSE()</f>
        <v>0</v>
      </c>
    </row>
    <row r="347" customFormat="false" ht="15" hidden="false" customHeight="false" outlineLevel="0" collapsed="false">
      <c r="A347" s="14" t="b">
        <f aca="false">TRUE()</f>
        <v>1</v>
      </c>
      <c r="B347" s="14" t="b">
        <f aca="false">FALSE()</f>
        <v>0</v>
      </c>
      <c r="C347" s="4" t="n">
        <v>2</v>
      </c>
      <c r="D347" s="4"/>
      <c r="E347" s="4"/>
      <c r="F347" s="4"/>
      <c r="G347" s="4"/>
      <c r="H347" s="14" t="b">
        <f aca="false">FALSE()</f>
        <v>0</v>
      </c>
      <c r="I347" s="14" t="b">
        <f aca="false">FALSE()</f>
        <v>0</v>
      </c>
      <c r="J347" s="4"/>
      <c r="K347" s="4" t="s">
        <v>1436</v>
      </c>
      <c r="L347" s="4" t="s">
        <v>1437</v>
      </c>
      <c r="M347" s="4" t="s">
        <v>1438</v>
      </c>
      <c r="N347" s="6" t="n">
        <v>70816</v>
      </c>
      <c r="O347" s="6" t="n">
        <v>156273</v>
      </c>
      <c r="P347" s="4" t="s">
        <v>46</v>
      </c>
      <c r="Q347" s="6" t="n">
        <v>740000</v>
      </c>
      <c r="R347" s="15" t="n">
        <v>45433</v>
      </c>
      <c r="S347" s="6" t="n">
        <v>745252</v>
      </c>
      <c r="T347" s="15" t="n">
        <v>45701</v>
      </c>
      <c r="U347" s="6"/>
      <c r="V347" s="15"/>
      <c r="W347" s="4" t="s">
        <v>47</v>
      </c>
      <c r="X347" s="4" t="s">
        <v>47</v>
      </c>
      <c r="Y347" s="4" t="s">
        <v>1439</v>
      </c>
      <c r="Z347" s="4" t="s">
        <v>1298</v>
      </c>
      <c r="AA347" s="6" t="n">
        <v>0</v>
      </c>
      <c r="AB347" s="6" t="n">
        <v>5285.62</v>
      </c>
      <c r="AC347" s="6" t="n">
        <v>2771.74</v>
      </c>
      <c r="AD347" s="14" t="b">
        <f aca="false">TRUE()</f>
        <v>1</v>
      </c>
    </row>
    <row r="348" customFormat="false" ht="15" hidden="false" customHeight="false" outlineLevel="0" collapsed="false">
      <c r="A348" s="14" t="b">
        <f aca="false">TRUE()</f>
        <v>1</v>
      </c>
      <c r="B348" s="14" t="b">
        <f aca="false">FALSE()</f>
        <v>0</v>
      </c>
      <c r="C348" s="4" t="n">
        <v>3</v>
      </c>
      <c r="D348" s="4"/>
      <c r="E348" s="4"/>
      <c r="F348" s="4"/>
      <c r="G348" s="4"/>
      <c r="H348" s="14" t="b">
        <f aca="false">FALSE()</f>
        <v>0</v>
      </c>
      <c r="I348" s="14" t="b">
        <f aca="false">FALSE()</f>
        <v>0</v>
      </c>
      <c r="J348" s="4"/>
      <c r="K348" s="4" t="s">
        <v>1440</v>
      </c>
      <c r="L348" s="4" t="s">
        <v>1441</v>
      </c>
      <c r="M348" s="4" t="s">
        <v>1442</v>
      </c>
      <c r="N348" s="6" t="n">
        <v>70816</v>
      </c>
      <c r="O348" s="6" t="n">
        <v>123357</v>
      </c>
      <c r="P348" s="4" t="s">
        <v>46</v>
      </c>
      <c r="Q348" s="6" t="n">
        <v>360000</v>
      </c>
      <c r="R348" s="15" t="n">
        <v>44482</v>
      </c>
      <c r="S348" s="6"/>
      <c r="T348" s="15"/>
      <c r="U348" s="6"/>
      <c r="V348" s="15"/>
      <c r="W348" s="4" t="s">
        <v>47</v>
      </c>
      <c r="X348" s="4" t="s">
        <v>58</v>
      </c>
      <c r="Y348" s="4" t="s">
        <v>1443</v>
      </c>
      <c r="Z348" s="4" t="s">
        <v>1298</v>
      </c>
      <c r="AA348" s="6" t="n">
        <v>0</v>
      </c>
      <c r="AB348" s="6" t="n">
        <v>11401.24</v>
      </c>
      <c r="AC348" s="6" t="n">
        <v>12180.83</v>
      </c>
      <c r="AD348" s="14" t="b">
        <f aca="false">FALSE()</f>
        <v>0</v>
      </c>
    </row>
    <row r="349" customFormat="false" ht="15" hidden="false" customHeight="false" outlineLevel="0" collapsed="false">
      <c r="A349" s="14" t="b">
        <f aca="false">TRUE()</f>
        <v>1</v>
      </c>
      <c r="B349" s="14" t="b">
        <f aca="false">FALSE()</f>
        <v>0</v>
      </c>
      <c r="C349" s="4" t="n">
        <v>2</v>
      </c>
      <c r="D349" s="4"/>
      <c r="E349" s="4"/>
      <c r="F349" s="4"/>
      <c r="G349" s="4"/>
      <c r="H349" s="14" t="b">
        <f aca="false">FALSE()</f>
        <v>0</v>
      </c>
      <c r="I349" s="14" t="b">
        <f aca="false">FALSE()</f>
        <v>0</v>
      </c>
      <c r="J349" s="4"/>
      <c r="K349" s="4" t="s">
        <v>1444</v>
      </c>
      <c r="L349" s="4" t="s">
        <v>1445</v>
      </c>
      <c r="M349" s="4" t="s">
        <v>1446</v>
      </c>
      <c r="N349" s="6" t="n">
        <v>53694</v>
      </c>
      <c r="O349" s="6" t="n">
        <v>188298</v>
      </c>
      <c r="P349" s="4" t="s">
        <v>46</v>
      </c>
      <c r="Q349" s="6" t="n">
        <v>665000</v>
      </c>
      <c r="R349" s="15" t="n">
        <v>43788</v>
      </c>
      <c r="S349" s="6" t="n">
        <v>484350</v>
      </c>
      <c r="T349" s="15" t="n">
        <v>43788</v>
      </c>
      <c r="U349" s="6" t="n">
        <v>39382</v>
      </c>
      <c r="V349" s="15" t="n">
        <v>43930</v>
      </c>
      <c r="W349" s="4" t="s">
        <v>47</v>
      </c>
      <c r="X349" s="4" t="s">
        <v>47</v>
      </c>
      <c r="Y349" s="4" t="s">
        <v>1447</v>
      </c>
      <c r="Z349" s="4" t="s">
        <v>1298</v>
      </c>
      <c r="AA349" s="6" t="n">
        <v>0</v>
      </c>
      <c r="AB349" s="6" t="n">
        <v>14329.66</v>
      </c>
      <c r="AC349" s="6" t="n">
        <v>7497.25</v>
      </c>
      <c r="AD349" s="14" t="b">
        <f aca="false">TRUE()</f>
        <v>1</v>
      </c>
    </row>
    <row r="350" customFormat="false" ht="15" hidden="false" customHeight="false" outlineLevel="0" collapsed="false">
      <c r="A350" s="14" t="b">
        <f aca="false">TRUE()</f>
        <v>1</v>
      </c>
      <c r="B350" s="14" t="b">
        <f aca="false">FALSE()</f>
        <v>0</v>
      </c>
      <c r="C350" s="4" t="n">
        <v>2</v>
      </c>
      <c r="D350" s="4"/>
      <c r="E350" s="4"/>
      <c r="F350" s="4"/>
      <c r="G350" s="4"/>
      <c r="H350" s="14" t="b">
        <f aca="false">FALSE()</f>
        <v>0</v>
      </c>
      <c r="I350" s="14" t="b">
        <f aca="false">FALSE()</f>
        <v>0</v>
      </c>
      <c r="J350" s="4"/>
      <c r="K350" s="4" t="s">
        <v>1448</v>
      </c>
      <c r="L350" s="4" t="s">
        <v>1449</v>
      </c>
      <c r="M350" s="4" t="s">
        <v>1450</v>
      </c>
      <c r="N350" s="6" t="n">
        <v>42957</v>
      </c>
      <c r="O350" s="6" t="n">
        <v>59165</v>
      </c>
      <c r="P350" s="4" t="s">
        <v>46</v>
      </c>
      <c r="Q350" s="6" t="n">
        <v>110000</v>
      </c>
      <c r="R350" s="15" t="n">
        <v>37431</v>
      </c>
      <c r="S350" s="6"/>
      <c r="T350" s="15"/>
      <c r="U350" s="6"/>
      <c r="V350" s="15"/>
      <c r="W350" s="4" t="s">
        <v>47</v>
      </c>
      <c r="X350" s="4" t="s">
        <v>58</v>
      </c>
      <c r="Y350" s="4" t="s">
        <v>1451</v>
      </c>
      <c r="Z350" s="4" t="s">
        <v>1298</v>
      </c>
      <c r="AA350" s="6" t="n">
        <v>0</v>
      </c>
      <c r="AB350" s="6" t="n">
        <v>5764.04</v>
      </c>
      <c r="AC350" s="6" t="n">
        <v>6163.11</v>
      </c>
      <c r="AD350" s="14" t="b">
        <f aca="false">FALSE()</f>
        <v>0</v>
      </c>
    </row>
    <row r="351" customFormat="false" ht="15" hidden="false" customHeight="false" outlineLevel="0" collapsed="false">
      <c r="A351" s="14" t="b">
        <f aca="false">TRUE()</f>
        <v>1</v>
      </c>
      <c r="B351" s="14" t="b">
        <f aca="false">FALSE()</f>
        <v>0</v>
      </c>
      <c r="C351" s="4" t="n">
        <v>2</v>
      </c>
      <c r="D351" s="4"/>
      <c r="E351" s="4"/>
      <c r="F351" s="4"/>
      <c r="G351" s="4"/>
      <c r="H351" s="14" t="b">
        <f aca="false">FALSE()</f>
        <v>0</v>
      </c>
      <c r="I351" s="14" t="b">
        <f aca="false">FALSE()</f>
        <v>0</v>
      </c>
      <c r="J351" s="4"/>
      <c r="K351" s="4" t="s">
        <v>1452</v>
      </c>
      <c r="L351" s="4" t="s">
        <v>1453</v>
      </c>
      <c r="M351" s="4" t="s">
        <v>1454</v>
      </c>
      <c r="N351" s="6" t="n">
        <v>53694</v>
      </c>
      <c r="O351" s="6" t="n">
        <v>76864</v>
      </c>
      <c r="P351" s="4" t="s">
        <v>46</v>
      </c>
      <c r="Q351" s="6" t="n">
        <v>131500</v>
      </c>
      <c r="R351" s="15" t="n">
        <v>41074</v>
      </c>
      <c r="S351" s="6"/>
      <c r="T351" s="15"/>
      <c r="U351" s="6"/>
      <c r="V351" s="15"/>
      <c r="W351" s="4" t="s">
        <v>47</v>
      </c>
      <c r="X351" s="4" t="s">
        <v>47</v>
      </c>
      <c r="Y351" s="4" t="s">
        <v>1455</v>
      </c>
      <c r="Z351" s="4" t="s">
        <v>1298</v>
      </c>
      <c r="AA351" s="6" t="n">
        <v>0</v>
      </c>
      <c r="AB351" s="6" t="n">
        <v>7505.46</v>
      </c>
      <c r="AC351" s="6" t="n">
        <v>3931.6</v>
      </c>
      <c r="AD351" s="14" t="b">
        <f aca="false">TRUE()</f>
        <v>1</v>
      </c>
    </row>
    <row r="352" customFormat="false" ht="15" hidden="false" customHeight="false" outlineLevel="0" collapsed="false">
      <c r="A352" s="14" t="b">
        <f aca="false">TRUE()</f>
        <v>1</v>
      </c>
      <c r="B352" s="14" t="b">
        <f aca="false">FALSE()</f>
        <v>0</v>
      </c>
      <c r="C352" s="4" t="n">
        <v>3</v>
      </c>
      <c r="D352" s="4"/>
      <c r="E352" s="4"/>
      <c r="F352" s="4"/>
      <c r="G352" s="4"/>
      <c r="H352" s="14" t="b">
        <f aca="false">FALSE()</f>
        <v>0</v>
      </c>
      <c r="I352" s="14" t="b">
        <f aca="false">FALSE()</f>
        <v>0</v>
      </c>
      <c r="J352" s="4"/>
      <c r="K352" s="4" t="s">
        <v>1456</v>
      </c>
      <c r="L352" s="4" t="s">
        <v>1457</v>
      </c>
      <c r="M352" s="4" t="s">
        <v>1458</v>
      </c>
      <c r="N352" s="6" t="n">
        <v>56370</v>
      </c>
      <c r="O352" s="6" t="n">
        <v>68020</v>
      </c>
      <c r="P352" s="4" t="s">
        <v>46</v>
      </c>
      <c r="Q352" s="6"/>
      <c r="R352" s="15"/>
      <c r="S352" s="6" t="n">
        <v>68500</v>
      </c>
      <c r="T352" s="15" t="n">
        <v>44867</v>
      </c>
      <c r="U352" s="6" t="n">
        <v>35000</v>
      </c>
      <c r="V352" s="15" t="n">
        <v>36558</v>
      </c>
      <c r="W352" s="4" t="s">
        <v>47</v>
      </c>
      <c r="X352" s="4" t="s">
        <v>47</v>
      </c>
      <c r="Y352" s="4" t="s">
        <v>1459</v>
      </c>
      <c r="Z352" s="4" t="s">
        <v>1298</v>
      </c>
      <c r="AA352" s="6" t="n">
        <v>0</v>
      </c>
      <c r="AB352" s="6" t="n">
        <v>3921.2</v>
      </c>
      <c r="AC352" s="6" t="n">
        <v>4195.88</v>
      </c>
      <c r="AD352" s="14" t="b">
        <f aca="false">FALSE()</f>
        <v>0</v>
      </c>
    </row>
    <row r="353" customFormat="false" ht="15" hidden="false" customHeight="false" outlineLevel="0" collapsed="false">
      <c r="A353" s="14" t="b">
        <f aca="false">TRUE()</f>
        <v>1</v>
      </c>
      <c r="B353" s="14" t="b">
        <f aca="false">FALSE()</f>
        <v>0</v>
      </c>
      <c r="C353" s="4" t="n">
        <v>2</v>
      </c>
      <c r="D353" s="4"/>
      <c r="E353" s="4"/>
      <c r="F353" s="4"/>
      <c r="G353" s="4"/>
      <c r="H353" s="14" t="b">
        <f aca="false">FALSE()</f>
        <v>0</v>
      </c>
      <c r="I353" s="14" t="b">
        <f aca="false">FALSE()</f>
        <v>0</v>
      </c>
      <c r="J353" s="4"/>
      <c r="K353" s="4" t="s">
        <v>1460</v>
      </c>
      <c r="L353" s="4" t="s">
        <v>1461</v>
      </c>
      <c r="M353" s="4" t="s">
        <v>1462</v>
      </c>
      <c r="N353" s="6" t="n">
        <v>70816</v>
      </c>
      <c r="O353" s="6" t="n">
        <v>63876</v>
      </c>
      <c r="P353" s="4" t="s">
        <v>46</v>
      </c>
      <c r="Q353" s="6"/>
      <c r="R353" s="15"/>
      <c r="S353" s="6" t="n">
        <v>155400</v>
      </c>
      <c r="T353" s="15" t="n">
        <v>40043</v>
      </c>
      <c r="U353" s="6" t="n">
        <v>60000</v>
      </c>
      <c r="V353" s="15" t="n">
        <v>42220</v>
      </c>
      <c r="W353" s="4" t="s">
        <v>47</v>
      </c>
      <c r="X353" s="4" t="s">
        <v>47</v>
      </c>
      <c r="Y353" s="4" t="s">
        <v>1463</v>
      </c>
      <c r="Z353" s="4" t="s">
        <v>1298</v>
      </c>
      <c r="AA353" s="6" t="n">
        <v>0</v>
      </c>
      <c r="AB353" s="6" t="n">
        <v>3240.22</v>
      </c>
      <c r="AC353" s="6" t="n">
        <v>1703.01</v>
      </c>
      <c r="AD353" s="14" t="b">
        <f aca="false">TRUE()</f>
        <v>1</v>
      </c>
    </row>
    <row r="354" customFormat="false" ht="15" hidden="false" customHeight="false" outlineLevel="0" collapsed="false">
      <c r="A354" s="14" t="b">
        <f aca="false">TRUE()</f>
        <v>1</v>
      </c>
      <c r="B354" s="14" t="b">
        <f aca="false">FALSE()</f>
        <v>0</v>
      </c>
      <c r="C354" s="4" t="n">
        <v>2</v>
      </c>
      <c r="D354" s="4"/>
      <c r="E354" s="4"/>
      <c r="F354" s="4"/>
      <c r="G354" s="4"/>
      <c r="H354" s="14" t="b">
        <f aca="false">FALSE()</f>
        <v>0</v>
      </c>
      <c r="I354" s="14" t="b">
        <f aca="false">FALSE()</f>
        <v>0</v>
      </c>
      <c r="J354" s="4"/>
      <c r="K354" s="4" t="s">
        <v>1464</v>
      </c>
      <c r="L354" s="4" t="s">
        <v>1465</v>
      </c>
      <c r="M354" s="4" t="s">
        <v>1466</v>
      </c>
      <c r="N354" s="6" t="n">
        <v>70816</v>
      </c>
      <c r="O354" s="6" t="n">
        <v>47091</v>
      </c>
      <c r="P354" s="4" t="s">
        <v>46</v>
      </c>
      <c r="Q354" s="6" t="n">
        <v>307.5</v>
      </c>
      <c r="R354" s="15" t="n">
        <v>42964</v>
      </c>
      <c r="S354" s="6"/>
      <c r="T354" s="15"/>
      <c r="U354" s="6"/>
      <c r="V354" s="15"/>
      <c r="W354" s="4" t="s">
        <v>47</v>
      </c>
      <c r="X354" s="4" t="s">
        <v>47</v>
      </c>
      <c r="Y354" s="4" t="s">
        <v>1467</v>
      </c>
      <c r="Z354" s="4" t="s">
        <v>1298</v>
      </c>
      <c r="AA354" s="6" t="n">
        <v>0</v>
      </c>
      <c r="AB354" s="6" t="n">
        <v>6730.7</v>
      </c>
      <c r="AC354" s="6" t="n">
        <v>7195.02</v>
      </c>
      <c r="AD354" s="14" t="b">
        <f aca="false">FALSE()</f>
        <v>0</v>
      </c>
    </row>
    <row r="355" customFormat="false" ht="15" hidden="false" customHeight="false" outlineLevel="0" collapsed="false">
      <c r="A355" s="14" t="b">
        <f aca="false">TRUE()</f>
        <v>1</v>
      </c>
      <c r="B355" s="14" t="b">
        <f aca="false">FALSE()</f>
        <v>0</v>
      </c>
      <c r="C355" s="4" t="n">
        <v>3</v>
      </c>
      <c r="D355" s="4"/>
      <c r="E355" s="4"/>
      <c r="F355" s="4"/>
      <c r="G355" s="4"/>
      <c r="H355" s="14" t="b">
        <f aca="false">TRUE()</f>
        <v>1</v>
      </c>
      <c r="I355" s="14" t="b">
        <f aca="false">FALSE()</f>
        <v>0</v>
      </c>
      <c r="J355" s="4"/>
      <c r="K355" s="4" t="s">
        <v>1468</v>
      </c>
      <c r="L355" s="4" t="s">
        <v>1469</v>
      </c>
      <c r="M355" s="4" t="s">
        <v>1470</v>
      </c>
      <c r="N355" s="6" t="n">
        <v>83705</v>
      </c>
      <c r="O355" s="6" t="n">
        <v>227465</v>
      </c>
      <c r="P355" s="4" t="s">
        <v>46</v>
      </c>
      <c r="Q355" s="6" t="n">
        <v>629000</v>
      </c>
      <c r="R355" s="15" t="n">
        <v>42369</v>
      </c>
      <c r="S355" s="6"/>
      <c r="T355" s="15"/>
      <c r="U355" s="6"/>
      <c r="V355" s="15"/>
      <c r="W355" s="4" t="s">
        <v>47</v>
      </c>
      <c r="X355" s="4" t="s">
        <v>58</v>
      </c>
      <c r="Y355" s="4" t="s">
        <v>1471</v>
      </c>
      <c r="Z355" s="4" t="s">
        <v>165</v>
      </c>
      <c r="AA355" s="6" t="n">
        <v>0</v>
      </c>
      <c r="AB355" s="6" t="n">
        <v>24616.5</v>
      </c>
      <c r="AC355" s="6" t="n">
        <v>26288.11</v>
      </c>
      <c r="AD355" s="14" t="b">
        <f aca="false">FALSE()</f>
        <v>0</v>
      </c>
    </row>
    <row r="356" customFormat="false" ht="15" hidden="false" customHeight="false" outlineLevel="0" collapsed="false">
      <c r="A356" s="14" t="b">
        <f aca="false">TRUE()</f>
        <v>1</v>
      </c>
      <c r="B356" s="14" t="b">
        <f aca="false">FALSE()</f>
        <v>0</v>
      </c>
      <c r="C356" s="4" t="n">
        <v>2</v>
      </c>
      <c r="D356" s="4"/>
      <c r="E356" s="4"/>
      <c r="F356" s="4"/>
      <c r="G356" s="4"/>
      <c r="H356" s="14" t="b">
        <f aca="false">TRUE()</f>
        <v>1</v>
      </c>
      <c r="I356" s="14" t="b">
        <f aca="false">FALSE()</f>
        <v>0</v>
      </c>
      <c r="J356" s="4"/>
      <c r="K356" s="4" t="s">
        <v>1472</v>
      </c>
      <c r="L356" s="4" t="s">
        <v>1473</v>
      </c>
      <c r="M356" s="4" t="s">
        <v>1474</v>
      </c>
      <c r="N356" s="6" t="n">
        <v>22226</v>
      </c>
      <c r="O356" s="6" t="n">
        <v>62946</v>
      </c>
      <c r="P356" s="4" t="s">
        <v>46</v>
      </c>
      <c r="Q356" s="6"/>
      <c r="R356" s="15"/>
      <c r="S356" s="6"/>
      <c r="T356" s="15"/>
      <c r="U356" s="6"/>
      <c r="V356" s="15"/>
      <c r="W356" s="4" t="s">
        <v>47</v>
      </c>
      <c r="X356" s="4" t="s">
        <v>58</v>
      </c>
      <c r="Y356" s="4" t="s">
        <v>1475</v>
      </c>
      <c r="Z356" s="4" t="s">
        <v>165</v>
      </c>
      <c r="AA356" s="6" t="n">
        <v>0</v>
      </c>
      <c r="AB356" s="6" t="n">
        <v>6859.14</v>
      </c>
      <c r="AC356" s="6" t="n">
        <v>7332.13</v>
      </c>
      <c r="AD356" s="14" t="b">
        <f aca="false">FALSE()</f>
        <v>0</v>
      </c>
    </row>
    <row r="357" customFormat="false" ht="15" hidden="false" customHeight="false" outlineLevel="0" collapsed="false">
      <c r="A357" s="14" t="b">
        <f aca="false">TRUE()</f>
        <v>1</v>
      </c>
      <c r="B357" s="14" t="b">
        <f aca="false">FALSE()</f>
        <v>0</v>
      </c>
      <c r="C357" s="4" t="n">
        <v>3</v>
      </c>
      <c r="D357" s="4"/>
      <c r="E357" s="4"/>
      <c r="F357" s="4"/>
      <c r="G357" s="4"/>
      <c r="H357" s="14" t="b">
        <f aca="false">TRUE()</f>
        <v>1</v>
      </c>
      <c r="I357" s="14" t="b">
        <f aca="false">FALSE()</f>
        <v>0</v>
      </c>
      <c r="J357" s="4"/>
      <c r="K357" s="4" t="s">
        <v>1476</v>
      </c>
      <c r="L357" s="4" t="s">
        <v>1477</v>
      </c>
      <c r="M357" s="4" t="s">
        <v>1478</v>
      </c>
      <c r="N357" s="6" t="n">
        <v>19489</v>
      </c>
      <c r="O357" s="6" t="n">
        <v>73533</v>
      </c>
      <c r="P357" s="4" t="s">
        <v>46</v>
      </c>
      <c r="Q357" s="6" t="n">
        <v>124000</v>
      </c>
      <c r="R357" s="15" t="n">
        <v>34060</v>
      </c>
      <c r="S357" s="6" t="n">
        <v>100000</v>
      </c>
      <c r="T357" s="15" t="n">
        <v>43333</v>
      </c>
      <c r="U357" s="6"/>
      <c r="V357" s="15"/>
      <c r="W357" s="4" t="s">
        <v>47</v>
      </c>
      <c r="X357" s="4" t="s">
        <v>47</v>
      </c>
      <c r="Y357" s="4" t="s">
        <v>1479</v>
      </c>
      <c r="Z357" s="4" t="s">
        <v>165</v>
      </c>
      <c r="AA357" s="6" t="n">
        <v>0</v>
      </c>
      <c r="AB357" s="6" t="n">
        <v>6845.82</v>
      </c>
      <c r="AC357" s="6" t="n">
        <v>7317.91</v>
      </c>
      <c r="AD357" s="14" t="b">
        <f aca="false">FALSE()</f>
        <v>0</v>
      </c>
    </row>
    <row r="358" customFormat="false" ht="15" hidden="false" customHeight="false" outlineLevel="0" collapsed="false">
      <c r="A358" s="14" t="b">
        <f aca="false">TRUE()</f>
        <v>1</v>
      </c>
      <c r="B358" s="14" t="b">
        <f aca="false">FALSE()</f>
        <v>0</v>
      </c>
      <c r="C358" s="4" t="n">
        <v>2</v>
      </c>
      <c r="D358" s="4"/>
      <c r="E358" s="4"/>
      <c r="F358" s="4"/>
      <c r="G358" s="4"/>
      <c r="H358" s="14" t="b">
        <f aca="false">FALSE()</f>
        <v>0</v>
      </c>
      <c r="I358" s="14" t="b">
        <f aca="false">FALSE()</f>
        <v>0</v>
      </c>
      <c r="J358" s="4"/>
      <c r="K358" s="4" t="s">
        <v>1480</v>
      </c>
      <c r="L358" s="4" t="s">
        <v>1481</v>
      </c>
      <c r="M358" s="4" t="s">
        <v>1482</v>
      </c>
      <c r="N358" s="6" t="n">
        <v>6066</v>
      </c>
      <c r="O358" s="6" t="n">
        <v>14102</v>
      </c>
      <c r="P358" s="4" t="s">
        <v>46</v>
      </c>
      <c r="Q358" s="6" t="n">
        <v>125000</v>
      </c>
      <c r="R358" s="15" t="n">
        <v>45915</v>
      </c>
      <c r="S358" s="6" t="n">
        <v>107414</v>
      </c>
      <c r="T358" s="15" t="n">
        <v>45915</v>
      </c>
      <c r="U358" s="6"/>
      <c r="V358" s="15"/>
      <c r="W358" s="4" t="s">
        <v>47</v>
      </c>
      <c r="X358" s="4" t="s">
        <v>47</v>
      </c>
      <c r="Y358" s="4" t="s">
        <v>1483</v>
      </c>
      <c r="Z358" s="4" t="s">
        <v>165</v>
      </c>
      <c r="AA358" s="6" t="n">
        <v>0</v>
      </c>
      <c r="AB358" s="6" t="n">
        <v>1792.56</v>
      </c>
      <c r="AC358" s="6" t="n">
        <v>946.61</v>
      </c>
      <c r="AD358" s="14" t="b">
        <f aca="false">TRUE()</f>
        <v>1</v>
      </c>
    </row>
    <row r="359" customFormat="false" ht="15" hidden="false" customHeight="false" outlineLevel="0" collapsed="false">
      <c r="A359" s="14" t="b">
        <f aca="false">TRUE()</f>
        <v>1</v>
      </c>
      <c r="B359" s="14" t="b">
        <f aca="false">FALSE()</f>
        <v>0</v>
      </c>
      <c r="C359" s="4" t="n">
        <v>2</v>
      </c>
      <c r="D359" s="4"/>
      <c r="E359" s="4"/>
      <c r="F359" s="4"/>
      <c r="G359" s="4" t="n">
        <v>3</v>
      </c>
      <c r="H359" s="14" t="b">
        <f aca="false">TRUE()</f>
        <v>1</v>
      </c>
      <c r="I359" s="14" t="b">
        <f aca="false">FALSE()</f>
        <v>0</v>
      </c>
      <c r="J359" s="4"/>
      <c r="K359" s="4" t="s">
        <v>1484</v>
      </c>
      <c r="L359" s="4" t="s">
        <v>1485</v>
      </c>
      <c r="M359" s="4" t="s">
        <v>1486</v>
      </c>
      <c r="N359" s="6" t="n">
        <v>28117</v>
      </c>
      <c r="O359" s="6" t="n">
        <v>107935</v>
      </c>
      <c r="P359" s="4" t="s">
        <v>46</v>
      </c>
      <c r="Q359" s="6" t="n">
        <v>208000</v>
      </c>
      <c r="R359" s="15" t="n">
        <v>34638</v>
      </c>
      <c r="S359" s="6" t="n">
        <v>2000000</v>
      </c>
      <c r="T359" s="15" t="n">
        <v>39357</v>
      </c>
      <c r="U359" s="6" t="n">
        <v>289668</v>
      </c>
      <c r="V359" s="15" t="n">
        <v>39073</v>
      </c>
      <c r="W359" s="4" t="s">
        <v>47</v>
      </c>
      <c r="X359" s="4" t="s">
        <v>58</v>
      </c>
      <c r="Y359" s="4" t="s">
        <v>1487</v>
      </c>
      <c r="Z359" s="4" t="s">
        <v>165</v>
      </c>
      <c r="AA359" s="6" t="n">
        <v>0</v>
      </c>
      <c r="AB359" s="6" t="n">
        <v>11381.42</v>
      </c>
      <c r="AC359" s="6" t="n">
        <v>5956.79</v>
      </c>
      <c r="AD359" s="14" t="b">
        <f aca="false">TRUE()</f>
        <v>1</v>
      </c>
    </row>
    <row r="360" customFormat="false" ht="15" hidden="false" customHeight="false" outlineLevel="0" collapsed="false">
      <c r="A360" s="14" t="b">
        <f aca="false">TRUE()</f>
        <v>1</v>
      </c>
      <c r="B360" s="14" t="b">
        <f aca="false">FALSE()</f>
        <v>0</v>
      </c>
      <c r="C360" s="4" t="n">
        <v>2</v>
      </c>
      <c r="D360" s="4"/>
      <c r="E360" s="4"/>
      <c r="F360" s="4"/>
      <c r="G360" s="4" t="n">
        <v>2</v>
      </c>
      <c r="H360" s="14" t="b">
        <f aca="false">TRUE()</f>
        <v>1</v>
      </c>
      <c r="I360" s="14" t="b">
        <f aca="false">FALSE()</f>
        <v>0</v>
      </c>
      <c r="J360" s="4"/>
      <c r="K360" s="4" t="s">
        <v>1488</v>
      </c>
      <c r="L360" s="4" t="s">
        <v>1489</v>
      </c>
      <c r="M360" s="4" t="s">
        <v>1490</v>
      </c>
      <c r="N360" s="6" t="n">
        <v>41103</v>
      </c>
      <c r="O360" s="6" t="n">
        <v>45296</v>
      </c>
      <c r="P360" s="4" t="s">
        <v>46</v>
      </c>
      <c r="Q360" s="6" t="n">
        <v>125000</v>
      </c>
      <c r="R360" s="15" t="n">
        <v>44519</v>
      </c>
      <c r="S360" s="6"/>
      <c r="T360" s="15"/>
      <c r="U360" s="6"/>
      <c r="V360" s="15"/>
      <c r="W360" s="4" t="s">
        <v>47</v>
      </c>
      <c r="X360" s="4" t="s">
        <v>58</v>
      </c>
      <c r="Y360" s="4" t="s">
        <v>1491</v>
      </c>
      <c r="Z360" s="4" t="s">
        <v>165</v>
      </c>
      <c r="AA360" s="6" t="n">
        <v>0</v>
      </c>
      <c r="AB360" s="6" t="n">
        <v>6601.98</v>
      </c>
      <c r="AC360" s="6" t="n">
        <v>7057.61</v>
      </c>
      <c r="AD360" s="14" t="b">
        <f aca="false">FALSE()</f>
        <v>0</v>
      </c>
    </row>
    <row r="361" customFormat="false" ht="15" hidden="false" customHeight="false" outlineLevel="0" collapsed="false">
      <c r="A361" s="14" t="b">
        <f aca="false">TRUE()</f>
        <v>1</v>
      </c>
      <c r="B361" s="14" t="b">
        <f aca="false">FALSE()</f>
        <v>0</v>
      </c>
      <c r="C361" s="4" t="n">
        <v>2</v>
      </c>
      <c r="D361" s="4"/>
      <c r="E361" s="4"/>
      <c r="F361" s="4"/>
      <c r="G361" s="4" t="n">
        <v>2</v>
      </c>
      <c r="H361" s="14" t="b">
        <f aca="false">TRUE()</f>
        <v>1</v>
      </c>
      <c r="I361" s="14" t="b">
        <f aca="false">FALSE()</f>
        <v>0</v>
      </c>
      <c r="J361" s="4"/>
      <c r="K361" s="4" t="s">
        <v>1492</v>
      </c>
      <c r="L361" s="4" t="s">
        <v>1493</v>
      </c>
      <c r="M361" s="4" t="s">
        <v>1494</v>
      </c>
      <c r="N361" s="6" t="n">
        <v>18920</v>
      </c>
      <c r="O361" s="6" t="n">
        <v>50989</v>
      </c>
      <c r="P361" s="4" t="s">
        <v>46</v>
      </c>
      <c r="Q361" s="6" t="n">
        <v>197000</v>
      </c>
      <c r="R361" s="15" t="n">
        <v>44631</v>
      </c>
      <c r="S361" s="6"/>
      <c r="T361" s="15"/>
      <c r="U361" s="6"/>
      <c r="V361" s="15"/>
      <c r="W361" s="4" t="s">
        <v>47</v>
      </c>
      <c r="X361" s="4" t="s">
        <v>47</v>
      </c>
      <c r="Y361" s="4" t="s">
        <v>1495</v>
      </c>
      <c r="Z361" s="4" t="s">
        <v>165</v>
      </c>
      <c r="AA361" s="6" t="n">
        <v>0</v>
      </c>
      <c r="AB361" s="6" t="n">
        <v>5502.52</v>
      </c>
      <c r="AC361" s="6" t="n">
        <v>5883.94</v>
      </c>
      <c r="AD361" s="14" t="b">
        <f aca="false">FALSE()</f>
        <v>0</v>
      </c>
    </row>
    <row r="362" customFormat="false" ht="15" hidden="false" customHeight="false" outlineLevel="0" collapsed="false">
      <c r="A362" s="14" t="b">
        <f aca="false">TRUE()</f>
        <v>1</v>
      </c>
      <c r="B362" s="14" t="b">
        <f aca="false">FALSE()</f>
        <v>0</v>
      </c>
      <c r="C362" s="4" t="n">
        <v>2</v>
      </c>
      <c r="D362" s="4"/>
      <c r="E362" s="4"/>
      <c r="F362" s="4"/>
      <c r="G362" s="4" t="n">
        <v>2</v>
      </c>
      <c r="H362" s="14" t="b">
        <f aca="false">TRUE()</f>
        <v>1</v>
      </c>
      <c r="I362" s="14" t="b">
        <f aca="false">FALSE()</f>
        <v>0</v>
      </c>
      <c r="J362" s="4"/>
      <c r="K362" s="4" t="s">
        <v>1496</v>
      </c>
      <c r="L362" s="4" t="s">
        <v>1497</v>
      </c>
      <c r="M362" s="4" t="s">
        <v>1498</v>
      </c>
      <c r="N362" s="6" t="n">
        <v>20442</v>
      </c>
      <c r="O362" s="6" t="n">
        <v>52052</v>
      </c>
      <c r="P362" s="4" t="s">
        <v>46</v>
      </c>
      <c r="Q362" s="6" t="n">
        <v>167.64</v>
      </c>
      <c r="R362" s="15" t="n">
        <v>40977</v>
      </c>
      <c r="S362" s="6"/>
      <c r="T362" s="15"/>
      <c r="U362" s="6"/>
      <c r="V362" s="15"/>
      <c r="W362" s="4" t="s">
        <v>47</v>
      </c>
      <c r="X362" s="4" t="s">
        <v>47</v>
      </c>
      <c r="Y362" s="4" t="s">
        <v>1499</v>
      </c>
      <c r="Z362" s="4" t="s">
        <v>165</v>
      </c>
      <c r="AA362" s="6" t="n">
        <v>0</v>
      </c>
      <c r="AB362" s="6" t="n">
        <v>5732.3</v>
      </c>
      <c r="AC362" s="6" t="n">
        <v>6129.23</v>
      </c>
      <c r="AD362" s="14" t="b">
        <f aca="false">FALSE()</f>
        <v>0</v>
      </c>
    </row>
    <row r="363" customFormat="false" ht="15" hidden="false" customHeight="false" outlineLevel="0" collapsed="false">
      <c r="A363" s="14" t="b">
        <f aca="false">TRUE()</f>
        <v>1</v>
      </c>
      <c r="B363" s="14" t="b">
        <f aca="false">FALSE()</f>
        <v>0</v>
      </c>
      <c r="C363" s="4" t="n">
        <v>3</v>
      </c>
      <c r="D363" s="4"/>
      <c r="E363" s="4"/>
      <c r="F363" s="4"/>
      <c r="G363" s="4" t="n">
        <v>2</v>
      </c>
      <c r="H363" s="14" t="b">
        <f aca="false">TRUE()</f>
        <v>1</v>
      </c>
      <c r="I363" s="14" t="b">
        <f aca="false">FALSE()</f>
        <v>0</v>
      </c>
      <c r="J363" s="4"/>
      <c r="K363" s="4" t="s">
        <v>1500</v>
      </c>
      <c r="L363" s="4" t="s">
        <v>1501</v>
      </c>
      <c r="M363" s="4" t="s">
        <v>1502</v>
      </c>
      <c r="N363" s="6" t="n">
        <v>20540</v>
      </c>
      <c r="O363" s="6" t="n">
        <v>36997</v>
      </c>
      <c r="P363" s="4" t="s">
        <v>46</v>
      </c>
      <c r="Q363" s="6" t="n">
        <v>93000</v>
      </c>
      <c r="R363" s="15" t="n">
        <v>35754</v>
      </c>
      <c r="S363" s="6" t="n">
        <v>62000</v>
      </c>
      <c r="T363" s="15" t="n">
        <v>38881</v>
      </c>
      <c r="U363" s="6"/>
      <c r="V363" s="15"/>
      <c r="W363" s="4" t="s">
        <v>47</v>
      </c>
      <c r="X363" s="4" t="s">
        <v>58</v>
      </c>
      <c r="Y363" s="4" t="s">
        <v>1503</v>
      </c>
      <c r="Z363" s="4" t="s">
        <v>165</v>
      </c>
      <c r="AA363" s="6" t="n">
        <v>0</v>
      </c>
      <c r="AB363" s="6" t="n">
        <v>4402.9</v>
      </c>
      <c r="AC363" s="6" t="n">
        <v>4710.1</v>
      </c>
      <c r="AD363" s="14" t="b">
        <f aca="false">FALSE()</f>
        <v>0</v>
      </c>
    </row>
    <row r="364" customFormat="false" ht="15" hidden="false" customHeight="false" outlineLevel="0" collapsed="false">
      <c r="A364" s="14" t="b">
        <f aca="false">TRUE()</f>
        <v>1</v>
      </c>
      <c r="B364" s="14" t="b">
        <f aca="false">FALSE()</f>
        <v>0</v>
      </c>
      <c r="C364" s="4" t="n">
        <v>3</v>
      </c>
      <c r="D364" s="4"/>
      <c r="E364" s="4"/>
      <c r="F364" s="4"/>
      <c r="G364" s="4" t="n">
        <v>2</v>
      </c>
      <c r="H364" s="14" t="b">
        <f aca="false">FALSE()</f>
        <v>0</v>
      </c>
      <c r="I364" s="14" t="b">
        <f aca="false">FALSE()</f>
        <v>0</v>
      </c>
      <c r="J364" s="4"/>
      <c r="K364" s="4" t="s">
        <v>1504</v>
      </c>
      <c r="L364" s="4" t="s">
        <v>1505</v>
      </c>
      <c r="M364" s="4" t="s">
        <v>1506</v>
      </c>
      <c r="N364" s="6" t="n">
        <v>21208</v>
      </c>
      <c r="O364" s="6" t="n">
        <v>70435</v>
      </c>
      <c r="P364" s="4" t="s">
        <v>46</v>
      </c>
      <c r="Q364" s="6" t="n">
        <v>118000</v>
      </c>
      <c r="R364" s="15" t="n">
        <v>34338</v>
      </c>
      <c r="S364" s="6" t="n">
        <v>50000</v>
      </c>
      <c r="T364" s="15" t="n">
        <v>45152</v>
      </c>
      <c r="U364" s="6"/>
      <c r="V364" s="15"/>
      <c r="W364" s="4" t="s">
        <v>47</v>
      </c>
      <c r="X364" s="4" t="s">
        <v>58</v>
      </c>
      <c r="Y364" s="4" t="s">
        <v>1507</v>
      </c>
      <c r="Z364" s="4" t="s">
        <v>165</v>
      </c>
      <c r="AA364" s="6" t="n">
        <v>0</v>
      </c>
      <c r="AB364" s="6" t="n">
        <v>7434.28</v>
      </c>
      <c r="AC364" s="6" t="n">
        <v>7946.09</v>
      </c>
      <c r="AD364" s="14" t="b">
        <f aca="false">FALSE()</f>
        <v>0</v>
      </c>
    </row>
    <row r="365" customFormat="false" ht="15" hidden="false" customHeight="false" outlineLevel="0" collapsed="false">
      <c r="A365" s="14" t="b">
        <f aca="false">TRUE()</f>
        <v>1</v>
      </c>
      <c r="B365" s="14" t="b">
        <f aca="false">FALSE()</f>
        <v>0</v>
      </c>
      <c r="C365" s="4" t="n">
        <v>2</v>
      </c>
      <c r="D365" s="4"/>
      <c r="E365" s="4"/>
      <c r="F365" s="4"/>
      <c r="G365" s="4"/>
      <c r="H365" s="14" t="b">
        <f aca="false">FALSE()</f>
        <v>0</v>
      </c>
      <c r="I365" s="14" t="b">
        <f aca="false">FALSE()</f>
        <v>0</v>
      </c>
      <c r="J365" s="4"/>
      <c r="K365" s="4" t="s">
        <v>1508</v>
      </c>
      <c r="L365" s="4" t="s">
        <v>1509</v>
      </c>
      <c r="M365" s="4" t="s">
        <v>1510</v>
      </c>
      <c r="N365" s="6" t="n">
        <v>15153</v>
      </c>
      <c r="O365" s="6" t="n">
        <v>36581</v>
      </c>
      <c r="P365" s="4" t="s">
        <v>46</v>
      </c>
      <c r="Q365" s="6" t="n">
        <v>48000</v>
      </c>
      <c r="R365" s="15" t="n">
        <v>41228</v>
      </c>
      <c r="S365" s="6"/>
      <c r="T365" s="15"/>
      <c r="U365" s="6"/>
      <c r="V365" s="15"/>
      <c r="W365" s="4" t="s">
        <v>47</v>
      </c>
      <c r="X365" s="4" t="s">
        <v>47</v>
      </c>
      <c r="Y365" s="4" t="s">
        <v>1511</v>
      </c>
      <c r="Z365" s="4" t="s">
        <v>165</v>
      </c>
      <c r="AA365" s="6" t="n">
        <v>0</v>
      </c>
      <c r="AB365" s="6" t="n">
        <v>3887.14</v>
      </c>
      <c r="AC365" s="6" t="n">
        <v>2041.03</v>
      </c>
      <c r="AD365" s="14" t="b">
        <f aca="false">TRUE()</f>
        <v>1</v>
      </c>
    </row>
    <row r="366" customFormat="false" ht="15" hidden="false" customHeight="false" outlineLevel="0" collapsed="false">
      <c r="A366" s="14" t="b">
        <f aca="false">TRUE()</f>
        <v>1</v>
      </c>
      <c r="B366" s="14" t="b">
        <f aca="false">FALSE()</f>
        <v>0</v>
      </c>
      <c r="C366" s="4" t="n">
        <v>2</v>
      </c>
      <c r="D366" s="4"/>
      <c r="E366" s="4"/>
      <c r="F366" s="4"/>
      <c r="G366" s="4" t="n">
        <v>3</v>
      </c>
      <c r="H366" s="14" t="b">
        <f aca="false">FALSE()</f>
        <v>0</v>
      </c>
      <c r="I366" s="14" t="b">
        <f aca="false">FALSE()</f>
        <v>0</v>
      </c>
      <c r="J366" s="4"/>
      <c r="K366" s="4" t="s">
        <v>1512</v>
      </c>
      <c r="L366" s="4" t="s">
        <v>1513</v>
      </c>
      <c r="M366" s="4" t="s">
        <v>1514</v>
      </c>
      <c r="N366" s="6" t="n">
        <v>25741</v>
      </c>
      <c r="O366" s="6" t="n">
        <v>71333</v>
      </c>
      <c r="P366" s="4" t="s">
        <v>46</v>
      </c>
      <c r="Q366" s="6" t="n">
        <v>125000</v>
      </c>
      <c r="R366" s="15" t="n">
        <v>36115</v>
      </c>
      <c r="S366" s="6"/>
      <c r="T366" s="15"/>
      <c r="U366" s="6"/>
      <c r="V366" s="15"/>
      <c r="W366" s="4" t="s">
        <v>47</v>
      </c>
      <c r="X366" s="4" t="s">
        <v>47</v>
      </c>
      <c r="Y366" s="4" t="s">
        <v>1515</v>
      </c>
      <c r="Z366" s="4" t="s">
        <v>165</v>
      </c>
      <c r="AA366" s="6" t="n">
        <v>0</v>
      </c>
      <c r="AB366" s="6" t="n">
        <v>7917</v>
      </c>
      <c r="AC366" s="6" t="n">
        <v>8461.4</v>
      </c>
      <c r="AD366" s="14" t="b">
        <f aca="false">FALSE()</f>
        <v>0</v>
      </c>
    </row>
    <row r="367" customFormat="false" ht="15" hidden="false" customHeight="false" outlineLevel="0" collapsed="false">
      <c r="A367" s="14" t="b">
        <f aca="false">TRUE()</f>
        <v>1</v>
      </c>
      <c r="B367" s="14" t="b">
        <f aca="false">FALSE()</f>
        <v>0</v>
      </c>
      <c r="C367" s="4" t="n">
        <v>2</v>
      </c>
      <c r="D367" s="4"/>
      <c r="E367" s="4"/>
      <c r="F367" s="4"/>
      <c r="G367" s="4"/>
      <c r="H367" s="14" t="b">
        <f aca="false">FALSE()</f>
        <v>0</v>
      </c>
      <c r="I367" s="14" t="b">
        <f aca="false">FALSE()</f>
        <v>0</v>
      </c>
      <c r="J367" s="4"/>
      <c r="K367" s="4" t="s">
        <v>1516</v>
      </c>
      <c r="L367" s="4" t="s">
        <v>1517</v>
      </c>
      <c r="M367" s="4" t="s">
        <v>1518</v>
      </c>
      <c r="N367" s="6" t="n">
        <v>7500</v>
      </c>
      <c r="O367" s="6" t="n">
        <v>38727</v>
      </c>
      <c r="P367" s="4" t="s">
        <v>46</v>
      </c>
      <c r="Q367" s="6"/>
      <c r="R367" s="15"/>
      <c r="S367" s="6"/>
      <c r="T367" s="15"/>
      <c r="U367" s="6"/>
      <c r="V367" s="15"/>
      <c r="W367" s="4" t="s">
        <v>47</v>
      </c>
      <c r="X367" s="4" t="s">
        <v>58</v>
      </c>
      <c r="Y367" s="4" t="s">
        <v>1519</v>
      </c>
      <c r="Z367" s="4" t="s">
        <v>165</v>
      </c>
      <c r="AA367" s="6" t="n">
        <v>0</v>
      </c>
      <c r="AB367" s="6" t="n">
        <v>3397.66</v>
      </c>
      <c r="AC367" s="6" t="n">
        <v>3637</v>
      </c>
      <c r="AD367" s="14" t="b">
        <f aca="false">FALSE()</f>
        <v>0</v>
      </c>
    </row>
    <row r="368" customFormat="false" ht="15" hidden="false" customHeight="false" outlineLevel="0" collapsed="false">
      <c r="A368" s="14" t="b">
        <f aca="false">TRUE()</f>
        <v>1</v>
      </c>
      <c r="B368" s="14" t="b">
        <f aca="false">FALSE()</f>
        <v>0</v>
      </c>
      <c r="C368" s="4" t="n">
        <v>2</v>
      </c>
      <c r="D368" s="4"/>
      <c r="E368" s="4"/>
      <c r="F368" s="4"/>
      <c r="G368" s="4"/>
      <c r="H368" s="14" t="b">
        <f aca="false">FALSE()</f>
        <v>0</v>
      </c>
      <c r="I368" s="14" t="b">
        <f aca="false">FALSE()</f>
        <v>0</v>
      </c>
      <c r="J368" s="4"/>
      <c r="K368" s="4" t="s">
        <v>1520</v>
      </c>
      <c r="L368" s="4" t="s">
        <v>1521</v>
      </c>
      <c r="M368" s="4" t="s">
        <v>1522</v>
      </c>
      <c r="N368" s="6" t="n">
        <v>18975</v>
      </c>
      <c r="O368" s="6" t="n">
        <v>37216</v>
      </c>
      <c r="P368" s="4" t="s">
        <v>46</v>
      </c>
      <c r="Q368" s="6" t="n">
        <v>123000</v>
      </c>
      <c r="R368" s="15" t="n">
        <v>36787</v>
      </c>
      <c r="S368" s="6" t="n">
        <v>170000</v>
      </c>
      <c r="T368" s="15" t="n">
        <v>38867</v>
      </c>
      <c r="U368" s="6"/>
      <c r="V368" s="15"/>
      <c r="W368" s="4" t="s">
        <v>47</v>
      </c>
      <c r="X368" s="4" t="s">
        <v>58</v>
      </c>
      <c r="Y368" s="4" t="s">
        <v>1523</v>
      </c>
      <c r="Z368" s="4" t="s">
        <v>165</v>
      </c>
      <c r="AA368" s="6" t="n">
        <v>0</v>
      </c>
      <c r="AB368" s="6" t="n">
        <v>4283.26</v>
      </c>
      <c r="AC368" s="6" t="n">
        <v>2248</v>
      </c>
      <c r="AD368" s="14" t="b">
        <f aca="false">TRUE()</f>
        <v>1</v>
      </c>
    </row>
    <row r="369" customFormat="false" ht="15" hidden="false" customHeight="false" outlineLevel="0" collapsed="false">
      <c r="A369" s="14" t="b">
        <f aca="false">TRUE()</f>
        <v>1</v>
      </c>
      <c r="B369" s="14" t="b">
        <f aca="false">FALSE()</f>
        <v>0</v>
      </c>
      <c r="C369" s="4" t="n">
        <v>2</v>
      </c>
      <c r="D369" s="4"/>
      <c r="E369" s="4"/>
      <c r="F369" s="4"/>
      <c r="G369" s="4" t="n">
        <v>2</v>
      </c>
      <c r="H369" s="14" t="b">
        <f aca="false">TRUE()</f>
        <v>1</v>
      </c>
      <c r="I369" s="14" t="b">
        <f aca="false">FALSE()</f>
        <v>0</v>
      </c>
      <c r="J369" s="4"/>
      <c r="K369" s="4" t="s">
        <v>1524</v>
      </c>
      <c r="L369" s="4" t="s">
        <v>1525</v>
      </c>
      <c r="M369" s="4" t="s">
        <v>1526</v>
      </c>
      <c r="N369" s="6" t="n">
        <v>19632</v>
      </c>
      <c r="O369" s="6" t="n">
        <v>34008</v>
      </c>
      <c r="P369" s="4" t="s">
        <v>46</v>
      </c>
      <c r="Q369" s="6"/>
      <c r="R369" s="15"/>
      <c r="S369" s="6"/>
      <c r="T369" s="15"/>
      <c r="U369" s="6"/>
      <c r="V369" s="15"/>
      <c r="W369" s="4"/>
      <c r="X369" s="4"/>
      <c r="Y369" s="4" t="s">
        <v>1527</v>
      </c>
      <c r="Z369" s="4" t="s">
        <v>165</v>
      </c>
      <c r="AA369" s="6" t="n">
        <v>0</v>
      </c>
      <c r="AB369" s="6" t="n">
        <v>4767.58</v>
      </c>
      <c r="AC369" s="6" t="n">
        <v>5099.39</v>
      </c>
      <c r="AD369" s="14" t="b">
        <f aca="false">FALSE()</f>
        <v>0</v>
      </c>
    </row>
    <row r="370" customFormat="false" ht="15" hidden="false" customHeight="false" outlineLevel="0" collapsed="false">
      <c r="A370" s="14" t="b">
        <f aca="false">TRUE()</f>
        <v>1</v>
      </c>
      <c r="B370" s="14" t="b">
        <f aca="false">FALSE()</f>
        <v>0</v>
      </c>
      <c r="C370" s="4" t="n">
        <v>3</v>
      </c>
      <c r="D370" s="4"/>
      <c r="E370" s="4"/>
      <c r="F370" s="4"/>
      <c r="G370" s="4" t="n">
        <v>3</v>
      </c>
      <c r="H370" s="14" t="b">
        <f aca="false">FALSE()</f>
        <v>0</v>
      </c>
      <c r="I370" s="14" t="b">
        <f aca="false">FALSE()</f>
        <v>0</v>
      </c>
      <c r="J370" s="4"/>
      <c r="K370" s="4" t="s">
        <v>1528</v>
      </c>
      <c r="L370" s="4" t="s">
        <v>1529</v>
      </c>
      <c r="M370" s="4" t="s">
        <v>1530</v>
      </c>
      <c r="N370" s="6" t="n">
        <v>18975</v>
      </c>
      <c r="O370" s="6" t="n">
        <v>57975</v>
      </c>
      <c r="P370" s="4" t="s">
        <v>46</v>
      </c>
      <c r="Q370" s="6" t="n">
        <v>192500</v>
      </c>
      <c r="R370" s="15" t="n">
        <v>38503</v>
      </c>
      <c r="S370" s="6" t="n">
        <v>173250</v>
      </c>
      <c r="T370" s="15" t="n">
        <v>38503</v>
      </c>
      <c r="U370" s="6"/>
      <c r="V370" s="15"/>
      <c r="W370" s="4" t="s">
        <v>47</v>
      </c>
      <c r="X370" s="4" t="s">
        <v>47</v>
      </c>
      <c r="Y370" s="4" t="s">
        <v>1531</v>
      </c>
      <c r="Z370" s="4" t="s">
        <v>165</v>
      </c>
      <c r="AA370" s="6" t="n">
        <v>0</v>
      </c>
      <c r="AB370" s="6" t="n">
        <v>6128.36</v>
      </c>
      <c r="AC370" s="6" t="n">
        <v>6552.03</v>
      </c>
      <c r="AD370" s="14" t="b">
        <f aca="false">FALSE()</f>
        <v>0</v>
      </c>
    </row>
    <row r="371" customFormat="false" ht="15" hidden="false" customHeight="false" outlineLevel="0" collapsed="false">
      <c r="A371" s="14" t="b">
        <f aca="false">TRUE()</f>
        <v>1</v>
      </c>
      <c r="B371" s="14" t="b">
        <f aca="false">FALSE()</f>
        <v>0</v>
      </c>
      <c r="C371" s="4" t="n">
        <v>3</v>
      </c>
      <c r="D371" s="4"/>
      <c r="E371" s="4"/>
      <c r="F371" s="4"/>
      <c r="G371" s="4" t="n">
        <v>2</v>
      </c>
      <c r="H371" s="14" t="b">
        <f aca="false">FALSE()</f>
        <v>0</v>
      </c>
      <c r="I371" s="14" t="b">
        <f aca="false">FALSE()</f>
        <v>0</v>
      </c>
      <c r="J371" s="4"/>
      <c r="K371" s="4" t="s">
        <v>1532</v>
      </c>
      <c r="L371" s="4" t="s">
        <v>1533</v>
      </c>
      <c r="M371" s="4" t="s">
        <v>1534</v>
      </c>
      <c r="N371" s="6" t="n">
        <v>22467</v>
      </c>
      <c r="O371" s="6" t="n">
        <v>64982</v>
      </c>
      <c r="P371" s="4" t="s">
        <v>46</v>
      </c>
      <c r="Q371" s="6" t="n">
        <v>195000</v>
      </c>
      <c r="R371" s="15" t="n">
        <v>37505</v>
      </c>
      <c r="S371" s="6" t="n">
        <v>173500</v>
      </c>
      <c r="T371" s="15" t="n">
        <v>39626</v>
      </c>
      <c r="U371" s="6"/>
      <c r="V371" s="15"/>
      <c r="W371" s="4" t="s">
        <v>47</v>
      </c>
      <c r="X371" s="4" t="s">
        <v>58</v>
      </c>
      <c r="Y371" s="4" t="s">
        <v>1535</v>
      </c>
      <c r="Z371" s="4" t="s">
        <v>165</v>
      </c>
      <c r="AA371" s="6" t="n">
        <v>0</v>
      </c>
      <c r="AB371" s="6" t="n">
        <v>6690.4</v>
      </c>
      <c r="AC371" s="6" t="n">
        <v>7152</v>
      </c>
      <c r="AD371" s="14" t="b">
        <f aca="false">FALSE()</f>
        <v>0</v>
      </c>
    </row>
    <row r="372" customFormat="false" ht="15" hidden="false" customHeight="false" outlineLevel="0" collapsed="false">
      <c r="A372" s="14" t="b">
        <f aca="false">TRUE()</f>
        <v>1</v>
      </c>
      <c r="B372" s="14" t="b">
        <f aca="false">FALSE()</f>
        <v>0</v>
      </c>
      <c r="C372" s="4" t="n">
        <v>2</v>
      </c>
      <c r="D372" s="4"/>
      <c r="E372" s="4"/>
      <c r="F372" s="4"/>
      <c r="G372" s="4"/>
      <c r="H372" s="14" t="b">
        <f aca="false">FALSE()</f>
        <v>0</v>
      </c>
      <c r="I372" s="14" t="b">
        <f aca="false">FALSE()</f>
        <v>0</v>
      </c>
      <c r="J372" s="4"/>
      <c r="K372" s="4" t="s">
        <v>1536</v>
      </c>
      <c r="L372" s="4" t="s">
        <v>1537</v>
      </c>
      <c r="M372" s="4" t="s">
        <v>1538</v>
      </c>
      <c r="N372" s="6" t="n">
        <v>23267</v>
      </c>
      <c r="O372" s="6" t="n">
        <v>37051</v>
      </c>
      <c r="P372" s="4" t="s">
        <v>46</v>
      </c>
      <c r="Q372" s="6" t="n">
        <v>160000</v>
      </c>
      <c r="R372" s="15" t="n">
        <v>44845</v>
      </c>
      <c r="S372" s="6" t="n">
        <v>128000</v>
      </c>
      <c r="T372" s="15" t="n">
        <v>44845</v>
      </c>
      <c r="U372" s="6"/>
      <c r="V372" s="15"/>
      <c r="W372" s="4" t="s">
        <v>47</v>
      </c>
      <c r="X372" s="4" t="s">
        <v>47</v>
      </c>
      <c r="Y372" s="4" t="s">
        <v>1539</v>
      </c>
      <c r="Z372" s="4" t="s">
        <v>165</v>
      </c>
      <c r="AA372" s="6" t="n">
        <v>0</v>
      </c>
      <c r="AB372" s="6" t="n">
        <v>4405.7</v>
      </c>
      <c r="AC372" s="6" t="n">
        <v>2311.98</v>
      </c>
      <c r="AD372" s="14" t="b">
        <f aca="false">TRUE()</f>
        <v>1</v>
      </c>
    </row>
    <row r="373" customFormat="false" ht="15" hidden="false" customHeight="false" outlineLevel="0" collapsed="false">
      <c r="A373" s="14" t="b">
        <f aca="false">TRUE()</f>
        <v>1</v>
      </c>
      <c r="B373" s="14" t="b">
        <f aca="false">FALSE()</f>
        <v>0</v>
      </c>
      <c r="C373" s="4" t="n">
        <v>2</v>
      </c>
      <c r="D373" s="4"/>
      <c r="E373" s="4"/>
      <c r="F373" s="4"/>
      <c r="G373" s="4"/>
      <c r="H373" s="14" t="b">
        <f aca="false">FALSE()</f>
        <v>0</v>
      </c>
      <c r="I373" s="14" t="b">
        <f aca="false">FALSE()</f>
        <v>0</v>
      </c>
      <c r="J373" s="4"/>
      <c r="K373" s="4" t="s">
        <v>1540</v>
      </c>
      <c r="L373" s="4" t="s">
        <v>1541</v>
      </c>
      <c r="M373" s="4" t="s">
        <v>1542</v>
      </c>
      <c r="N373" s="6" t="n">
        <v>28883</v>
      </c>
      <c r="O373" s="6" t="n">
        <v>31073</v>
      </c>
      <c r="P373" s="4" t="s">
        <v>46</v>
      </c>
      <c r="Q373" s="6" t="n">
        <v>160000</v>
      </c>
      <c r="R373" s="15" t="n">
        <v>43993</v>
      </c>
      <c r="S373" s="6"/>
      <c r="T373" s="15"/>
      <c r="U373" s="6"/>
      <c r="V373" s="15"/>
      <c r="W373" s="4" t="s">
        <v>47</v>
      </c>
      <c r="X373" s="4" t="s">
        <v>58</v>
      </c>
      <c r="Y373" s="4" t="s">
        <v>1543</v>
      </c>
      <c r="Z373" s="4" t="s">
        <v>165</v>
      </c>
      <c r="AA373" s="6" t="n">
        <v>0</v>
      </c>
      <c r="AB373" s="6" t="n">
        <v>4218.7</v>
      </c>
      <c r="AC373" s="6" t="n">
        <v>4513.46</v>
      </c>
      <c r="AD373" s="14" t="b">
        <f aca="false">FALSE()</f>
        <v>0</v>
      </c>
    </row>
    <row r="374" customFormat="false" ht="15" hidden="false" customHeight="false" outlineLevel="0" collapsed="false">
      <c r="A374" s="14" t="b">
        <f aca="false">TRUE()</f>
        <v>1</v>
      </c>
      <c r="B374" s="14" t="b">
        <f aca="false">FALSE()</f>
        <v>0</v>
      </c>
      <c r="C374" s="4" t="n">
        <v>2</v>
      </c>
      <c r="D374" s="4"/>
      <c r="E374" s="4"/>
      <c r="F374" s="4"/>
      <c r="G374" s="4"/>
      <c r="H374" s="14" t="b">
        <f aca="false">FALSE()</f>
        <v>0</v>
      </c>
      <c r="I374" s="14" t="b">
        <f aca="false">FALSE()</f>
        <v>0</v>
      </c>
      <c r="J374" s="4"/>
      <c r="K374" s="4" t="s">
        <v>1544</v>
      </c>
      <c r="L374" s="4" t="s">
        <v>1545</v>
      </c>
      <c r="M374" s="4" t="s">
        <v>1546</v>
      </c>
      <c r="N374" s="6" t="n">
        <v>53497</v>
      </c>
      <c r="O374" s="6" t="n">
        <v>64227</v>
      </c>
      <c r="P374" s="4" t="s">
        <v>46</v>
      </c>
      <c r="Q374" s="6" t="n">
        <v>250000</v>
      </c>
      <c r="R374" s="15" t="n">
        <v>44502</v>
      </c>
      <c r="S374" s="6"/>
      <c r="T374" s="15"/>
      <c r="U374" s="6"/>
      <c r="V374" s="15"/>
      <c r="W374" s="4" t="s">
        <v>47</v>
      </c>
      <c r="X374" s="4" t="s">
        <v>47</v>
      </c>
      <c r="Y374" s="4" t="s">
        <v>1547</v>
      </c>
      <c r="Z374" s="4" t="s">
        <v>165</v>
      </c>
      <c r="AA374" s="6" t="n">
        <v>0</v>
      </c>
      <c r="AB374" s="6" t="n">
        <v>9558.84</v>
      </c>
      <c r="AC374" s="6" t="n">
        <v>5004.49</v>
      </c>
      <c r="AD374" s="14" t="b">
        <f aca="false">TRUE()</f>
        <v>1</v>
      </c>
    </row>
    <row r="375" customFormat="false" ht="15" hidden="false" customHeight="false" outlineLevel="0" collapsed="false">
      <c r="A375" s="14" t="b">
        <f aca="false">TRUE()</f>
        <v>1</v>
      </c>
      <c r="B375" s="14" t="b">
        <f aca="false">FALSE()</f>
        <v>0</v>
      </c>
      <c r="C375" s="4" t="n">
        <v>2</v>
      </c>
      <c r="D375" s="4"/>
      <c r="E375" s="4"/>
      <c r="F375" s="4"/>
      <c r="G375" s="4" t="n">
        <v>3</v>
      </c>
      <c r="H375" s="14" t="b">
        <f aca="false">TRUE()</f>
        <v>1</v>
      </c>
      <c r="I375" s="14" t="b">
        <f aca="false">FALSE()</f>
        <v>0</v>
      </c>
      <c r="J375" s="4"/>
      <c r="K375" s="4" t="s">
        <v>1548</v>
      </c>
      <c r="L375" s="4" t="s">
        <v>1549</v>
      </c>
      <c r="M375" s="4" t="s">
        <v>1550</v>
      </c>
      <c r="N375" s="6" t="n">
        <v>14814</v>
      </c>
      <c r="O375" s="6" t="n">
        <v>62771</v>
      </c>
      <c r="P375" s="4" t="s">
        <v>46</v>
      </c>
      <c r="Q375" s="6" t="n">
        <v>115500</v>
      </c>
      <c r="R375" s="15" t="n">
        <v>35226</v>
      </c>
      <c r="S375" s="6"/>
      <c r="T375" s="15"/>
      <c r="U375" s="6"/>
      <c r="V375" s="15"/>
      <c r="W375" s="4" t="s">
        <v>47</v>
      </c>
      <c r="X375" s="4" t="s">
        <v>47</v>
      </c>
      <c r="Y375" s="4" t="s">
        <v>1551</v>
      </c>
      <c r="Z375" s="4" t="s">
        <v>1552</v>
      </c>
      <c r="AA375" s="6" t="n">
        <v>0</v>
      </c>
      <c r="AB375" s="6" t="n">
        <v>5284.72</v>
      </c>
      <c r="AC375" s="6" t="n">
        <v>2771.27</v>
      </c>
      <c r="AD375" s="14" t="b">
        <f aca="false">TRUE()</f>
        <v>1</v>
      </c>
    </row>
    <row r="376" customFormat="false" ht="15" hidden="false" customHeight="false" outlineLevel="0" collapsed="false">
      <c r="A376" s="14" t="b">
        <f aca="false">TRUE()</f>
        <v>1</v>
      </c>
      <c r="B376" s="14" t="b">
        <f aca="false">FALSE()</f>
        <v>0</v>
      </c>
      <c r="C376" s="4" t="n">
        <v>3</v>
      </c>
      <c r="D376" s="4"/>
      <c r="E376" s="4"/>
      <c r="F376" s="4"/>
      <c r="G376" s="4" t="n">
        <v>3</v>
      </c>
      <c r="H376" s="14" t="b">
        <f aca="false">TRUE()</f>
        <v>1</v>
      </c>
      <c r="I376" s="14" t="b">
        <f aca="false">FALSE()</f>
        <v>0</v>
      </c>
      <c r="J376" s="4"/>
      <c r="K376" s="4" t="s">
        <v>1553</v>
      </c>
      <c r="L376" s="4" t="s">
        <v>1554</v>
      </c>
      <c r="M376" s="4" t="s">
        <v>1555</v>
      </c>
      <c r="N376" s="6" t="n">
        <v>42044</v>
      </c>
      <c r="O376" s="6" t="n">
        <v>128333</v>
      </c>
      <c r="P376" s="4" t="s">
        <v>46</v>
      </c>
      <c r="Q376" s="6"/>
      <c r="R376" s="15"/>
      <c r="S376" s="6" t="n">
        <v>78000</v>
      </c>
      <c r="T376" s="15" t="n">
        <v>44999</v>
      </c>
      <c r="U376" s="6"/>
      <c r="V376" s="15"/>
      <c r="W376" s="4" t="s">
        <v>47</v>
      </c>
      <c r="X376" s="4" t="s">
        <v>47</v>
      </c>
      <c r="Y376" s="4" t="s">
        <v>1556</v>
      </c>
      <c r="Z376" s="4" t="s">
        <v>1552</v>
      </c>
      <c r="AA376" s="6" t="n">
        <v>0</v>
      </c>
      <c r="AB376" s="6" t="n">
        <v>13933.88</v>
      </c>
      <c r="AC376" s="6" t="n">
        <v>14884.41</v>
      </c>
      <c r="AD376" s="14" t="b">
        <f aca="false">FALSE()</f>
        <v>0</v>
      </c>
    </row>
    <row r="377" customFormat="false" ht="15" hidden="false" customHeight="false" outlineLevel="0" collapsed="false">
      <c r="A377" s="14" t="b">
        <f aca="false">TRUE()</f>
        <v>1</v>
      </c>
      <c r="B377" s="14" t="b">
        <f aca="false">FALSE()</f>
        <v>0</v>
      </c>
      <c r="C377" s="4" t="n">
        <v>2</v>
      </c>
      <c r="D377" s="4"/>
      <c r="E377" s="4"/>
      <c r="F377" s="4"/>
      <c r="G377" s="4"/>
      <c r="H377" s="14" t="b">
        <f aca="false">FALSE()</f>
        <v>0</v>
      </c>
      <c r="I377" s="14" t="b">
        <f aca="false">FALSE()</f>
        <v>0</v>
      </c>
      <c r="J377" s="4"/>
      <c r="K377" s="4" t="s">
        <v>1557</v>
      </c>
      <c r="L377" s="4" t="s">
        <v>1558</v>
      </c>
      <c r="M377" s="4" t="s">
        <v>1559</v>
      </c>
      <c r="N377" s="6" t="n">
        <v>14814</v>
      </c>
      <c r="O377" s="6" t="n">
        <v>59628</v>
      </c>
      <c r="P377" s="4" t="s">
        <v>46</v>
      </c>
      <c r="Q377" s="6" t="n">
        <v>22000</v>
      </c>
      <c r="R377" s="15" t="n">
        <v>35403</v>
      </c>
      <c r="S377" s="6"/>
      <c r="T377" s="15"/>
      <c r="U377" s="6"/>
      <c r="V377" s="15"/>
      <c r="W377" s="4" t="s">
        <v>47</v>
      </c>
      <c r="X377" s="4" t="s">
        <v>47</v>
      </c>
      <c r="Y377" s="4" t="s">
        <v>1560</v>
      </c>
      <c r="Z377" s="4" t="s">
        <v>1552</v>
      </c>
      <c r="AA377" s="6" t="n">
        <v>0</v>
      </c>
      <c r="AB377" s="6" t="n">
        <v>5701.54</v>
      </c>
      <c r="AC377" s="6" t="n">
        <v>2989.05</v>
      </c>
      <c r="AD377" s="14" t="b">
        <f aca="false">TRUE()</f>
        <v>1</v>
      </c>
    </row>
    <row r="378" customFormat="false" ht="15" hidden="false" customHeight="false" outlineLevel="0" collapsed="false">
      <c r="A378" s="14" t="b">
        <f aca="false">TRUE()</f>
        <v>1</v>
      </c>
      <c r="B378" s="14" t="b">
        <f aca="false">FALSE()</f>
        <v>0</v>
      </c>
      <c r="C378" s="4" t="n">
        <v>3</v>
      </c>
      <c r="D378" s="4"/>
      <c r="E378" s="4"/>
      <c r="F378" s="4"/>
      <c r="G378" s="4"/>
      <c r="H378" s="14" t="b">
        <f aca="false">FALSE()</f>
        <v>0</v>
      </c>
      <c r="I378" s="14" t="b">
        <f aca="false">FALSE()</f>
        <v>0</v>
      </c>
      <c r="J378" s="4"/>
      <c r="K378" s="4" t="s">
        <v>1561</v>
      </c>
      <c r="L378" s="4" t="s">
        <v>1562</v>
      </c>
      <c r="M378" s="4" t="s">
        <v>1563</v>
      </c>
      <c r="N378" s="6" t="n">
        <v>32190</v>
      </c>
      <c r="O378" s="6" t="n">
        <v>80563</v>
      </c>
      <c r="P378" s="4" t="s">
        <v>46</v>
      </c>
      <c r="Q378" s="6" t="n">
        <v>375000</v>
      </c>
      <c r="R378" s="15" t="n">
        <v>45664</v>
      </c>
      <c r="S378" s="6" t="n">
        <v>375000</v>
      </c>
      <c r="T378" s="15" t="n">
        <v>45664</v>
      </c>
      <c r="U378" s="6"/>
      <c r="V378" s="15"/>
      <c r="W378" s="4" t="s">
        <v>47</v>
      </c>
      <c r="X378" s="4" t="s">
        <v>58</v>
      </c>
      <c r="Y378" s="4" t="s">
        <v>1564</v>
      </c>
      <c r="Z378" s="4" t="s">
        <v>1552</v>
      </c>
      <c r="AA378" s="6" t="n">
        <v>0</v>
      </c>
      <c r="AB378" s="6" t="n">
        <v>7862.68</v>
      </c>
      <c r="AC378" s="6" t="n">
        <v>8403.41</v>
      </c>
      <c r="AD378" s="14" t="b">
        <f aca="false">FALSE()</f>
        <v>0</v>
      </c>
    </row>
    <row r="379" customFormat="false" ht="15" hidden="false" customHeight="false" outlineLevel="0" collapsed="false">
      <c r="A379" s="14" t="b">
        <f aca="false">TRUE()</f>
        <v>1</v>
      </c>
      <c r="B379" s="14" t="b">
        <f aca="false">FALSE()</f>
        <v>0</v>
      </c>
      <c r="C379" s="4" t="n">
        <v>3</v>
      </c>
      <c r="D379" s="4"/>
      <c r="E379" s="4"/>
      <c r="F379" s="4"/>
      <c r="G379" s="4"/>
      <c r="H379" s="14" t="b">
        <f aca="false">FALSE()</f>
        <v>0</v>
      </c>
      <c r="I379" s="14" t="b">
        <f aca="false">FALSE()</f>
        <v>0</v>
      </c>
      <c r="J379" s="4"/>
      <c r="K379" s="4" t="s">
        <v>1565</v>
      </c>
      <c r="L379" s="4" t="s">
        <v>1566</v>
      </c>
      <c r="M379" s="4" t="s">
        <v>1567</v>
      </c>
      <c r="N379" s="6" t="n">
        <v>44968</v>
      </c>
      <c r="O379" s="6" t="n">
        <v>100052</v>
      </c>
      <c r="P379" s="4" t="s">
        <v>46</v>
      </c>
      <c r="Q379" s="6" t="n">
        <v>331000</v>
      </c>
      <c r="R379" s="15" t="n">
        <v>45714</v>
      </c>
      <c r="S379" s="6" t="n">
        <v>314210</v>
      </c>
      <c r="T379" s="15" t="n">
        <v>45714</v>
      </c>
      <c r="U379" s="6"/>
      <c r="V379" s="15"/>
      <c r="W379" s="4" t="s">
        <v>58</v>
      </c>
      <c r="X379" s="4" t="s">
        <v>47</v>
      </c>
      <c r="Y379" s="4" t="s">
        <v>1568</v>
      </c>
      <c r="Z379" s="4" t="s">
        <v>1552</v>
      </c>
      <c r="AA379" s="6" t="n">
        <v>0</v>
      </c>
      <c r="AB379" s="6" t="n">
        <v>9684.12</v>
      </c>
      <c r="AC379" s="6" t="n">
        <v>10347.8</v>
      </c>
      <c r="AD379" s="14" t="b">
        <f aca="false">FALSE()</f>
        <v>0</v>
      </c>
    </row>
    <row r="380" customFormat="false" ht="15" hidden="false" customHeight="false" outlineLevel="0" collapsed="false">
      <c r="A380" s="14" t="b">
        <f aca="false">TRUE()</f>
        <v>1</v>
      </c>
      <c r="B380" s="14" t="b">
        <f aca="false">FALSE()</f>
        <v>0</v>
      </c>
      <c r="C380" s="4" t="n">
        <v>2</v>
      </c>
      <c r="D380" s="4"/>
      <c r="E380" s="4"/>
      <c r="F380" s="4"/>
      <c r="G380" s="4"/>
      <c r="H380" s="14" t="b">
        <f aca="false">FALSE()</f>
        <v>0</v>
      </c>
      <c r="I380" s="14" t="b">
        <f aca="false">FALSE()</f>
        <v>0</v>
      </c>
      <c r="J380" s="4"/>
      <c r="K380" s="4" t="s">
        <v>1569</v>
      </c>
      <c r="L380" s="4" t="s">
        <v>1570</v>
      </c>
      <c r="M380" s="4" t="s">
        <v>1571</v>
      </c>
      <c r="N380" s="6" t="n">
        <v>8967</v>
      </c>
      <c r="O380" s="6" t="n">
        <v>36186</v>
      </c>
      <c r="P380" s="4" t="s">
        <v>46</v>
      </c>
      <c r="Q380" s="6" t="n">
        <v>105000</v>
      </c>
      <c r="R380" s="15" t="n">
        <v>37328</v>
      </c>
      <c r="S380" s="6"/>
      <c r="T380" s="15"/>
      <c r="U380" s="6"/>
      <c r="V380" s="15"/>
      <c r="W380" s="4" t="s">
        <v>47</v>
      </c>
      <c r="X380" s="4" t="s">
        <v>47</v>
      </c>
      <c r="Y380" s="4" t="s">
        <v>1572</v>
      </c>
      <c r="Z380" s="4" t="s">
        <v>1552</v>
      </c>
      <c r="AA380" s="6" t="n">
        <v>0</v>
      </c>
      <c r="AB380" s="6" t="n">
        <v>3389.14</v>
      </c>
      <c r="AC380" s="6" t="n">
        <v>1780.83</v>
      </c>
      <c r="AD380" s="14" t="b">
        <f aca="false">TRUE()</f>
        <v>1</v>
      </c>
    </row>
    <row r="381" customFormat="false" ht="15" hidden="false" customHeight="false" outlineLevel="0" collapsed="false">
      <c r="A381" s="14" t="b">
        <f aca="false">TRUE()</f>
        <v>1</v>
      </c>
      <c r="B381" s="14" t="b">
        <f aca="false">FALSE()</f>
        <v>0</v>
      </c>
      <c r="C381" s="4" t="n">
        <v>2</v>
      </c>
      <c r="D381" s="4"/>
      <c r="E381" s="4"/>
      <c r="F381" s="4"/>
      <c r="G381" s="4"/>
      <c r="H381" s="14" t="b">
        <f aca="false">FALSE()</f>
        <v>0</v>
      </c>
      <c r="I381" s="14" t="b">
        <f aca="false">FALSE()</f>
        <v>0</v>
      </c>
      <c r="J381" s="4"/>
      <c r="K381" s="4" t="s">
        <v>1573</v>
      </c>
      <c r="L381" s="4" t="s">
        <v>1574</v>
      </c>
      <c r="M381" s="4" t="s">
        <v>1575</v>
      </c>
      <c r="N381" s="6" t="n">
        <v>8967</v>
      </c>
      <c r="O381" s="6" t="n">
        <v>39197</v>
      </c>
      <c r="P381" s="4" t="s">
        <v>46</v>
      </c>
      <c r="Q381" s="6" t="n">
        <v>120000</v>
      </c>
      <c r="R381" s="15" t="n">
        <v>37253</v>
      </c>
      <c r="S381" s="6"/>
      <c r="T381" s="15"/>
      <c r="U381" s="6"/>
      <c r="V381" s="15"/>
      <c r="W381" s="4" t="s">
        <v>47</v>
      </c>
      <c r="X381" s="4" t="s">
        <v>47</v>
      </c>
      <c r="Y381" s="4" t="s">
        <v>1576</v>
      </c>
      <c r="Z381" s="4" t="s">
        <v>1552</v>
      </c>
      <c r="AA381" s="6" t="n">
        <v>0</v>
      </c>
      <c r="AB381" s="6" t="n">
        <v>3615.14</v>
      </c>
      <c r="AC381" s="6" t="n">
        <v>1898.91</v>
      </c>
      <c r="AD381" s="14" t="b">
        <f aca="false">TRUE()</f>
        <v>1</v>
      </c>
    </row>
    <row r="382" customFormat="false" ht="15" hidden="false" customHeight="false" outlineLevel="0" collapsed="false">
      <c r="A382" s="14" t="b">
        <f aca="false">TRUE()</f>
        <v>1</v>
      </c>
      <c r="B382" s="14" t="b">
        <f aca="false">FALSE()</f>
        <v>0</v>
      </c>
      <c r="C382" s="4" t="n">
        <v>2</v>
      </c>
      <c r="D382" s="4"/>
      <c r="E382" s="4"/>
      <c r="F382" s="4"/>
      <c r="G382" s="4"/>
      <c r="H382" s="14" t="b">
        <f aca="false">FALSE()</f>
        <v>0</v>
      </c>
      <c r="I382" s="14" t="b">
        <f aca="false">FALSE()</f>
        <v>0</v>
      </c>
      <c r="J382" s="4"/>
      <c r="K382" s="4" t="s">
        <v>1569</v>
      </c>
      <c r="L382" s="4" t="s">
        <v>1577</v>
      </c>
      <c r="M382" s="4" t="s">
        <v>1578</v>
      </c>
      <c r="N382" s="6" t="n">
        <v>8967</v>
      </c>
      <c r="O382" s="6" t="n">
        <v>39197</v>
      </c>
      <c r="P382" s="4" t="s">
        <v>46</v>
      </c>
      <c r="Q382" s="6" t="n">
        <v>105000</v>
      </c>
      <c r="R382" s="15" t="n">
        <v>37328</v>
      </c>
      <c r="S382" s="6"/>
      <c r="T382" s="15"/>
      <c r="U382" s="6"/>
      <c r="V382" s="15"/>
      <c r="W382" s="4" t="s">
        <v>47</v>
      </c>
      <c r="X382" s="4" t="s">
        <v>47</v>
      </c>
      <c r="Y382" s="4" t="s">
        <v>1572</v>
      </c>
      <c r="Z382" s="4" t="s">
        <v>1552</v>
      </c>
      <c r="AA382" s="6" t="n">
        <v>0</v>
      </c>
      <c r="AB382" s="6" t="n">
        <v>3615.14</v>
      </c>
      <c r="AC382" s="6" t="n">
        <v>1898.91</v>
      </c>
      <c r="AD382" s="14" t="b">
        <f aca="false">TRUE()</f>
        <v>1</v>
      </c>
    </row>
    <row r="383" customFormat="false" ht="15" hidden="false" customHeight="false" outlineLevel="0" collapsed="false">
      <c r="A383" s="14" t="b">
        <f aca="false">TRUE()</f>
        <v>1</v>
      </c>
      <c r="B383" s="14" t="b">
        <f aca="false">FALSE()</f>
        <v>0</v>
      </c>
      <c r="C383" s="4" t="n">
        <v>2</v>
      </c>
      <c r="D383" s="4"/>
      <c r="E383" s="4"/>
      <c r="F383" s="4"/>
      <c r="G383" s="4"/>
      <c r="H383" s="14" t="b">
        <f aca="false">FALSE()</f>
        <v>0</v>
      </c>
      <c r="I383" s="14" t="b">
        <f aca="false">FALSE()</f>
        <v>0</v>
      </c>
      <c r="J383" s="4"/>
      <c r="K383" s="4" t="s">
        <v>1579</v>
      </c>
      <c r="L383" s="4" t="s">
        <v>1580</v>
      </c>
      <c r="M383" s="4" t="s">
        <v>1581</v>
      </c>
      <c r="N383" s="6" t="n">
        <v>11836</v>
      </c>
      <c r="O383" s="6" t="n">
        <v>96822</v>
      </c>
      <c r="P383" s="4" t="s">
        <v>46</v>
      </c>
      <c r="Q383" s="6" t="n">
        <v>254000</v>
      </c>
      <c r="R383" s="15" t="n">
        <v>41799</v>
      </c>
      <c r="S383" s="6" t="n">
        <v>203200</v>
      </c>
      <c r="T383" s="15" t="n">
        <v>41799</v>
      </c>
      <c r="U383" s="6"/>
      <c r="V383" s="15"/>
      <c r="W383" s="4" t="s">
        <v>47</v>
      </c>
      <c r="X383" s="4" t="s">
        <v>47</v>
      </c>
      <c r="Y383" s="4" t="s">
        <v>1582</v>
      </c>
      <c r="Z383" s="4" t="s">
        <v>1552</v>
      </c>
      <c r="AA383" s="6" t="n">
        <v>0</v>
      </c>
      <c r="AB383" s="6" t="n">
        <v>7555.28</v>
      </c>
      <c r="AC383" s="6" t="n">
        <v>3957.63</v>
      </c>
      <c r="AD383" s="14" t="b">
        <f aca="false">TRUE()</f>
        <v>1</v>
      </c>
    </row>
    <row r="384" customFormat="false" ht="15" hidden="false" customHeight="false" outlineLevel="0" collapsed="false">
      <c r="A384" s="14" t="b">
        <f aca="false">TRUE()</f>
        <v>1</v>
      </c>
      <c r="B384" s="14" t="b">
        <f aca="false">FALSE()</f>
        <v>0</v>
      </c>
      <c r="C384" s="4" t="n">
        <v>3</v>
      </c>
      <c r="D384" s="4"/>
      <c r="E384" s="4"/>
      <c r="F384" s="4"/>
      <c r="G384" s="4"/>
      <c r="H384" s="14" t="b">
        <f aca="false">TRUE()</f>
        <v>1</v>
      </c>
      <c r="I384" s="14" t="b">
        <f aca="false">FALSE()</f>
        <v>0</v>
      </c>
      <c r="J384" s="4"/>
      <c r="K384" s="4" t="s">
        <v>1583</v>
      </c>
      <c r="L384" s="4" t="s">
        <v>1584</v>
      </c>
      <c r="M384" s="4" t="s">
        <v>1585</v>
      </c>
      <c r="N384" s="6" t="n">
        <v>38924</v>
      </c>
      <c r="O384" s="6" t="n">
        <v>60066</v>
      </c>
      <c r="P384" s="4" t="s">
        <v>46</v>
      </c>
      <c r="Q384" s="6" t="n">
        <v>100000</v>
      </c>
      <c r="R384" s="15" t="n">
        <v>40746</v>
      </c>
      <c r="S384" s="6" t="n">
        <v>465000</v>
      </c>
      <c r="T384" s="15" t="n">
        <v>44027</v>
      </c>
      <c r="U384" s="6"/>
      <c r="V384" s="15"/>
      <c r="W384" s="4" t="s">
        <v>47</v>
      </c>
      <c r="X384" s="4" t="s">
        <v>47</v>
      </c>
      <c r="Y384" s="4" t="s">
        <v>1586</v>
      </c>
      <c r="Z384" s="4" t="s">
        <v>1552</v>
      </c>
      <c r="AA384" s="6" t="n">
        <v>0</v>
      </c>
      <c r="AB384" s="6" t="n">
        <v>6829.62</v>
      </c>
      <c r="AC384" s="6" t="n">
        <v>7300.62</v>
      </c>
      <c r="AD384" s="14" t="b">
        <f aca="false">FALSE()</f>
        <v>0</v>
      </c>
    </row>
    <row r="385" customFormat="false" ht="15" hidden="false" customHeight="false" outlineLevel="0" collapsed="false">
      <c r="A385" s="14" t="b">
        <f aca="false">TRUE()</f>
        <v>1</v>
      </c>
      <c r="B385" s="14" t="b">
        <f aca="false">FALSE()</f>
        <v>0</v>
      </c>
      <c r="C385" s="4" t="n">
        <v>2</v>
      </c>
      <c r="D385" s="4"/>
      <c r="E385" s="4"/>
      <c r="F385" s="4"/>
      <c r="G385" s="4" t="n">
        <v>2</v>
      </c>
      <c r="H385" s="14" t="b">
        <f aca="false">FALSE()</f>
        <v>0</v>
      </c>
      <c r="I385" s="14" t="b">
        <f aca="false">FALSE()</f>
        <v>0</v>
      </c>
      <c r="J385" s="4"/>
      <c r="K385" s="4" t="s">
        <v>1587</v>
      </c>
      <c r="L385" s="4" t="s">
        <v>1588</v>
      </c>
      <c r="M385" s="4" t="s">
        <v>1589</v>
      </c>
      <c r="N385" s="6" t="n">
        <v>63657</v>
      </c>
      <c r="O385" s="6" t="n">
        <v>62913</v>
      </c>
      <c r="P385" s="4" t="s">
        <v>46</v>
      </c>
      <c r="Q385" s="6" t="n">
        <v>265000</v>
      </c>
      <c r="R385" s="15" t="n">
        <v>45643</v>
      </c>
      <c r="S385" s="6"/>
      <c r="T385" s="15"/>
      <c r="U385" s="6"/>
      <c r="V385" s="15"/>
      <c r="W385" s="4" t="s">
        <v>47</v>
      </c>
      <c r="X385" s="4" t="s">
        <v>58</v>
      </c>
      <c r="Y385" s="4" t="s">
        <v>1590</v>
      </c>
      <c r="Z385" s="4" t="s">
        <v>1552</v>
      </c>
      <c r="AA385" s="6" t="n">
        <v>0</v>
      </c>
      <c r="AB385" s="6" t="n">
        <v>8899.74</v>
      </c>
      <c r="AC385" s="6" t="n">
        <v>4660.11</v>
      </c>
      <c r="AD385" s="14" t="b">
        <f aca="false">TRUE()</f>
        <v>1</v>
      </c>
    </row>
    <row r="386" customFormat="false" ht="15" hidden="false" customHeight="false" outlineLevel="0" collapsed="false">
      <c r="A386" s="14" t="b">
        <f aca="false">TRUE()</f>
        <v>1</v>
      </c>
      <c r="B386" s="14" t="b">
        <f aca="false">FALSE()</f>
        <v>0</v>
      </c>
      <c r="C386" s="4" t="n">
        <v>2</v>
      </c>
      <c r="D386" s="4"/>
      <c r="E386" s="4"/>
      <c r="F386" s="4"/>
      <c r="G386" s="4" t="n">
        <v>2</v>
      </c>
      <c r="H386" s="14" t="b">
        <f aca="false">FALSE()</f>
        <v>0</v>
      </c>
      <c r="I386" s="14" t="b">
        <f aca="false">FALSE()</f>
        <v>0</v>
      </c>
      <c r="J386" s="4"/>
      <c r="K386" s="4" t="s">
        <v>1591</v>
      </c>
      <c r="L386" s="4" t="s">
        <v>1592</v>
      </c>
      <c r="M386" s="4" t="s">
        <v>1593</v>
      </c>
      <c r="N386" s="6" t="n">
        <v>39581</v>
      </c>
      <c r="O386" s="6" t="n">
        <v>87066</v>
      </c>
      <c r="P386" s="4" t="s">
        <v>46</v>
      </c>
      <c r="Q386" s="6"/>
      <c r="R386" s="15" t="n">
        <v>41964</v>
      </c>
      <c r="S386" s="6"/>
      <c r="T386" s="15"/>
      <c r="U386" s="6"/>
      <c r="V386" s="15"/>
      <c r="W386" s="4" t="s">
        <v>47</v>
      </c>
      <c r="X386" s="4" t="s">
        <v>47</v>
      </c>
      <c r="Y386" s="4" t="s">
        <v>1594</v>
      </c>
      <c r="Z386" s="4" t="s">
        <v>1552</v>
      </c>
      <c r="AA386" s="6" t="n">
        <v>0</v>
      </c>
      <c r="AB386" s="6" t="n">
        <v>8905.52</v>
      </c>
      <c r="AC386" s="6" t="n">
        <v>9516.64</v>
      </c>
      <c r="AD386" s="14" t="b">
        <f aca="false">FALSE()</f>
        <v>0</v>
      </c>
    </row>
    <row r="387" customFormat="false" ht="15" hidden="false" customHeight="false" outlineLevel="0" collapsed="false">
      <c r="A387" s="14" t="b">
        <f aca="false">TRUE()</f>
        <v>1</v>
      </c>
      <c r="B387" s="14" t="b">
        <f aca="false">FALSE()</f>
        <v>0</v>
      </c>
      <c r="C387" s="4" t="n">
        <v>2</v>
      </c>
      <c r="D387" s="4"/>
      <c r="E387" s="4"/>
      <c r="F387" s="4"/>
      <c r="G387" s="4" t="n">
        <v>3</v>
      </c>
      <c r="H387" s="14" t="b">
        <f aca="false">FALSE()</f>
        <v>0</v>
      </c>
      <c r="I387" s="14" t="b">
        <f aca="false">FALSE()</f>
        <v>0</v>
      </c>
      <c r="J387" s="4"/>
      <c r="K387" s="4" t="s">
        <v>1595</v>
      </c>
      <c r="L387" s="4" t="s">
        <v>1596</v>
      </c>
      <c r="M387" s="4" t="s">
        <v>1597</v>
      </c>
      <c r="N387" s="6" t="n">
        <v>22435</v>
      </c>
      <c r="O387" s="6" t="n">
        <v>151611</v>
      </c>
      <c r="P387" s="4" t="s">
        <v>46</v>
      </c>
      <c r="Q387" s="6" t="n">
        <v>382500</v>
      </c>
      <c r="R387" s="15" t="n">
        <v>43460</v>
      </c>
      <c r="S387" s="6" t="n">
        <v>350000</v>
      </c>
      <c r="T387" s="15" t="n">
        <v>44774</v>
      </c>
      <c r="U387" s="6"/>
      <c r="V387" s="15"/>
      <c r="W387" s="4" t="s">
        <v>47</v>
      </c>
      <c r="X387" s="4" t="s">
        <v>47</v>
      </c>
      <c r="Y387" s="4" t="s">
        <v>1598</v>
      </c>
      <c r="Z387" s="4" t="s">
        <v>1552</v>
      </c>
      <c r="AA387" s="6" t="n">
        <v>0</v>
      </c>
      <c r="AB387" s="6" t="n">
        <v>12463.26</v>
      </c>
      <c r="AC387" s="6" t="n">
        <v>6522.05</v>
      </c>
      <c r="AD387" s="14" t="b">
        <f aca="false">TRUE()</f>
        <v>1</v>
      </c>
    </row>
    <row r="388" customFormat="false" ht="15" hidden="false" customHeight="false" outlineLevel="0" collapsed="false">
      <c r="A388" s="14" t="b">
        <f aca="false">TRUE()</f>
        <v>1</v>
      </c>
      <c r="B388" s="14" t="b">
        <f aca="false">FALSE()</f>
        <v>0</v>
      </c>
      <c r="C388" s="4" t="n">
        <v>3</v>
      </c>
      <c r="D388" s="4"/>
      <c r="E388" s="4"/>
      <c r="F388" s="4"/>
      <c r="G388" s="4"/>
      <c r="H388" s="14" t="b">
        <f aca="false">FALSE()</f>
        <v>0</v>
      </c>
      <c r="I388" s="14" t="b">
        <f aca="false">FALSE()</f>
        <v>0</v>
      </c>
      <c r="J388" s="4"/>
      <c r="K388" s="4" t="s">
        <v>1599</v>
      </c>
      <c r="L388" s="4" t="s">
        <v>1600</v>
      </c>
      <c r="M388" s="4" t="s">
        <v>1601</v>
      </c>
      <c r="N388" s="6" t="n">
        <v>32124</v>
      </c>
      <c r="O388" s="6" t="n">
        <v>95979</v>
      </c>
      <c r="P388" s="4" t="s">
        <v>46</v>
      </c>
      <c r="Q388" s="6" t="n">
        <v>1000000</v>
      </c>
      <c r="R388" s="15" t="n">
        <v>45216</v>
      </c>
      <c r="S388" s="6" t="n">
        <v>850000</v>
      </c>
      <c r="T388" s="15" t="n">
        <v>45216</v>
      </c>
      <c r="U388" s="6"/>
      <c r="V388" s="15"/>
      <c r="W388" s="4" t="s">
        <v>58</v>
      </c>
      <c r="X388" s="4" t="s">
        <v>47</v>
      </c>
      <c r="Y388" s="4" t="s">
        <v>1602</v>
      </c>
      <c r="Z388" s="4" t="s">
        <v>1552</v>
      </c>
      <c r="AA388" s="6" t="n">
        <v>0</v>
      </c>
      <c r="AB388" s="6" t="n">
        <v>10389.92</v>
      </c>
      <c r="AC388" s="6" t="n">
        <v>11101.24</v>
      </c>
      <c r="AD388" s="14" t="b">
        <f aca="false">FALSE()</f>
        <v>0</v>
      </c>
    </row>
    <row r="389" customFormat="false" ht="15" hidden="false" customHeight="false" outlineLevel="0" collapsed="false">
      <c r="A389" s="14" t="b">
        <f aca="false">TRUE()</f>
        <v>1</v>
      </c>
      <c r="B389" s="14" t="b">
        <f aca="false">FALSE()</f>
        <v>0</v>
      </c>
      <c r="C389" s="4" t="n">
        <v>2</v>
      </c>
      <c r="D389" s="4"/>
      <c r="E389" s="4"/>
      <c r="F389" s="4"/>
      <c r="G389" s="4"/>
      <c r="H389" s="14" t="b">
        <f aca="false">FALSE()</f>
        <v>0</v>
      </c>
      <c r="I389" s="14" t="b">
        <f aca="false">FALSE()</f>
        <v>0</v>
      </c>
      <c r="J389" s="4"/>
      <c r="K389" s="4" t="s">
        <v>1603</v>
      </c>
      <c r="L389" s="4" t="s">
        <v>1604</v>
      </c>
      <c r="M389" s="4" t="s">
        <v>1605</v>
      </c>
      <c r="N389" s="6" t="n">
        <v>38880</v>
      </c>
      <c r="O389" s="6" t="n">
        <v>45909</v>
      </c>
      <c r="P389" s="4" t="s">
        <v>46</v>
      </c>
      <c r="Q389" s="6" t="n">
        <v>154500</v>
      </c>
      <c r="R389" s="15" t="n">
        <v>42115</v>
      </c>
      <c r="S389" s="6"/>
      <c r="T389" s="15"/>
      <c r="U389" s="6"/>
      <c r="V389" s="15"/>
      <c r="W389" s="4" t="s">
        <v>47</v>
      </c>
      <c r="X389" s="4" t="s">
        <v>58</v>
      </c>
      <c r="Y389" s="4" t="s">
        <v>1606</v>
      </c>
      <c r="Z389" s="4" t="s">
        <v>165</v>
      </c>
      <c r="AA389" s="6" t="n">
        <v>0</v>
      </c>
      <c r="AB389" s="6" t="n">
        <v>6459.42</v>
      </c>
      <c r="AC389" s="6" t="n">
        <v>6905.43</v>
      </c>
      <c r="AD389" s="14" t="b">
        <f aca="false">FALSE()</f>
        <v>0</v>
      </c>
    </row>
    <row r="390" customFormat="false" ht="15" hidden="false" customHeight="false" outlineLevel="0" collapsed="false">
      <c r="A390" s="14" t="b">
        <f aca="false">TRUE()</f>
        <v>1</v>
      </c>
      <c r="B390" s="14" t="b">
        <f aca="false">FALSE()</f>
        <v>0</v>
      </c>
      <c r="C390" s="4" t="n">
        <v>2</v>
      </c>
      <c r="D390" s="4"/>
      <c r="E390" s="4"/>
      <c r="F390" s="4"/>
      <c r="G390" s="4"/>
      <c r="H390" s="14" t="b">
        <f aca="false">FALSE()</f>
        <v>0</v>
      </c>
      <c r="I390" s="14" t="b">
        <f aca="false">FALSE()</f>
        <v>0</v>
      </c>
      <c r="J390" s="4"/>
      <c r="K390" s="4" t="s">
        <v>1607</v>
      </c>
      <c r="L390" s="4" t="s">
        <v>1608</v>
      </c>
      <c r="M390" s="4" t="s">
        <v>1609</v>
      </c>
      <c r="N390" s="6" t="n">
        <v>12186</v>
      </c>
      <c r="O390" s="6" t="n">
        <v>67949</v>
      </c>
      <c r="P390" s="4" t="s">
        <v>46</v>
      </c>
      <c r="Q390" s="6" t="n">
        <v>218000</v>
      </c>
      <c r="R390" s="15" t="n">
        <v>38852</v>
      </c>
      <c r="S390" s="6"/>
      <c r="T390" s="15"/>
      <c r="U390" s="6"/>
      <c r="V390" s="15"/>
      <c r="W390" s="4" t="s">
        <v>47</v>
      </c>
      <c r="X390" s="4" t="s">
        <v>47</v>
      </c>
      <c r="Y390" s="4" t="s">
        <v>1610</v>
      </c>
      <c r="Z390" s="4" t="s">
        <v>1611</v>
      </c>
      <c r="AA390" s="6" t="n">
        <v>0</v>
      </c>
      <c r="AB390" s="6" t="n">
        <v>5882.6</v>
      </c>
      <c r="AC390" s="6" t="n">
        <v>6289.68</v>
      </c>
      <c r="AD390" s="14" t="b">
        <f aca="false">FALSE()</f>
        <v>0</v>
      </c>
    </row>
    <row r="391" customFormat="false" ht="15" hidden="false" customHeight="false" outlineLevel="0" collapsed="false">
      <c r="A391" s="14" t="b">
        <f aca="false">TRUE()</f>
        <v>1</v>
      </c>
      <c r="B391" s="14" t="b">
        <f aca="false">FALSE()</f>
        <v>0</v>
      </c>
      <c r="C391" s="4" t="n">
        <v>2</v>
      </c>
      <c r="D391" s="4"/>
      <c r="E391" s="4"/>
      <c r="F391" s="4"/>
      <c r="G391" s="4"/>
      <c r="H391" s="14" t="b">
        <f aca="false">FALSE()</f>
        <v>0</v>
      </c>
      <c r="I391" s="14" t="b">
        <f aca="false">FALSE()</f>
        <v>0</v>
      </c>
      <c r="J391" s="4"/>
      <c r="K391" s="4" t="s">
        <v>1612</v>
      </c>
      <c r="L391" s="4" t="s">
        <v>1613</v>
      </c>
      <c r="M391" s="4" t="s">
        <v>1614</v>
      </c>
      <c r="N391" s="6" t="n">
        <v>38573</v>
      </c>
      <c r="O391" s="6" t="n">
        <v>15438</v>
      </c>
      <c r="P391" s="4" t="s">
        <v>46</v>
      </c>
      <c r="Q391" s="6" t="n">
        <v>160000</v>
      </c>
      <c r="R391" s="15" t="n">
        <v>45644</v>
      </c>
      <c r="S391" s="6"/>
      <c r="T391" s="15"/>
      <c r="U391" s="6"/>
      <c r="V391" s="15"/>
      <c r="W391" s="4" t="s">
        <v>47</v>
      </c>
      <c r="X391" s="4" t="s">
        <v>47</v>
      </c>
      <c r="Y391" s="4" t="s">
        <v>1615</v>
      </c>
      <c r="Z391" s="4" t="s">
        <v>165</v>
      </c>
      <c r="AA391" s="6" t="n">
        <v>0</v>
      </c>
      <c r="AB391" s="6" t="n">
        <v>4571.7</v>
      </c>
      <c r="AC391" s="6" t="n">
        <v>4890.29</v>
      </c>
      <c r="AD391" s="14" t="b">
        <f aca="false">FALSE()</f>
        <v>0</v>
      </c>
    </row>
    <row r="392" customFormat="false" ht="15" hidden="false" customHeight="false" outlineLevel="0" collapsed="false">
      <c r="A392" s="14" t="b">
        <f aca="false">TRUE()</f>
        <v>1</v>
      </c>
      <c r="B392" s="14" t="b">
        <f aca="false">FALSE()</f>
        <v>0</v>
      </c>
      <c r="C392" s="4" t="n">
        <v>2</v>
      </c>
      <c r="D392" s="4"/>
      <c r="E392" s="4"/>
      <c r="F392" s="4"/>
      <c r="G392" s="4"/>
      <c r="H392" s="14" t="b">
        <f aca="false">FALSE()</f>
        <v>0</v>
      </c>
      <c r="I392" s="14" t="b">
        <f aca="false">FALSE()</f>
        <v>0</v>
      </c>
      <c r="J392" s="4"/>
      <c r="K392" s="4" t="s">
        <v>1616</v>
      </c>
      <c r="L392" s="4" t="s">
        <v>1617</v>
      </c>
      <c r="M392" s="4" t="s">
        <v>1618</v>
      </c>
      <c r="N392" s="6" t="n">
        <v>61139</v>
      </c>
      <c r="O392" s="6" t="n">
        <v>221104</v>
      </c>
      <c r="P392" s="4" t="s">
        <v>46</v>
      </c>
      <c r="Q392" s="6" t="n">
        <v>480000</v>
      </c>
      <c r="R392" s="15" t="n">
        <v>40184</v>
      </c>
      <c r="S392" s="6" t="n">
        <v>626000</v>
      </c>
      <c r="T392" s="15" t="n">
        <v>44503</v>
      </c>
      <c r="U392" s="6"/>
      <c r="V392" s="15"/>
      <c r="W392" s="4" t="s">
        <v>47</v>
      </c>
      <c r="X392" s="4" t="s">
        <v>58</v>
      </c>
      <c r="Y392" s="4" t="s">
        <v>1619</v>
      </c>
      <c r="Z392" s="4" t="s">
        <v>165</v>
      </c>
      <c r="AA392" s="6" t="n">
        <v>0</v>
      </c>
      <c r="AB392" s="6" t="n">
        <v>21515.74</v>
      </c>
      <c r="AC392" s="6" t="n">
        <v>11251.97</v>
      </c>
      <c r="AD392" s="14" t="b">
        <f aca="false">TRUE()</f>
        <v>1</v>
      </c>
    </row>
    <row r="393" customFormat="false" ht="15" hidden="false" customHeight="false" outlineLevel="0" collapsed="false">
      <c r="A393" s="14" t="b">
        <f aca="false">TRUE()</f>
        <v>1</v>
      </c>
      <c r="B393" s="14" t="b">
        <f aca="false">FALSE()</f>
        <v>0</v>
      </c>
      <c r="C393" s="4" t="n">
        <v>3</v>
      </c>
      <c r="D393" s="4"/>
      <c r="E393" s="4"/>
      <c r="F393" s="4"/>
      <c r="G393" s="4" t="n">
        <v>3</v>
      </c>
      <c r="H393" s="14" t="b">
        <f aca="false">FALSE()</f>
        <v>0</v>
      </c>
      <c r="I393" s="14" t="b">
        <f aca="false">FALSE()</f>
        <v>0</v>
      </c>
      <c r="J393" s="4"/>
      <c r="K393" s="4" t="s">
        <v>1620</v>
      </c>
      <c r="L393" s="4" t="s">
        <v>1621</v>
      </c>
      <c r="M393" s="4" t="s">
        <v>1622</v>
      </c>
      <c r="N393" s="6" t="n">
        <v>60712</v>
      </c>
      <c r="O393" s="6" t="n">
        <v>387496</v>
      </c>
      <c r="P393" s="4" t="s">
        <v>46</v>
      </c>
      <c r="Q393" s="6" t="n">
        <v>1140000</v>
      </c>
      <c r="R393" s="15" t="n">
        <v>43777</v>
      </c>
      <c r="S393" s="6"/>
      <c r="T393" s="15"/>
      <c r="U393" s="6"/>
      <c r="V393" s="15"/>
      <c r="W393" s="4" t="s">
        <v>47</v>
      </c>
      <c r="X393" s="4" t="s">
        <v>47</v>
      </c>
      <c r="Y393" s="4" t="s">
        <v>1623</v>
      </c>
      <c r="Z393" s="4" t="s">
        <v>1624</v>
      </c>
      <c r="AA393" s="6" t="n">
        <v>0</v>
      </c>
      <c r="AB393" s="6" t="n">
        <v>25804.12</v>
      </c>
      <c r="AC393" s="6" t="n">
        <v>27555.9</v>
      </c>
      <c r="AD393" s="14" t="b">
        <f aca="false">FALSE()</f>
        <v>0</v>
      </c>
    </row>
    <row r="394" customFormat="false" ht="15" hidden="false" customHeight="false" outlineLevel="0" collapsed="false">
      <c r="A394" s="14" t="b">
        <f aca="false">TRUE()</f>
        <v>1</v>
      </c>
      <c r="B394" s="14" t="b">
        <f aca="false">FALSE()</f>
        <v>0</v>
      </c>
      <c r="C394" s="4" t="n">
        <v>3</v>
      </c>
      <c r="D394" s="4"/>
      <c r="E394" s="4"/>
      <c r="F394" s="4"/>
      <c r="G394" s="4"/>
      <c r="H394" s="14" t="b">
        <f aca="false">TRUE()</f>
        <v>1</v>
      </c>
      <c r="I394" s="14" t="b">
        <f aca="false">FALSE()</f>
        <v>0</v>
      </c>
      <c r="J394" s="4"/>
      <c r="K394" s="4" t="s">
        <v>1625</v>
      </c>
      <c r="L394" s="4" t="s">
        <v>1626</v>
      </c>
      <c r="M394" s="4" t="s">
        <v>1627</v>
      </c>
      <c r="N394" s="6" t="n">
        <v>44464</v>
      </c>
      <c r="O394" s="6" t="n">
        <v>120713</v>
      </c>
      <c r="P394" s="4" t="s">
        <v>46</v>
      </c>
      <c r="Q394" s="6"/>
      <c r="R394" s="15" t="n">
        <v>42297</v>
      </c>
      <c r="S394" s="6"/>
      <c r="T394" s="15"/>
      <c r="U394" s="6"/>
      <c r="V394" s="15"/>
      <c r="W394" s="4" t="s">
        <v>47</v>
      </c>
      <c r="X394" s="4" t="s">
        <v>47</v>
      </c>
      <c r="Y394" s="4" t="s">
        <v>1628</v>
      </c>
      <c r="Z394" s="4" t="s">
        <v>1611</v>
      </c>
      <c r="AA394" s="6" t="n">
        <v>0</v>
      </c>
      <c r="AB394" s="6" t="n">
        <v>10479.94</v>
      </c>
      <c r="AC394" s="6" t="n">
        <v>11197.34</v>
      </c>
      <c r="AD394" s="14" t="b">
        <f aca="false">FALSE()</f>
        <v>0</v>
      </c>
    </row>
    <row r="395" customFormat="false" ht="15" hidden="false" customHeight="false" outlineLevel="0" collapsed="false">
      <c r="A395" s="14" t="b">
        <f aca="false">TRUE()</f>
        <v>1</v>
      </c>
      <c r="B395" s="14" t="b">
        <f aca="false">FALSE()</f>
        <v>0</v>
      </c>
      <c r="C395" s="4" t="n">
        <v>2</v>
      </c>
      <c r="D395" s="4"/>
      <c r="E395" s="4"/>
      <c r="F395" s="4"/>
      <c r="G395" s="4"/>
      <c r="H395" s="14" t="b">
        <f aca="false">FALSE()</f>
        <v>0</v>
      </c>
      <c r="I395" s="14" t="b">
        <f aca="false">FALSE()</f>
        <v>0</v>
      </c>
      <c r="J395" s="4"/>
      <c r="K395" s="4" t="s">
        <v>1629</v>
      </c>
      <c r="L395" s="4" t="s">
        <v>1630</v>
      </c>
      <c r="M395" s="4" t="s">
        <v>1631</v>
      </c>
      <c r="N395" s="6" t="n">
        <v>31708</v>
      </c>
      <c r="O395" s="6" t="n">
        <v>58106</v>
      </c>
      <c r="P395" s="4" t="s">
        <v>46</v>
      </c>
      <c r="Q395" s="6" t="n">
        <v>275000</v>
      </c>
      <c r="R395" s="15" t="n">
        <v>45078</v>
      </c>
      <c r="S395" s="6" t="n">
        <v>220000</v>
      </c>
      <c r="T395" s="15" t="n">
        <v>45078</v>
      </c>
      <c r="U395" s="6"/>
      <c r="V395" s="15"/>
      <c r="W395" s="4" t="s">
        <v>47</v>
      </c>
      <c r="X395" s="4" t="s">
        <v>47</v>
      </c>
      <c r="Y395" s="4" t="s">
        <v>1632</v>
      </c>
      <c r="Z395" s="4" t="s">
        <v>1611</v>
      </c>
      <c r="AA395" s="6" t="n">
        <v>0</v>
      </c>
      <c r="AB395" s="6" t="n">
        <v>5990.6</v>
      </c>
      <c r="AC395" s="6" t="n">
        <v>3140.09</v>
      </c>
      <c r="AD395" s="14" t="b">
        <f aca="false">TRUE()</f>
        <v>1</v>
      </c>
    </row>
    <row r="396" customFormat="false" ht="15" hidden="false" customHeight="false" outlineLevel="0" collapsed="false">
      <c r="A396" s="14" t="b">
        <f aca="false">TRUE()</f>
        <v>1</v>
      </c>
      <c r="B396" s="14" t="b">
        <f aca="false">FALSE()</f>
        <v>0</v>
      </c>
      <c r="C396" s="4" t="n">
        <v>2</v>
      </c>
      <c r="D396" s="4"/>
      <c r="E396" s="4"/>
      <c r="F396" s="4"/>
      <c r="G396" s="4" t="n">
        <v>3</v>
      </c>
      <c r="H396" s="14" t="b">
        <f aca="false">FALSE()</f>
        <v>0</v>
      </c>
      <c r="I396" s="14" t="b">
        <f aca="false">FALSE()</f>
        <v>0</v>
      </c>
      <c r="J396" s="4"/>
      <c r="K396" s="4" t="s">
        <v>1633</v>
      </c>
      <c r="L396" s="4" t="s">
        <v>1634</v>
      </c>
      <c r="M396" s="4" t="s">
        <v>1635</v>
      </c>
      <c r="N396" s="6" t="n">
        <v>31708</v>
      </c>
      <c r="O396" s="6" t="n">
        <v>53738</v>
      </c>
      <c r="P396" s="4" t="s">
        <v>46</v>
      </c>
      <c r="Q396" s="6" t="n">
        <v>175000</v>
      </c>
      <c r="R396" s="15" t="n">
        <v>38926</v>
      </c>
      <c r="S396" s="6"/>
      <c r="T396" s="15"/>
      <c r="U396" s="6"/>
      <c r="V396" s="15"/>
      <c r="W396" s="4" t="s">
        <v>47</v>
      </c>
      <c r="X396" s="4" t="s">
        <v>58</v>
      </c>
      <c r="Y396" s="4" t="s">
        <v>1636</v>
      </c>
      <c r="Z396" s="4" t="s">
        <v>1611</v>
      </c>
      <c r="AA396" s="6" t="n">
        <v>0</v>
      </c>
      <c r="AB396" s="6" t="n">
        <v>5670.76</v>
      </c>
      <c r="AC396" s="6" t="n">
        <v>6063.53</v>
      </c>
      <c r="AD396" s="14" t="b">
        <f aca="false">FALSE()</f>
        <v>0</v>
      </c>
    </row>
    <row r="397" customFormat="false" ht="15" hidden="false" customHeight="false" outlineLevel="0" collapsed="false">
      <c r="A397" s="14" t="b">
        <f aca="false">TRUE()</f>
        <v>1</v>
      </c>
      <c r="B397" s="14" t="b">
        <f aca="false">FALSE()</f>
        <v>0</v>
      </c>
      <c r="C397" s="4" t="n">
        <v>2</v>
      </c>
      <c r="D397" s="4"/>
      <c r="E397" s="4"/>
      <c r="F397" s="4"/>
      <c r="G397" s="4"/>
      <c r="H397" s="14" t="b">
        <f aca="false">FALSE()</f>
        <v>0</v>
      </c>
      <c r="I397" s="14" t="b">
        <f aca="false">FALSE()</f>
        <v>0</v>
      </c>
      <c r="J397" s="4"/>
      <c r="K397" s="4" t="s">
        <v>1637</v>
      </c>
      <c r="L397" s="4" t="s">
        <v>1638</v>
      </c>
      <c r="M397" s="4" t="s">
        <v>1639</v>
      </c>
      <c r="N397" s="6" t="n">
        <v>10971</v>
      </c>
      <c r="O397" s="6" t="n">
        <v>71212</v>
      </c>
      <c r="P397" s="4" t="s">
        <v>46</v>
      </c>
      <c r="Q397" s="6" t="n">
        <v>220000</v>
      </c>
      <c r="R397" s="15" t="n">
        <v>44468</v>
      </c>
      <c r="S397" s="6" t="n">
        <v>625000</v>
      </c>
      <c r="T397" s="15" t="n">
        <v>45866</v>
      </c>
      <c r="U397" s="6"/>
      <c r="V397" s="15"/>
      <c r="W397" s="4" t="s">
        <v>47</v>
      </c>
      <c r="X397" s="4" t="s">
        <v>47</v>
      </c>
      <c r="Y397" s="4" t="s">
        <v>1640</v>
      </c>
      <c r="Z397" s="4" t="s">
        <v>1641</v>
      </c>
      <c r="AA397" s="6" t="n">
        <v>0</v>
      </c>
      <c r="AB397" s="6" t="n">
        <v>6346.84</v>
      </c>
      <c r="AC397" s="6" t="n">
        <v>3326.22</v>
      </c>
      <c r="AD397" s="14" t="b">
        <f aca="false">TRUE()</f>
        <v>1</v>
      </c>
    </row>
    <row r="398" customFormat="false" ht="15" hidden="false" customHeight="false" outlineLevel="0" collapsed="false">
      <c r="A398" s="14" t="b">
        <f aca="false">TRUE()</f>
        <v>1</v>
      </c>
      <c r="B398" s="14" t="b">
        <f aca="false">FALSE()</f>
        <v>0</v>
      </c>
      <c r="C398" s="4" t="n">
        <v>2</v>
      </c>
      <c r="D398" s="4"/>
      <c r="E398" s="4"/>
      <c r="F398" s="4"/>
      <c r="G398" s="4"/>
      <c r="H398" s="14" t="b">
        <f aca="false">TRUE()</f>
        <v>1</v>
      </c>
      <c r="I398" s="14" t="b">
        <f aca="false">FALSE()</f>
        <v>0</v>
      </c>
      <c r="J398" s="4"/>
      <c r="K398" s="4" t="s">
        <v>1642</v>
      </c>
      <c r="L398" s="4" t="s">
        <v>1643</v>
      </c>
      <c r="M398" s="4" t="s">
        <v>1644</v>
      </c>
      <c r="N398" s="6" t="n">
        <v>15843</v>
      </c>
      <c r="O398" s="6" t="n">
        <v>56519</v>
      </c>
      <c r="P398" s="4" t="s">
        <v>46</v>
      </c>
      <c r="Q398" s="6"/>
      <c r="R398" s="15"/>
      <c r="S398" s="6"/>
      <c r="T398" s="15"/>
      <c r="U398" s="6"/>
      <c r="V398" s="15"/>
      <c r="W398" s="4" t="s">
        <v>47</v>
      </c>
      <c r="X398" s="4" t="s">
        <v>58</v>
      </c>
      <c r="Y398" s="4" t="s">
        <v>1645</v>
      </c>
      <c r="Z398" s="4" t="s">
        <v>1611</v>
      </c>
      <c r="AA398" s="6" t="n">
        <v>0</v>
      </c>
      <c r="AB398" s="6" t="n">
        <v>4712.72</v>
      </c>
      <c r="AC398" s="6" t="n">
        <v>5040.83</v>
      </c>
      <c r="AD398" s="14" t="b">
        <f aca="false">FALSE()</f>
        <v>0</v>
      </c>
    </row>
    <row r="399" customFormat="false" ht="15" hidden="false" customHeight="false" outlineLevel="0" collapsed="false">
      <c r="A399" s="14" t="b">
        <f aca="false">TRUE()</f>
        <v>1</v>
      </c>
      <c r="B399" s="14" t="b">
        <f aca="false">FALSE()</f>
        <v>0</v>
      </c>
      <c r="C399" s="4" t="n">
        <v>3</v>
      </c>
      <c r="D399" s="4"/>
      <c r="E399" s="4"/>
      <c r="F399" s="4"/>
      <c r="G399" s="4"/>
      <c r="H399" s="14" t="b">
        <f aca="false">FALSE()</f>
        <v>0</v>
      </c>
      <c r="I399" s="14" t="b">
        <f aca="false">FALSE()</f>
        <v>0</v>
      </c>
      <c r="J399" s="4"/>
      <c r="K399" s="4" t="s">
        <v>1646</v>
      </c>
      <c r="L399" s="4" t="s">
        <v>1647</v>
      </c>
      <c r="M399" s="4" t="s">
        <v>1648</v>
      </c>
      <c r="N399" s="6" t="n">
        <v>7894</v>
      </c>
      <c r="O399" s="6" t="n">
        <v>71267</v>
      </c>
      <c r="P399" s="4" t="s">
        <v>46</v>
      </c>
      <c r="Q399" s="6" t="n">
        <v>159000</v>
      </c>
      <c r="R399" s="15" t="n">
        <v>41264</v>
      </c>
      <c r="S399" s="6" t="n">
        <v>131700</v>
      </c>
      <c r="T399" s="15" t="n">
        <v>45257</v>
      </c>
      <c r="U399" s="6" t="n">
        <v>107500</v>
      </c>
      <c r="V399" s="15" t="n">
        <v>41264</v>
      </c>
      <c r="W399" s="4" t="s">
        <v>47</v>
      </c>
      <c r="X399" s="4" t="s">
        <v>47</v>
      </c>
      <c r="Y399" s="4" t="s">
        <v>1649</v>
      </c>
      <c r="Z399" s="4" t="s">
        <v>1611</v>
      </c>
      <c r="AA399" s="6" t="n">
        <v>0</v>
      </c>
      <c r="AB399" s="6" t="n">
        <v>4624.78</v>
      </c>
      <c r="AC399" s="6" t="n">
        <v>4946.96</v>
      </c>
      <c r="AD399" s="14" t="b">
        <f aca="false">FALSE()</f>
        <v>0</v>
      </c>
    </row>
    <row r="400" customFormat="false" ht="15" hidden="false" customHeight="false" outlineLevel="0" collapsed="false">
      <c r="A400" s="14" t="b">
        <f aca="false">TRUE()</f>
        <v>1</v>
      </c>
      <c r="B400" s="14" t="b">
        <f aca="false">FALSE()</f>
        <v>0</v>
      </c>
      <c r="C400" s="4" t="n">
        <v>3</v>
      </c>
      <c r="D400" s="4"/>
      <c r="E400" s="4"/>
      <c r="F400" s="4"/>
      <c r="G400" s="4"/>
      <c r="H400" s="14" t="b">
        <f aca="false">FALSE()</f>
        <v>0</v>
      </c>
      <c r="I400" s="14" t="b">
        <f aca="false">FALSE()</f>
        <v>0</v>
      </c>
      <c r="J400" s="4"/>
      <c r="K400" s="4" t="s">
        <v>1650</v>
      </c>
      <c r="L400" s="4" t="s">
        <v>1651</v>
      </c>
      <c r="M400" s="4" t="s">
        <v>1652</v>
      </c>
      <c r="N400" s="6" t="n">
        <v>47891</v>
      </c>
      <c r="O400" s="6" t="n">
        <v>150998</v>
      </c>
      <c r="P400" s="4" t="s">
        <v>46</v>
      </c>
      <c r="Q400" s="6" t="n">
        <v>580000</v>
      </c>
      <c r="R400" s="15" t="n">
        <v>45583</v>
      </c>
      <c r="S400" s="6"/>
      <c r="T400" s="15"/>
      <c r="U400" s="6"/>
      <c r="V400" s="15"/>
      <c r="W400" s="4" t="s">
        <v>47</v>
      </c>
      <c r="X400" s="4" t="s">
        <v>47</v>
      </c>
      <c r="Y400" s="4" t="s">
        <v>1653</v>
      </c>
      <c r="Z400" s="4" t="s">
        <v>1611</v>
      </c>
      <c r="AA400" s="6" t="n">
        <v>0</v>
      </c>
      <c r="AB400" s="6" t="n">
        <v>13977.28</v>
      </c>
      <c r="AC400" s="6" t="n">
        <v>14930.75</v>
      </c>
      <c r="AD400" s="14" t="b">
        <f aca="false">FALSE()</f>
        <v>0</v>
      </c>
    </row>
    <row r="401" customFormat="false" ht="15" hidden="false" customHeight="false" outlineLevel="0" collapsed="false">
      <c r="A401" s="14" t="b">
        <f aca="false">TRUE()</f>
        <v>1</v>
      </c>
      <c r="B401" s="14" t="b">
        <f aca="false">FALSE()</f>
        <v>0</v>
      </c>
      <c r="C401" s="4" t="n">
        <v>2</v>
      </c>
      <c r="D401" s="4"/>
      <c r="E401" s="4"/>
      <c r="F401" s="4"/>
      <c r="G401" s="4"/>
      <c r="H401" s="14" t="b">
        <f aca="false">TRUE()</f>
        <v>1</v>
      </c>
      <c r="I401" s="14" t="b">
        <f aca="false">FALSE()</f>
        <v>0</v>
      </c>
      <c r="J401" s="4"/>
      <c r="K401" s="4" t="s">
        <v>1654</v>
      </c>
      <c r="L401" s="4" t="s">
        <v>1655</v>
      </c>
      <c r="M401" s="4" t="s">
        <v>1656</v>
      </c>
      <c r="N401" s="6" t="n">
        <v>21663</v>
      </c>
      <c r="O401" s="6" t="n">
        <v>69888</v>
      </c>
      <c r="P401" s="4" t="s">
        <v>46</v>
      </c>
      <c r="Q401" s="6"/>
      <c r="R401" s="15"/>
      <c r="S401" s="6"/>
      <c r="T401" s="15"/>
      <c r="U401" s="6"/>
      <c r="V401" s="15"/>
      <c r="W401" s="4" t="s">
        <v>47</v>
      </c>
      <c r="X401" s="4" t="s">
        <v>47</v>
      </c>
      <c r="Y401" s="4" t="s">
        <v>1657</v>
      </c>
      <c r="Z401" s="4" t="s">
        <v>877</v>
      </c>
      <c r="AA401" s="6" t="n">
        <v>0</v>
      </c>
      <c r="AB401" s="6" t="n">
        <v>6024.78</v>
      </c>
      <c r="AC401" s="6" t="n">
        <v>6441.46</v>
      </c>
      <c r="AD401" s="14" t="b">
        <f aca="false">FALSE()</f>
        <v>0</v>
      </c>
    </row>
    <row r="402" customFormat="false" ht="15" hidden="false" customHeight="false" outlineLevel="0" collapsed="false">
      <c r="A402" s="14" t="b">
        <f aca="false">TRUE()</f>
        <v>1</v>
      </c>
      <c r="B402" s="14" t="b">
        <f aca="false">FALSE()</f>
        <v>0</v>
      </c>
      <c r="C402" s="4" t="n">
        <v>3</v>
      </c>
      <c r="D402" s="4"/>
      <c r="E402" s="4"/>
      <c r="F402" s="4"/>
      <c r="G402" s="4" t="n">
        <v>3</v>
      </c>
      <c r="H402" s="14" t="b">
        <f aca="false">TRUE()</f>
        <v>1</v>
      </c>
      <c r="I402" s="14" t="b">
        <f aca="false">FALSE()</f>
        <v>0</v>
      </c>
      <c r="J402" s="4"/>
      <c r="K402" s="4" t="s">
        <v>1658</v>
      </c>
      <c r="L402" s="4" t="s">
        <v>1659</v>
      </c>
      <c r="M402" s="4" t="s">
        <v>1660</v>
      </c>
      <c r="N402" s="6" t="n">
        <v>28485</v>
      </c>
      <c r="O402" s="6" t="n">
        <v>274870</v>
      </c>
      <c r="P402" s="4" t="s">
        <v>46</v>
      </c>
      <c r="Q402" s="6" t="n">
        <v>215000</v>
      </c>
      <c r="R402" s="15" t="n">
        <v>40948</v>
      </c>
      <c r="S402" s="6"/>
      <c r="T402" s="15"/>
      <c r="U402" s="6"/>
      <c r="V402" s="15"/>
      <c r="W402" s="4" t="s">
        <v>47</v>
      </c>
      <c r="X402" s="4" t="s">
        <v>47</v>
      </c>
      <c r="Y402" s="4" t="s">
        <v>1661</v>
      </c>
      <c r="Z402" s="4" t="s">
        <v>877</v>
      </c>
      <c r="AA402" s="6" t="n">
        <v>0</v>
      </c>
      <c r="AB402" s="6" t="n">
        <v>19963.2</v>
      </c>
      <c r="AC402" s="6" t="n">
        <v>21320.71</v>
      </c>
      <c r="AD402" s="14" t="b">
        <f aca="false">FALSE()</f>
        <v>0</v>
      </c>
    </row>
    <row r="403" customFormat="false" ht="15" hidden="false" customHeight="false" outlineLevel="0" collapsed="false">
      <c r="A403" s="14" t="b">
        <f aca="false">TRUE()</f>
        <v>1</v>
      </c>
      <c r="B403" s="14" t="b">
        <f aca="false">FALSE()</f>
        <v>0</v>
      </c>
      <c r="C403" s="4" t="n">
        <v>2</v>
      </c>
      <c r="D403" s="4"/>
      <c r="E403" s="4"/>
      <c r="F403" s="4"/>
      <c r="G403" s="4"/>
      <c r="H403" s="14" t="b">
        <f aca="false">FALSE()</f>
        <v>0</v>
      </c>
      <c r="I403" s="14" t="b">
        <f aca="false">FALSE()</f>
        <v>0</v>
      </c>
      <c r="J403" s="4"/>
      <c r="K403" s="4" t="s">
        <v>1662</v>
      </c>
      <c r="L403" s="4" t="s">
        <v>1663</v>
      </c>
      <c r="M403" s="4" t="s">
        <v>1664</v>
      </c>
      <c r="N403" s="6" t="n">
        <v>3944</v>
      </c>
      <c r="O403" s="6" t="n">
        <v>45249</v>
      </c>
      <c r="P403" s="4" t="s">
        <v>46</v>
      </c>
      <c r="Q403" s="6" t="n">
        <v>136500</v>
      </c>
      <c r="R403" s="15" t="n">
        <v>44152</v>
      </c>
      <c r="S403" s="6"/>
      <c r="T403" s="15"/>
      <c r="U403" s="6"/>
      <c r="V403" s="15"/>
      <c r="W403" s="4" t="s">
        <v>47</v>
      </c>
      <c r="X403" s="4" t="s">
        <v>47</v>
      </c>
      <c r="Y403" s="4" t="s">
        <v>1665</v>
      </c>
      <c r="Z403" s="4" t="s">
        <v>910</v>
      </c>
      <c r="AA403" s="6" t="n">
        <v>0</v>
      </c>
      <c r="AB403" s="6" t="n">
        <v>3237.3</v>
      </c>
      <c r="AC403" s="6" t="n">
        <v>1701.49</v>
      </c>
      <c r="AD403" s="14" t="b">
        <f aca="false">TRUE()</f>
        <v>1</v>
      </c>
    </row>
    <row r="404" customFormat="false" ht="15" hidden="false" customHeight="false" outlineLevel="0" collapsed="false">
      <c r="A404" s="14" t="b">
        <f aca="false">TRUE()</f>
        <v>1</v>
      </c>
      <c r="B404" s="14" t="b">
        <f aca="false">FALSE()</f>
        <v>0</v>
      </c>
      <c r="C404" s="4" t="n">
        <v>2</v>
      </c>
      <c r="D404" s="4"/>
      <c r="E404" s="4"/>
      <c r="F404" s="4"/>
      <c r="G404" s="4"/>
      <c r="H404" s="14" t="b">
        <f aca="false">FALSE()</f>
        <v>0</v>
      </c>
      <c r="I404" s="14" t="b">
        <f aca="false">FALSE()</f>
        <v>0</v>
      </c>
      <c r="J404" s="4"/>
      <c r="K404" s="4" t="s">
        <v>1666</v>
      </c>
      <c r="L404" s="4" t="s">
        <v>1667</v>
      </c>
      <c r="M404" s="4" t="s">
        <v>1668</v>
      </c>
      <c r="N404" s="6" t="n">
        <v>3944</v>
      </c>
      <c r="O404" s="6" t="n">
        <v>45249</v>
      </c>
      <c r="P404" s="4" t="s">
        <v>46</v>
      </c>
      <c r="Q404" s="6" t="n">
        <v>227500</v>
      </c>
      <c r="R404" s="15" t="n">
        <v>45525</v>
      </c>
      <c r="S404" s="6"/>
      <c r="T404" s="15"/>
      <c r="U404" s="6"/>
      <c r="V404" s="15"/>
      <c r="W404" s="4" t="s">
        <v>47</v>
      </c>
      <c r="X404" s="4" t="s">
        <v>47</v>
      </c>
      <c r="Y404" s="4" t="s">
        <v>1669</v>
      </c>
      <c r="Z404" s="4" t="s">
        <v>910</v>
      </c>
      <c r="AA404" s="6" t="n">
        <v>0</v>
      </c>
      <c r="AB404" s="6" t="n">
        <v>2710.82</v>
      </c>
      <c r="AC404" s="6" t="n">
        <v>1426.4</v>
      </c>
      <c r="AD404" s="14" t="b">
        <f aca="false">TRUE()</f>
        <v>1</v>
      </c>
    </row>
    <row r="405" customFormat="false" ht="15" hidden="false" customHeight="false" outlineLevel="0" collapsed="false">
      <c r="A405" s="14" t="b">
        <f aca="false">TRUE()</f>
        <v>1</v>
      </c>
      <c r="B405" s="14" t="b">
        <f aca="false">FALSE()</f>
        <v>0</v>
      </c>
      <c r="C405" s="4" t="n">
        <v>3</v>
      </c>
      <c r="D405" s="4"/>
      <c r="E405" s="4"/>
      <c r="F405" s="4"/>
      <c r="G405" s="4"/>
      <c r="H405" s="14" t="b">
        <f aca="false">FALSE()</f>
        <v>0</v>
      </c>
      <c r="I405" s="14" t="b">
        <f aca="false">FALSE()</f>
        <v>0</v>
      </c>
      <c r="J405" s="4"/>
      <c r="K405" s="4" t="s">
        <v>1670</v>
      </c>
      <c r="L405" s="4" t="s">
        <v>1671</v>
      </c>
      <c r="M405" s="4" t="s">
        <v>1672</v>
      </c>
      <c r="N405" s="6" t="n">
        <v>8365</v>
      </c>
      <c r="O405" s="6" t="n">
        <v>560289</v>
      </c>
      <c r="P405" s="4" t="s">
        <v>46</v>
      </c>
      <c r="Q405" s="6" t="n">
        <v>1450000</v>
      </c>
      <c r="R405" s="15" t="n">
        <v>45602</v>
      </c>
      <c r="S405" s="6"/>
      <c r="T405" s="15"/>
      <c r="U405" s="6"/>
      <c r="V405" s="15"/>
      <c r="W405" s="4" t="s">
        <v>58</v>
      </c>
      <c r="X405" s="4" t="s">
        <v>58</v>
      </c>
      <c r="Y405" s="4" t="s">
        <v>1673</v>
      </c>
      <c r="Z405" s="4" t="s">
        <v>877</v>
      </c>
      <c r="AA405" s="6" t="n">
        <v>0</v>
      </c>
      <c r="AB405" s="6" t="n">
        <v>40625.78</v>
      </c>
      <c r="AC405" s="6" t="n">
        <v>43378.02</v>
      </c>
      <c r="AD405" s="14" t="b">
        <f aca="false">FALSE()</f>
        <v>0</v>
      </c>
    </row>
    <row r="406" customFormat="false" ht="15" hidden="false" customHeight="false" outlineLevel="0" collapsed="false">
      <c r="A406" s="14" t="b">
        <f aca="false">TRUE()</f>
        <v>1</v>
      </c>
      <c r="B406" s="14" t="b">
        <f aca="false">FALSE()</f>
        <v>0</v>
      </c>
      <c r="C406" s="4" t="n">
        <v>3</v>
      </c>
      <c r="D406" s="4"/>
      <c r="E406" s="4"/>
      <c r="F406" s="4"/>
      <c r="G406" s="4"/>
      <c r="H406" s="14" t="b">
        <f aca="false">FALSE()</f>
        <v>0</v>
      </c>
      <c r="I406" s="14" t="b">
        <f aca="false">FALSE()</f>
        <v>0</v>
      </c>
      <c r="J406" s="4"/>
      <c r="K406" s="4" t="s">
        <v>1674</v>
      </c>
      <c r="L406" s="4" t="s">
        <v>1675</v>
      </c>
      <c r="M406" s="4" t="s">
        <v>1676</v>
      </c>
      <c r="N406" s="6" t="n">
        <v>36970</v>
      </c>
      <c r="O406" s="6" t="n">
        <v>104023</v>
      </c>
      <c r="P406" s="4" t="s">
        <v>46</v>
      </c>
      <c r="Q406" s="6" t="n">
        <v>345000</v>
      </c>
      <c r="R406" s="15" t="n">
        <v>44405</v>
      </c>
      <c r="S406" s="6"/>
      <c r="T406" s="15"/>
      <c r="U406" s="6"/>
      <c r="V406" s="15"/>
      <c r="W406" s="4" t="s">
        <v>47</v>
      </c>
      <c r="X406" s="4" t="s">
        <v>47</v>
      </c>
      <c r="Y406" s="4" t="s">
        <v>1677</v>
      </c>
      <c r="Z406" s="4" t="s">
        <v>632</v>
      </c>
      <c r="AA406" s="6" t="n">
        <v>0</v>
      </c>
      <c r="AB406" s="6" t="n">
        <v>11802.24</v>
      </c>
      <c r="AC406" s="6" t="n">
        <v>12608.89</v>
      </c>
      <c r="AD406" s="14" t="b">
        <f aca="false">FALSE()</f>
        <v>0</v>
      </c>
    </row>
    <row r="407" customFormat="false" ht="15" hidden="false" customHeight="false" outlineLevel="0" collapsed="false">
      <c r="A407" s="14" t="b">
        <f aca="false">TRUE()</f>
        <v>1</v>
      </c>
      <c r="B407" s="14" t="b">
        <f aca="false">FALSE()</f>
        <v>0</v>
      </c>
      <c r="C407" s="4" t="n">
        <v>2</v>
      </c>
      <c r="D407" s="4"/>
      <c r="E407" s="4"/>
      <c r="F407" s="4"/>
      <c r="G407" s="4"/>
      <c r="H407" s="14" t="b">
        <f aca="false">FALSE()</f>
        <v>0</v>
      </c>
      <c r="I407" s="14" t="b">
        <f aca="false">FALSE()</f>
        <v>0</v>
      </c>
      <c r="J407" s="4"/>
      <c r="K407" s="4" t="s">
        <v>1678</v>
      </c>
      <c r="L407" s="4" t="s">
        <v>1679</v>
      </c>
      <c r="M407" s="4" t="s">
        <v>1680</v>
      </c>
      <c r="N407" s="6" t="n">
        <v>36970</v>
      </c>
      <c r="O407" s="6" t="n">
        <v>99862</v>
      </c>
      <c r="P407" s="4" t="s">
        <v>46</v>
      </c>
      <c r="Q407" s="6" t="n">
        <v>477000</v>
      </c>
      <c r="R407" s="15" t="n">
        <v>44678</v>
      </c>
      <c r="S407" s="6" t="n">
        <v>445550</v>
      </c>
      <c r="T407" s="15" t="n">
        <v>44678</v>
      </c>
      <c r="U407" s="6"/>
      <c r="V407" s="15"/>
      <c r="W407" s="4" t="s">
        <v>47</v>
      </c>
      <c r="X407" s="4" t="s">
        <v>47</v>
      </c>
      <c r="Y407" s="4" t="s">
        <v>1681</v>
      </c>
      <c r="Z407" s="4" t="s">
        <v>632</v>
      </c>
      <c r="AA407" s="6" t="n">
        <v>0</v>
      </c>
      <c r="AB407" s="6" t="n">
        <v>10784.28</v>
      </c>
      <c r="AC407" s="6" t="n">
        <v>5644.79</v>
      </c>
      <c r="AD407" s="14" t="b">
        <f aca="false">TRUE()</f>
        <v>1</v>
      </c>
    </row>
    <row r="408" customFormat="false" ht="15" hidden="false" customHeight="false" outlineLevel="0" collapsed="false">
      <c r="A408" s="14" t="b">
        <f aca="false">TRUE()</f>
        <v>1</v>
      </c>
      <c r="B408" s="14" t="b">
        <f aca="false">FALSE()</f>
        <v>0</v>
      </c>
      <c r="C408" s="4" t="n">
        <v>3</v>
      </c>
      <c r="D408" s="4"/>
      <c r="E408" s="4"/>
      <c r="F408" s="4"/>
      <c r="G408" s="4"/>
      <c r="H408" s="14" t="b">
        <f aca="false">TRUE()</f>
        <v>1</v>
      </c>
      <c r="I408" s="14" t="b">
        <f aca="false">FALSE()</f>
        <v>0</v>
      </c>
      <c r="J408" s="4"/>
      <c r="K408" s="4" t="s">
        <v>1682</v>
      </c>
      <c r="L408" s="4" t="s">
        <v>1683</v>
      </c>
      <c r="M408" s="4" t="s">
        <v>1684</v>
      </c>
      <c r="N408" s="6" t="n">
        <v>36970</v>
      </c>
      <c r="O408" s="6" t="n">
        <v>110226</v>
      </c>
      <c r="P408" s="4" t="s">
        <v>46</v>
      </c>
      <c r="Q408" s="6" t="n">
        <v>352000</v>
      </c>
      <c r="R408" s="15" t="n">
        <v>43823</v>
      </c>
      <c r="S408" s="6"/>
      <c r="T408" s="15"/>
      <c r="U408" s="6"/>
      <c r="V408" s="15"/>
      <c r="W408" s="4" t="s">
        <v>47</v>
      </c>
      <c r="X408" s="4" t="s">
        <v>47</v>
      </c>
      <c r="Y408" s="4" t="s">
        <v>1685</v>
      </c>
      <c r="Z408" s="4" t="s">
        <v>632</v>
      </c>
      <c r="AA408" s="6" t="n">
        <v>0</v>
      </c>
      <c r="AB408" s="6" t="n">
        <v>11651.84</v>
      </c>
      <c r="AC408" s="6" t="n">
        <v>12448.34</v>
      </c>
      <c r="AD408" s="14" t="b">
        <f aca="false">FALSE()</f>
        <v>0</v>
      </c>
    </row>
    <row r="409" customFormat="false" ht="15" hidden="false" customHeight="false" outlineLevel="0" collapsed="false">
      <c r="A409" s="14" t="b">
        <f aca="false">TRUE()</f>
        <v>1</v>
      </c>
      <c r="B409" s="14" t="b">
        <f aca="false">FALSE()</f>
        <v>0</v>
      </c>
      <c r="C409" s="4" t="n">
        <v>3</v>
      </c>
      <c r="D409" s="4"/>
      <c r="E409" s="4"/>
      <c r="F409" s="4"/>
      <c r="G409" s="4"/>
      <c r="H409" s="14" t="b">
        <f aca="false">FALSE()</f>
        <v>0</v>
      </c>
      <c r="I409" s="14" t="b">
        <f aca="false">FALSE()</f>
        <v>0</v>
      </c>
      <c r="J409" s="4"/>
      <c r="K409" s="4" t="s">
        <v>1686</v>
      </c>
      <c r="L409" s="4" t="s">
        <v>1687</v>
      </c>
      <c r="M409" s="4" t="s">
        <v>1688</v>
      </c>
      <c r="N409" s="6" t="n">
        <v>36970</v>
      </c>
      <c r="O409" s="6" t="n">
        <v>110215</v>
      </c>
      <c r="P409" s="4" t="s">
        <v>46</v>
      </c>
      <c r="Q409" s="6" t="n">
        <v>334500</v>
      </c>
      <c r="R409" s="15" t="n">
        <v>37747</v>
      </c>
      <c r="S409" s="6"/>
      <c r="T409" s="15"/>
      <c r="U409" s="6"/>
      <c r="V409" s="15"/>
      <c r="W409" s="4" t="s">
        <v>47</v>
      </c>
      <c r="X409" s="4" t="s">
        <v>47</v>
      </c>
      <c r="Y409" s="4" t="s">
        <v>1689</v>
      </c>
      <c r="Z409" s="4" t="s">
        <v>632</v>
      </c>
      <c r="AA409" s="6" t="n">
        <v>0</v>
      </c>
      <c r="AB409" s="6" t="n">
        <v>11650.88</v>
      </c>
      <c r="AC409" s="6" t="n">
        <v>12447.31</v>
      </c>
      <c r="AD409" s="14" t="b">
        <f aca="false">FALSE()</f>
        <v>0</v>
      </c>
    </row>
    <row r="410" customFormat="false" ht="15" hidden="false" customHeight="false" outlineLevel="0" collapsed="false">
      <c r="A410" s="14" t="b">
        <f aca="false">TRUE()</f>
        <v>1</v>
      </c>
      <c r="B410" s="14" t="b">
        <f aca="false">FALSE()</f>
        <v>0</v>
      </c>
      <c r="C410" s="4" t="n">
        <v>2</v>
      </c>
      <c r="D410" s="4"/>
      <c r="E410" s="4"/>
      <c r="F410" s="4"/>
      <c r="G410" s="4"/>
      <c r="H410" s="14" t="b">
        <f aca="false">FALSE()</f>
        <v>0</v>
      </c>
      <c r="I410" s="14" t="b">
        <f aca="false">FALSE()</f>
        <v>0</v>
      </c>
      <c r="J410" s="4"/>
      <c r="K410" s="4" t="s">
        <v>1690</v>
      </c>
      <c r="L410" s="4" t="s">
        <v>1691</v>
      </c>
      <c r="M410" s="4" t="s">
        <v>1692</v>
      </c>
      <c r="N410" s="6" t="n">
        <v>9560</v>
      </c>
      <c r="O410" s="6" t="n">
        <v>86401</v>
      </c>
      <c r="P410" s="4" t="s">
        <v>46</v>
      </c>
      <c r="Q410" s="6" t="n">
        <v>211000</v>
      </c>
      <c r="R410" s="15" t="n">
        <v>43516</v>
      </c>
      <c r="S410" s="6"/>
      <c r="T410" s="15"/>
      <c r="U410" s="6"/>
      <c r="V410" s="15"/>
      <c r="W410" s="4" t="s">
        <v>47</v>
      </c>
      <c r="X410" s="4" t="s">
        <v>47</v>
      </c>
      <c r="Y410" s="4" t="s">
        <v>1693</v>
      </c>
      <c r="Z410" s="4" t="s">
        <v>632</v>
      </c>
      <c r="AA410" s="6" t="n">
        <v>0</v>
      </c>
      <c r="AB410" s="6" t="n">
        <v>7363.04</v>
      </c>
      <c r="AC410" s="6" t="n">
        <v>7870.05</v>
      </c>
      <c r="AD410" s="14" t="b">
        <f aca="false">FALSE()</f>
        <v>0</v>
      </c>
    </row>
    <row r="411" customFormat="false" ht="15" hidden="false" customHeight="false" outlineLevel="0" collapsed="false">
      <c r="A411" s="14" t="b">
        <f aca="false">TRUE()</f>
        <v>1</v>
      </c>
      <c r="B411" s="14" t="b">
        <f aca="false">FALSE()</f>
        <v>0</v>
      </c>
      <c r="C411" s="4" t="n">
        <v>3</v>
      </c>
      <c r="D411" s="4"/>
      <c r="E411" s="4"/>
      <c r="F411" s="4"/>
      <c r="G411" s="4"/>
      <c r="H411" s="14" t="b">
        <f aca="false">FALSE()</f>
        <v>0</v>
      </c>
      <c r="I411" s="14" t="b">
        <f aca="false">FALSE()</f>
        <v>0</v>
      </c>
      <c r="J411" s="4"/>
      <c r="K411" s="4" t="s">
        <v>1694</v>
      </c>
      <c r="L411" s="4" t="s">
        <v>1695</v>
      </c>
      <c r="M411" s="4" t="s">
        <v>1696</v>
      </c>
      <c r="N411" s="6" t="n">
        <v>9560</v>
      </c>
      <c r="O411" s="6" t="n">
        <v>86130</v>
      </c>
      <c r="P411" s="4" t="s">
        <v>46</v>
      </c>
      <c r="Q411" s="6" t="n">
        <v>268000</v>
      </c>
      <c r="R411" s="15" t="n">
        <v>38982</v>
      </c>
      <c r="S411" s="6" t="n">
        <v>248000</v>
      </c>
      <c r="T411" s="15" t="n">
        <v>45749</v>
      </c>
      <c r="U411" s="6"/>
      <c r="V411" s="15"/>
      <c r="W411" s="4" t="s">
        <v>47</v>
      </c>
      <c r="X411" s="4" t="s">
        <v>47</v>
      </c>
      <c r="Y411" s="4" t="s">
        <v>1697</v>
      </c>
      <c r="Z411" s="4" t="s">
        <v>632</v>
      </c>
      <c r="AA411" s="6" t="n">
        <v>0</v>
      </c>
      <c r="AB411" s="6" t="n">
        <v>7340.38</v>
      </c>
      <c r="AC411" s="6" t="n">
        <v>7845.86</v>
      </c>
      <c r="AD411" s="14" t="b">
        <f aca="false">FALSE()</f>
        <v>0</v>
      </c>
    </row>
    <row r="412" customFormat="false" ht="15" hidden="false" customHeight="false" outlineLevel="0" collapsed="false">
      <c r="A412" s="14" t="b">
        <f aca="false">TRUE()</f>
        <v>1</v>
      </c>
      <c r="B412" s="14" t="b">
        <f aca="false">FALSE()</f>
        <v>0</v>
      </c>
      <c r="C412" s="4" t="n">
        <v>2</v>
      </c>
      <c r="D412" s="4"/>
      <c r="E412" s="4"/>
      <c r="F412" s="4"/>
      <c r="G412" s="4"/>
      <c r="H412" s="14" t="b">
        <f aca="false">FALSE()</f>
        <v>0</v>
      </c>
      <c r="I412" s="14" t="b">
        <f aca="false">FALSE()</f>
        <v>0</v>
      </c>
      <c r="J412" s="4"/>
      <c r="K412" s="4" t="s">
        <v>1698</v>
      </c>
      <c r="L412" s="4" t="s">
        <v>1699</v>
      </c>
      <c r="M412" s="4" t="s">
        <v>1700</v>
      </c>
      <c r="N412" s="6" t="n">
        <v>9560</v>
      </c>
      <c r="O412" s="6" t="n">
        <v>78134</v>
      </c>
      <c r="P412" s="4" t="s">
        <v>46</v>
      </c>
      <c r="Q412" s="6" t="n">
        <v>201000</v>
      </c>
      <c r="R412" s="15" t="n">
        <v>37573</v>
      </c>
      <c r="S412" s="6"/>
      <c r="T412" s="15"/>
      <c r="U412" s="6"/>
      <c r="V412" s="15"/>
      <c r="W412" s="4" t="s">
        <v>47</v>
      </c>
      <c r="X412" s="4" t="s">
        <v>47</v>
      </c>
      <c r="Y412" s="4" t="s">
        <v>1701</v>
      </c>
      <c r="Z412" s="4" t="s">
        <v>632</v>
      </c>
      <c r="AA412" s="6" t="n">
        <v>0</v>
      </c>
      <c r="AB412" s="6" t="n">
        <v>6671.02</v>
      </c>
      <c r="AC412" s="6" t="n">
        <v>3495.61</v>
      </c>
      <c r="AD412" s="14" t="b">
        <f aca="false">TRUE()</f>
        <v>1</v>
      </c>
    </row>
    <row r="413" customFormat="false" ht="15" hidden="false" customHeight="false" outlineLevel="0" collapsed="false">
      <c r="A413" s="14" t="b">
        <f aca="false">TRUE()</f>
        <v>1</v>
      </c>
      <c r="B413" s="14" t="b">
        <f aca="false">FALSE()</f>
        <v>0</v>
      </c>
      <c r="C413" s="4" t="n">
        <v>2</v>
      </c>
      <c r="D413" s="4"/>
      <c r="E413" s="4"/>
      <c r="F413" s="4"/>
      <c r="G413" s="4"/>
      <c r="H413" s="14" t="b">
        <f aca="false">TRUE()</f>
        <v>1</v>
      </c>
      <c r="I413" s="14" t="b">
        <f aca="false">FALSE()</f>
        <v>0</v>
      </c>
      <c r="J413" s="4"/>
      <c r="K413" s="4" t="s">
        <v>1702</v>
      </c>
      <c r="L413" s="4" t="s">
        <v>1703</v>
      </c>
      <c r="M413" s="4" t="s">
        <v>1704</v>
      </c>
      <c r="N413" s="6" t="n">
        <v>21771</v>
      </c>
      <c r="O413" s="6" t="n">
        <v>53440</v>
      </c>
      <c r="P413" s="4" t="s">
        <v>46</v>
      </c>
      <c r="Q413" s="6" t="n">
        <v>260000</v>
      </c>
      <c r="R413" s="15" t="n">
        <v>38489</v>
      </c>
      <c r="S413" s="6"/>
      <c r="T413" s="15"/>
      <c r="U413" s="6"/>
      <c r="V413" s="15"/>
      <c r="W413" s="4" t="s">
        <v>58</v>
      </c>
      <c r="X413" s="4" t="s">
        <v>58</v>
      </c>
      <c r="Y413" s="4" t="s">
        <v>1705</v>
      </c>
      <c r="Z413" s="4" t="s">
        <v>632</v>
      </c>
      <c r="AA413" s="6" t="n">
        <v>0</v>
      </c>
      <c r="AB413" s="6" t="n">
        <v>5723.06</v>
      </c>
      <c r="AC413" s="6" t="n">
        <v>6119.37</v>
      </c>
      <c r="AD413" s="14" t="b">
        <f aca="false">FALSE()</f>
        <v>0</v>
      </c>
    </row>
    <row r="414" customFormat="false" ht="15" hidden="false" customHeight="false" outlineLevel="0" collapsed="false">
      <c r="A414" s="14" t="b">
        <f aca="false">TRUE()</f>
        <v>1</v>
      </c>
      <c r="B414" s="14" t="b">
        <f aca="false">FALSE()</f>
        <v>0</v>
      </c>
      <c r="C414" s="4" t="n">
        <v>3</v>
      </c>
      <c r="D414" s="4"/>
      <c r="E414" s="4"/>
      <c r="F414" s="4"/>
      <c r="G414" s="4"/>
      <c r="H414" s="14" t="b">
        <f aca="false">TRUE()</f>
        <v>1</v>
      </c>
      <c r="I414" s="14" t="b">
        <f aca="false">FALSE()</f>
        <v>0</v>
      </c>
      <c r="J414" s="4"/>
      <c r="K414" s="4" t="s">
        <v>1706</v>
      </c>
      <c r="L414" s="4" t="s">
        <v>1707</v>
      </c>
      <c r="M414" s="4" t="s">
        <v>1708</v>
      </c>
      <c r="N414" s="6" t="n">
        <v>21771</v>
      </c>
      <c r="O414" s="6" t="n">
        <v>207492</v>
      </c>
      <c r="P414" s="4" t="s">
        <v>46</v>
      </c>
      <c r="Q414" s="6" t="n">
        <v>725000</v>
      </c>
      <c r="R414" s="15" t="n">
        <v>44643</v>
      </c>
      <c r="S414" s="6" t="n">
        <v>638261</v>
      </c>
      <c r="T414" s="15" t="n">
        <v>44643</v>
      </c>
      <c r="U414" s="6"/>
      <c r="V414" s="15"/>
      <c r="W414" s="4" t="s">
        <v>47</v>
      </c>
      <c r="X414" s="4" t="s">
        <v>47</v>
      </c>
      <c r="Y414" s="4" t="s">
        <v>1709</v>
      </c>
      <c r="Z414" s="4" t="s">
        <v>877</v>
      </c>
      <c r="AA414" s="6" t="n">
        <v>0</v>
      </c>
      <c r="AB414" s="6" t="n">
        <v>15087.34</v>
      </c>
      <c r="AC414" s="6" t="n">
        <v>16115.74</v>
      </c>
      <c r="AD414" s="14" t="b">
        <f aca="false">FALSE()</f>
        <v>0</v>
      </c>
    </row>
    <row r="415" customFormat="false" ht="15" hidden="false" customHeight="false" outlineLevel="0" collapsed="false">
      <c r="A415" s="14" t="b">
        <f aca="false">TRUE()</f>
        <v>1</v>
      </c>
      <c r="B415" s="14" t="b">
        <f aca="false">FALSE()</f>
        <v>0</v>
      </c>
      <c r="C415" s="4" t="n">
        <v>3</v>
      </c>
      <c r="D415" s="4"/>
      <c r="E415" s="4"/>
      <c r="F415" s="4"/>
      <c r="G415" s="4" t="n">
        <v>3</v>
      </c>
      <c r="H415" s="14" t="b">
        <f aca="false">TRUE()</f>
        <v>1</v>
      </c>
      <c r="I415" s="14" t="b">
        <f aca="false">FALSE()</f>
        <v>0</v>
      </c>
      <c r="J415" s="4"/>
      <c r="K415" s="4" t="s">
        <v>1710</v>
      </c>
      <c r="L415" s="4" t="s">
        <v>1711</v>
      </c>
      <c r="M415" s="4" t="s">
        <v>1712</v>
      </c>
      <c r="N415" s="6" t="n">
        <v>22097</v>
      </c>
      <c r="O415" s="6" t="n">
        <v>158169</v>
      </c>
      <c r="P415" s="4" t="s">
        <v>46</v>
      </c>
      <c r="Q415" s="6"/>
      <c r="R415" s="15"/>
      <c r="S415" s="6" t="n">
        <v>275000</v>
      </c>
      <c r="T415" s="15" t="n">
        <v>37742</v>
      </c>
      <c r="U415" s="6"/>
      <c r="V415" s="15"/>
      <c r="W415" s="4" t="s">
        <v>58</v>
      </c>
      <c r="X415" s="4" t="s">
        <v>58</v>
      </c>
      <c r="Y415" s="4" t="s">
        <v>1713</v>
      </c>
      <c r="Z415" s="4" t="s">
        <v>877</v>
      </c>
      <c r="AA415" s="6" t="n">
        <v>0</v>
      </c>
      <c r="AB415" s="6" t="n">
        <v>11336.48</v>
      </c>
      <c r="AC415" s="6" t="n">
        <v>12111.69</v>
      </c>
      <c r="AD415" s="14" t="b">
        <f aca="false">FALSE()</f>
        <v>0</v>
      </c>
    </row>
    <row r="416" customFormat="false" ht="15" hidden="false" customHeight="false" outlineLevel="0" collapsed="false">
      <c r="A416" s="14" t="b">
        <f aca="false">TRUE()</f>
        <v>1</v>
      </c>
      <c r="B416" s="14" t="b">
        <f aca="false">FALSE()</f>
        <v>0</v>
      </c>
      <c r="C416" s="4" t="n">
        <v>2</v>
      </c>
      <c r="D416" s="4"/>
      <c r="E416" s="4"/>
      <c r="F416" s="4"/>
      <c r="G416" s="4"/>
      <c r="H416" s="14" t="b">
        <f aca="false">FALSE()</f>
        <v>0</v>
      </c>
      <c r="I416" s="14" t="b">
        <f aca="false">FALSE()</f>
        <v>0</v>
      </c>
      <c r="J416" s="4"/>
      <c r="K416" s="4" t="s">
        <v>1714</v>
      </c>
      <c r="L416" s="4" t="s">
        <v>1715</v>
      </c>
      <c r="M416" s="4" t="s">
        <v>1716</v>
      </c>
      <c r="N416" s="6" t="n">
        <v>5682</v>
      </c>
      <c r="O416" s="6" t="n">
        <v>65825</v>
      </c>
      <c r="P416" s="4" t="s">
        <v>46</v>
      </c>
      <c r="Q416" s="6" t="n">
        <v>398</v>
      </c>
      <c r="R416" s="15" t="n">
        <v>42583</v>
      </c>
      <c r="S416" s="6" t="n">
        <v>72500</v>
      </c>
      <c r="T416" s="15" t="n">
        <v>42583</v>
      </c>
      <c r="U416" s="6"/>
      <c r="V416" s="15"/>
      <c r="W416" s="4" t="s">
        <v>47</v>
      </c>
      <c r="X416" s="4" t="s">
        <v>58</v>
      </c>
      <c r="Y416" s="4" t="s">
        <v>1717</v>
      </c>
      <c r="Z416" s="4" t="s">
        <v>632</v>
      </c>
      <c r="AA416" s="6" t="n">
        <v>0</v>
      </c>
      <c r="AB416" s="6" t="n">
        <v>5316.3</v>
      </c>
      <c r="AC416" s="6" t="n">
        <v>2787.77</v>
      </c>
      <c r="AD416" s="14" t="b">
        <f aca="false">TRUE()</f>
        <v>1</v>
      </c>
    </row>
    <row r="417" customFormat="false" ht="15" hidden="false" customHeight="false" outlineLevel="0" collapsed="false">
      <c r="A417" s="14" t="b">
        <f aca="false">TRUE()</f>
        <v>1</v>
      </c>
      <c r="B417" s="14" t="b">
        <f aca="false">FALSE()</f>
        <v>0</v>
      </c>
      <c r="C417" s="4" t="n">
        <v>2</v>
      </c>
      <c r="D417" s="4"/>
      <c r="E417" s="4"/>
      <c r="F417" s="4"/>
      <c r="G417" s="4"/>
      <c r="H417" s="14" t="b">
        <f aca="false">FALSE()</f>
        <v>0</v>
      </c>
      <c r="I417" s="14" t="b">
        <f aca="false">FALSE()</f>
        <v>0</v>
      </c>
      <c r="J417" s="4"/>
      <c r="K417" s="4" t="s">
        <v>428</v>
      </c>
      <c r="L417" s="4" t="s">
        <v>1718</v>
      </c>
      <c r="M417" s="4" t="s">
        <v>1719</v>
      </c>
      <c r="N417" s="6" t="n">
        <v>5508</v>
      </c>
      <c r="O417" s="6" t="n">
        <v>38296</v>
      </c>
      <c r="P417" s="4" t="s">
        <v>46</v>
      </c>
      <c r="Q417" s="6" t="n">
        <v>52000</v>
      </c>
      <c r="R417" s="15" t="n">
        <v>41372</v>
      </c>
      <c r="S417" s="6"/>
      <c r="T417" s="15"/>
      <c r="U417" s="6"/>
      <c r="V417" s="15"/>
      <c r="W417" s="4" t="s">
        <v>47</v>
      </c>
      <c r="X417" s="4" t="s">
        <v>47</v>
      </c>
      <c r="Y417" s="4" t="s">
        <v>1720</v>
      </c>
      <c r="Z417" s="4" t="s">
        <v>632</v>
      </c>
      <c r="AA417" s="6" t="n">
        <v>0</v>
      </c>
      <c r="AB417" s="6" t="n">
        <v>3666.74</v>
      </c>
      <c r="AC417" s="6" t="n">
        <v>3924.24</v>
      </c>
      <c r="AD417" s="14" t="b">
        <f aca="false">FALSE()</f>
        <v>0</v>
      </c>
    </row>
    <row r="418" customFormat="false" ht="15" hidden="false" customHeight="false" outlineLevel="0" collapsed="false">
      <c r="A418" s="14" t="b">
        <f aca="false">TRUE()</f>
        <v>1</v>
      </c>
      <c r="B418" s="14" t="b">
        <f aca="false">FALSE()</f>
        <v>0</v>
      </c>
      <c r="C418" s="4" t="n">
        <v>2</v>
      </c>
      <c r="D418" s="4"/>
      <c r="E418" s="4"/>
      <c r="F418" s="4"/>
      <c r="G418" s="4"/>
      <c r="H418" s="14" t="b">
        <f aca="false">FALSE()</f>
        <v>0</v>
      </c>
      <c r="I418" s="14" t="b">
        <f aca="false">FALSE()</f>
        <v>0</v>
      </c>
      <c r="J418" s="4"/>
      <c r="K418" s="4" t="s">
        <v>1721</v>
      </c>
      <c r="L418" s="4" t="s">
        <v>1722</v>
      </c>
      <c r="M418" s="4" t="s">
        <v>1723</v>
      </c>
      <c r="N418" s="6" t="n">
        <v>5508</v>
      </c>
      <c r="O418" s="6" t="n">
        <v>38296</v>
      </c>
      <c r="P418" s="4" t="s">
        <v>46</v>
      </c>
      <c r="Q418" s="6" t="n">
        <v>170500</v>
      </c>
      <c r="R418" s="15" t="n">
        <v>45709</v>
      </c>
      <c r="S418" s="6"/>
      <c r="T418" s="15"/>
      <c r="U418" s="6"/>
      <c r="V418" s="15"/>
      <c r="W418" s="4" t="s">
        <v>47</v>
      </c>
      <c r="X418" s="4" t="s">
        <v>47</v>
      </c>
      <c r="Y418" s="4" t="s">
        <v>1724</v>
      </c>
      <c r="Z418" s="4" t="s">
        <v>632</v>
      </c>
      <c r="AA418" s="6" t="n">
        <v>0</v>
      </c>
      <c r="AB418" s="6" t="n">
        <v>3666.74</v>
      </c>
      <c r="AC418" s="6" t="n">
        <v>1925.87</v>
      </c>
      <c r="AD418" s="14" t="b">
        <f aca="false">TRUE()</f>
        <v>1</v>
      </c>
    </row>
    <row r="419" customFormat="false" ht="15" hidden="false" customHeight="false" outlineLevel="0" collapsed="false">
      <c r="A419" s="14" t="b">
        <f aca="false">TRUE()</f>
        <v>1</v>
      </c>
      <c r="B419" s="14" t="b">
        <f aca="false">FALSE()</f>
        <v>0</v>
      </c>
      <c r="C419" s="4" t="n">
        <v>2</v>
      </c>
      <c r="D419" s="4"/>
      <c r="E419" s="4"/>
      <c r="F419" s="4"/>
      <c r="G419" s="4"/>
      <c r="H419" s="14" t="b">
        <f aca="false">FALSE()</f>
        <v>0</v>
      </c>
      <c r="I419" s="14" t="b">
        <f aca="false">FALSE()</f>
        <v>0</v>
      </c>
      <c r="J419" s="4"/>
      <c r="K419" s="4" t="s">
        <v>428</v>
      </c>
      <c r="L419" s="4" t="s">
        <v>1725</v>
      </c>
      <c r="M419" s="4" t="s">
        <v>1726</v>
      </c>
      <c r="N419" s="6" t="n">
        <v>5508</v>
      </c>
      <c r="O419" s="6" t="n">
        <v>38296</v>
      </c>
      <c r="P419" s="4" t="s">
        <v>46</v>
      </c>
      <c r="Q419" s="6" t="n">
        <v>52000</v>
      </c>
      <c r="R419" s="15" t="n">
        <v>41394</v>
      </c>
      <c r="S419" s="6"/>
      <c r="T419" s="15"/>
      <c r="U419" s="6"/>
      <c r="V419" s="15"/>
      <c r="W419" s="4" t="s">
        <v>47</v>
      </c>
      <c r="X419" s="4" t="s">
        <v>47</v>
      </c>
      <c r="Y419" s="4" t="s">
        <v>1727</v>
      </c>
      <c r="Z419" s="4" t="s">
        <v>632</v>
      </c>
      <c r="AA419" s="6" t="n">
        <v>0</v>
      </c>
      <c r="AB419" s="6" t="n">
        <v>3666.74</v>
      </c>
      <c r="AC419" s="6" t="n">
        <v>3924.24</v>
      </c>
      <c r="AD419" s="14" t="b">
        <f aca="false">FALSE()</f>
        <v>0</v>
      </c>
    </row>
    <row r="420" customFormat="false" ht="15" hidden="false" customHeight="false" outlineLevel="0" collapsed="false">
      <c r="A420" s="14" t="b">
        <f aca="false">TRUE()</f>
        <v>1</v>
      </c>
      <c r="B420" s="14" t="b">
        <f aca="false">FALSE()</f>
        <v>0</v>
      </c>
      <c r="C420" s="4" t="n">
        <v>2</v>
      </c>
      <c r="D420" s="4"/>
      <c r="E420" s="4"/>
      <c r="F420" s="4"/>
      <c r="G420" s="4"/>
      <c r="H420" s="14" t="b">
        <f aca="false">FALSE()</f>
        <v>0</v>
      </c>
      <c r="I420" s="14" t="b">
        <f aca="false">FALSE()</f>
        <v>0</v>
      </c>
      <c r="J420" s="4"/>
      <c r="K420" s="4" t="s">
        <v>1728</v>
      </c>
      <c r="L420" s="4" t="s">
        <v>1729</v>
      </c>
      <c r="M420" s="4" t="s">
        <v>1730</v>
      </c>
      <c r="N420" s="6" t="n">
        <v>5508</v>
      </c>
      <c r="O420" s="6" t="n">
        <v>38296</v>
      </c>
      <c r="P420" s="4" t="s">
        <v>46</v>
      </c>
      <c r="Q420" s="6" t="n">
        <v>49000</v>
      </c>
      <c r="R420" s="15" t="n">
        <v>34127</v>
      </c>
      <c r="S420" s="6" t="n">
        <v>76500</v>
      </c>
      <c r="T420" s="15" t="n">
        <v>37602</v>
      </c>
      <c r="U420" s="6"/>
      <c r="V420" s="15"/>
      <c r="W420" s="4" t="s">
        <v>47</v>
      </c>
      <c r="X420" s="4" t="s">
        <v>47</v>
      </c>
      <c r="Y420" s="4" t="s">
        <v>1731</v>
      </c>
      <c r="Z420" s="4" t="s">
        <v>632</v>
      </c>
      <c r="AA420" s="6" t="n">
        <v>0</v>
      </c>
      <c r="AB420" s="6" t="n">
        <v>3666.74</v>
      </c>
      <c r="AC420" s="6" t="n">
        <v>1925.87</v>
      </c>
      <c r="AD420" s="14" t="b">
        <f aca="false">TRUE()</f>
        <v>1</v>
      </c>
    </row>
    <row r="421" customFormat="false" ht="15" hidden="false" customHeight="false" outlineLevel="0" collapsed="false">
      <c r="A421" s="14" t="b">
        <f aca="false">TRUE()</f>
        <v>1</v>
      </c>
      <c r="B421" s="14" t="b">
        <f aca="false">FALSE()</f>
        <v>0</v>
      </c>
      <c r="C421" s="4" t="n">
        <v>2</v>
      </c>
      <c r="D421" s="4"/>
      <c r="E421" s="4"/>
      <c r="F421" s="4"/>
      <c r="G421" s="4"/>
      <c r="H421" s="14" t="b">
        <f aca="false">FALSE()</f>
        <v>0</v>
      </c>
      <c r="I421" s="14" t="b">
        <f aca="false">FALSE()</f>
        <v>0</v>
      </c>
      <c r="J421" s="4"/>
      <c r="K421" s="4" t="s">
        <v>1732</v>
      </c>
      <c r="L421" s="4" t="s">
        <v>1733</v>
      </c>
      <c r="M421" s="4" t="s">
        <v>1734</v>
      </c>
      <c r="N421" s="6" t="n">
        <v>5508</v>
      </c>
      <c r="O421" s="6" t="n">
        <v>38296</v>
      </c>
      <c r="P421" s="4" t="s">
        <v>46</v>
      </c>
      <c r="Q421" s="6" t="n">
        <v>117000</v>
      </c>
      <c r="R421" s="15" t="n">
        <v>39094</v>
      </c>
      <c r="S421" s="6"/>
      <c r="T421" s="15"/>
      <c r="U421" s="6"/>
      <c r="V421" s="15"/>
      <c r="W421" s="4" t="s">
        <v>58</v>
      </c>
      <c r="X421" s="4" t="s">
        <v>47</v>
      </c>
      <c r="Y421" s="4" t="s">
        <v>1735</v>
      </c>
      <c r="Z421" s="4" t="s">
        <v>632</v>
      </c>
      <c r="AA421" s="6" t="n">
        <v>0</v>
      </c>
      <c r="AB421" s="6" t="n">
        <v>2997.08</v>
      </c>
      <c r="AC421" s="6" t="n">
        <v>3209.38</v>
      </c>
      <c r="AD421" s="14" t="b">
        <f aca="false">FALSE()</f>
        <v>0</v>
      </c>
    </row>
    <row r="422" customFormat="false" ht="15" hidden="false" customHeight="false" outlineLevel="0" collapsed="false">
      <c r="A422" s="14" t="b">
        <f aca="false">TRUE()</f>
        <v>1</v>
      </c>
      <c r="B422" s="14" t="b">
        <f aca="false">FALSE()</f>
        <v>0</v>
      </c>
      <c r="C422" s="4" t="n">
        <v>2</v>
      </c>
      <c r="D422" s="4"/>
      <c r="E422" s="4"/>
      <c r="F422" s="4"/>
      <c r="G422" s="4"/>
      <c r="H422" s="14" t="b">
        <f aca="false">FALSE()</f>
        <v>0</v>
      </c>
      <c r="I422" s="14" t="b">
        <f aca="false">FALSE()</f>
        <v>0</v>
      </c>
      <c r="J422" s="4"/>
      <c r="K422" s="4" t="s">
        <v>1736</v>
      </c>
      <c r="L422" s="4" t="s">
        <v>1737</v>
      </c>
      <c r="M422" s="4" t="s">
        <v>1738</v>
      </c>
      <c r="N422" s="6" t="n">
        <v>5508</v>
      </c>
      <c r="O422" s="6" t="n">
        <v>26215</v>
      </c>
      <c r="P422" s="4" t="s">
        <v>46</v>
      </c>
      <c r="Q422" s="6" t="n">
        <v>135500</v>
      </c>
      <c r="R422" s="15" t="n">
        <v>45846</v>
      </c>
      <c r="S422" s="6"/>
      <c r="T422" s="15"/>
      <c r="U422" s="6"/>
      <c r="V422" s="15"/>
      <c r="W422" s="4" t="s">
        <v>47</v>
      </c>
      <c r="X422" s="4" t="s">
        <v>47</v>
      </c>
      <c r="Y422" s="4" t="s">
        <v>1739</v>
      </c>
      <c r="Z422" s="4" t="s">
        <v>632</v>
      </c>
      <c r="AA422" s="6" t="n">
        <v>0</v>
      </c>
      <c r="AB422" s="6" t="n">
        <v>1985.82</v>
      </c>
      <c r="AC422" s="6" t="n">
        <v>1047.59</v>
      </c>
      <c r="AD422" s="14" t="b">
        <f aca="false">TRUE()</f>
        <v>1</v>
      </c>
    </row>
    <row r="423" customFormat="false" ht="15" hidden="false" customHeight="false" outlineLevel="0" collapsed="false">
      <c r="A423" s="14" t="b">
        <f aca="false">TRUE()</f>
        <v>1</v>
      </c>
      <c r="B423" s="14" t="b">
        <f aca="false">FALSE()</f>
        <v>0</v>
      </c>
      <c r="C423" s="4" t="n">
        <v>2</v>
      </c>
      <c r="D423" s="4"/>
      <c r="E423" s="4"/>
      <c r="F423" s="4"/>
      <c r="G423" s="4" t="n">
        <v>3</v>
      </c>
      <c r="H423" s="14" t="b">
        <f aca="false">FALSE()</f>
        <v>0</v>
      </c>
      <c r="I423" s="14" t="b">
        <f aca="false">FALSE()</f>
        <v>0</v>
      </c>
      <c r="J423" s="4"/>
      <c r="K423" s="4" t="s">
        <v>1740</v>
      </c>
      <c r="L423" s="4" t="s">
        <v>1741</v>
      </c>
      <c r="M423" s="4" t="s">
        <v>1742</v>
      </c>
      <c r="N423" s="6" t="n">
        <v>3107</v>
      </c>
      <c r="O423" s="6" t="n">
        <v>40381</v>
      </c>
      <c r="P423" s="4" t="s">
        <v>46</v>
      </c>
      <c r="Q423" s="6" t="n">
        <v>80000</v>
      </c>
      <c r="R423" s="15" t="n">
        <v>42997</v>
      </c>
      <c r="S423" s="6"/>
      <c r="T423" s="15"/>
      <c r="U423" s="6"/>
      <c r="V423" s="15"/>
      <c r="W423" s="4" t="s">
        <v>58</v>
      </c>
      <c r="X423" s="4" t="s">
        <v>47</v>
      </c>
      <c r="Y423" s="4" t="s">
        <v>1743</v>
      </c>
      <c r="Z423" s="4" t="s">
        <v>632</v>
      </c>
      <c r="AA423" s="6" t="n">
        <v>0</v>
      </c>
      <c r="AB423" s="6" t="n">
        <v>3640.3</v>
      </c>
      <c r="AC423" s="6" t="n">
        <v>3896.02</v>
      </c>
      <c r="AD423" s="14" t="b">
        <f aca="false">FALSE()</f>
        <v>0</v>
      </c>
    </row>
    <row r="424" customFormat="false" ht="15" hidden="false" customHeight="false" outlineLevel="0" collapsed="false">
      <c r="A424" s="14" t="b">
        <f aca="false">TRUE()</f>
        <v>1</v>
      </c>
      <c r="B424" s="14" t="b">
        <f aca="false">FALSE()</f>
        <v>0</v>
      </c>
      <c r="C424" s="4" t="n">
        <v>3</v>
      </c>
      <c r="D424" s="4"/>
      <c r="E424" s="4"/>
      <c r="F424" s="4"/>
      <c r="G424" s="4"/>
      <c r="H424" s="14" t="b">
        <f aca="false">FALSE()</f>
        <v>0</v>
      </c>
      <c r="I424" s="14" t="b">
        <f aca="false">FALSE()</f>
        <v>0</v>
      </c>
      <c r="J424" s="4"/>
      <c r="K424" s="4" t="s">
        <v>1744</v>
      </c>
      <c r="L424" s="4" t="s">
        <v>1745</v>
      </c>
      <c r="M424" s="4" t="s">
        <v>1746</v>
      </c>
      <c r="N424" s="6" t="n">
        <v>3400</v>
      </c>
      <c r="O424" s="6" t="n">
        <v>47497</v>
      </c>
      <c r="P424" s="4" t="s">
        <v>46</v>
      </c>
      <c r="Q424" s="6" t="n">
        <v>71000</v>
      </c>
      <c r="R424" s="15" t="n">
        <v>36081</v>
      </c>
      <c r="S424" s="6" t="n">
        <v>19650</v>
      </c>
      <c r="T424" s="15" t="n">
        <v>38888</v>
      </c>
      <c r="U424" s="6" t="n">
        <v>12077</v>
      </c>
      <c r="V424" s="15" t="n">
        <v>37046</v>
      </c>
      <c r="W424" s="4" t="s">
        <v>47</v>
      </c>
      <c r="X424" s="4" t="s">
        <v>58</v>
      </c>
      <c r="Y424" s="4" t="s">
        <v>1747</v>
      </c>
      <c r="Z424" s="4" t="s">
        <v>186</v>
      </c>
      <c r="AA424" s="6" t="n">
        <v>0</v>
      </c>
      <c r="AB424" s="6" t="n">
        <v>3235.36</v>
      </c>
      <c r="AC424" s="6" t="n">
        <v>3463.75</v>
      </c>
      <c r="AD424" s="14" t="b">
        <f aca="false">FALSE()</f>
        <v>0</v>
      </c>
    </row>
    <row r="425" customFormat="false" ht="15" hidden="false" customHeight="false" outlineLevel="0" collapsed="false">
      <c r="A425" s="14" t="b">
        <f aca="false">TRUE()</f>
        <v>1</v>
      </c>
      <c r="B425" s="14" t="b">
        <f aca="false">FALSE()</f>
        <v>0</v>
      </c>
      <c r="C425" s="4" t="n">
        <v>2</v>
      </c>
      <c r="D425" s="4"/>
      <c r="E425" s="4"/>
      <c r="F425" s="4"/>
      <c r="G425" s="4"/>
      <c r="H425" s="14" t="b">
        <f aca="false">TRUE()</f>
        <v>1</v>
      </c>
      <c r="I425" s="14" t="b">
        <f aca="false">FALSE()</f>
        <v>0</v>
      </c>
      <c r="J425" s="4"/>
      <c r="K425" s="4" t="s">
        <v>1748</v>
      </c>
      <c r="L425" s="4" t="s">
        <v>1749</v>
      </c>
      <c r="M425" s="4" t="s">
        <v>1750</v>
      </c>
      <c r="N425" s="6" t="n">
        <v>3400</v>
      </c>
      <c r="O425" s="6" t="n">
        <v>41164</v>
      </c>
      <c r="P425" s="4" t="s">
        <v>46</v>
      </c>
      <c r="Q425" s="6"/>
      <c r="R425" s="15" t="n">
        <v>39941</v>
      </c>
      <c r="S425" s="6"/>
      <c r="T425" s="15"/>
      <c r="U425" s="6"/>
      <c r="V425" s="15"/>
      <c r="W425" s="4" t="s">
        <v>47</v>
      </c>
      <c r="X425" s="4" t="s">
        <v>58</v>
      </c>
      <c r="Y425" s="4" t="s">
        <v>1751</v>
      </c>
      <c r="Z425" s="4" t="s">
        <v>186</v>
      </c>
      <c r="AA425" s="6" t="n">
        <v>0</v>
      </c>
      <c r="AB425" s="6" t="n">
        <v>3361.06</v>
      </c>
      <c r="AC425" s="6" t="n">
        <v>3597.93</v>
      </c>
      <c r="AD425" s="14" t="b">
        <f aca="false">FALSE()</f>
        <v>0</v>
      </c>
    </row>
    <row r="426" customFormat="false" ht="15" hidden="false" customHeight="false" outlineLevel="0" collapsed="false">
      <c r="A426" s="14" t="b">
        <f aca="false">TRUE()</f>
        <v>1</v>
      </c>
      <c r="B426" s="14" t="b">
        <f aca="false">FALSE()</f>
        <v>0</v>
      </c>
      <c r="C426" s="4" t="n">
        <v>2</v>
      </c>
      <c r="D426" s="4"/>
      <c r="E426" s="4"/>
      <c r="F426" s="4"/>
      <c r="G426" s="4" t="n">
        <v>3</v>
      </c>
      <c r="H426" s="14" t="b">
        <f aca="false">FALSE()</f>
        <v>0</v>
      </c>
      <c r="I426" s="14" t="b">
        <f aca="false">FALSE()</f>
        <v>0</v>
      </c>
      <c r="J426" s="4"/>
      <c r="K426" s="4" t="s">
        <v>1752</v>
      </c>
      <c r="L426" s="4" t="s">
        <v>1753</v>
      </c>
      <c r="M426" s="4" t="s">
        <v>1754</v>
      </c>
      <c r="N426" s="6" t="n">
        <v>15090</v>
      </c>
      <c r="O426" s="6" t="n">
        <v>180255</v>
      </c>
      <c r="P426" s="4" t="s">
        <v>46</v>
      </c>
      <c r="Q426" s="6" t="n">
        <v>515000</v>
      </c>
      <c r="R426" s="15" t="n">
        <v>44043</v>
      </c>
      <c r="S426" s="6" t="n">
        <v>455100</v>
      </c>
      <c r="T426" s="15" t="n">
        <v>44516</v>
      </c>
      <c r="U426" s="6" t="n">
        <v>69600</v>
      </c>
      <c r="V426" s="15" t="n">
        <v>45449</v>
      </c>
      <c r="W426" s="4" t="s">
        <v>47</v>
      </c>
      <c r="X426" s="4" t="s">
        <v>47</v>
      </c>
      <c r="Y426" s="4" t="s">
        <v>1755</v>
      </c>
      <c r="Z426" s="4" t="s">
        <v>186</v>
      </c>
      <c r="AA426" s="6" t="n">
        <v>0</v>
      </c>
      <c r="AB426" s="6" t="n">
        <v>12229.7</v>
      </c>
      <c r="AC426" s="6" t="n">
        <v>6400.02</v>
      </c>
      <c r="AD426" s="14" t="b">
        <f aca="false">TRUE()</f>
        <v>1</v>
      </c>
    </row>
    <row r="427" customFormat="false" ht="15" hidden="false" customHeight="false" outlineLevel="0" collapsed="false">
      <c r="A427" s="14" t="b">
        <f aca="false">TRUE()</f>
        <v>1</v>
      </c>
      <c r="B427" s="14" t="b">
        <f aca="false">FALSE()</f>
        <v>0</v>
      </c>
      <c r="C427" s="4" t="n">
        <v>2</v>
      </c>
      <c r="D427" s="4"/>
      <c r="E427" s="4"/>
      <c r="F427" s="4"/>
      <c r="G427" s="4" t="n">
        <v>3</v>
      </c>
      <c r="H427" s="14" t="b">
        <f aca="false">FALSE()</f>
        <v>0</v>
      </c>
      <c r="I427" s="14" t="b">
        <f aca="false">FALSE()</f>
        <v>0</v>
      </c>
      <c r="J427" s="4"/>
      <c r="K427" s="4" t="s">
        <v>1756</v>
      </c>
      <c r="L427" s="4" t="s">
        <v>1757</v>
      </c>
      <c r="M427" s="4" t="s">
        <v>1758</v>
      </c>
      <c r="N427" s="6" t="n">
        <v>33602</v>
      </c>
      <c r="O427" s="6" t="n">
        <v>85272</v>
      </c>
      <c r="P427" s="4" t="s">
        <v>46</v>
      </c>
      <c r="Q427" s="6" t="n">
        <v>245000</v>
      </c>
      <c r="R427" s="15" t="n">
        <v>37120</v>
      </c>
      <c r="S427" s="6" t="n">
        <v>259408</v>
      </c>
      <c r="T427" s="15" t="n">
        <v>40983</v>
      </c>
      <c r="U427" s="6"/>
      <c r="V427" s="15"/>
      <c r="W427" s="4" t="s">
        <v>47</v>
      </c>
      <c r="X427" s="4" t="s">
        <v>58</v>
      </c>
      <c r="Y427" s="4" t="s">
        <v>1759</v>
      </c>
      <c r="Z427" s="4" t="s">
        <v>186</v>
      </c>
      <c r="AA427" s="6" t="n">
        <v>0</v>
      </c>
      <c r="AB427" s="6" t="n">
        <v>6999.82</v>
      </c>
      <c r="AC427" s="6" t="n">
        <v>3667.41</v>
      </c>
      <c r="AD427" s="14" t="b">
        <f aca="false">TRUE()</f>
        <v>1</v>
      </c>
    </row>
    <row r="428" customFormat="false" ht="15" hidden="false" customHeight="false" outlineLevel="0" collapsed="false">
      <c r="A428" s="14" t="b">
        <f aca="false">TRUE()</f>
        <v>1</v>
      </c>
      <c r="B428" s="14" t="b">
        <f aca="false">FALSE()</f>
        <v>0</v>
      </c>
      <c r="C428" s="4" t="n">
        <v>2</v>
      </c>
      <c r="D428" s="4"/>
      <c r="E428" s="4"/>
      <c r="F428" s="4"/>
      <c r="G428" s="4" t="n">
        <v>3</v>
      </c>
      <c r="H428" s="14" t="b">
        <f aca="false">FALSE()</f>
        <v>0</v>
      </c>
      <c r="I428" s="14" t="b">
        <f aca="false">FALSE()</f>
        <v>0</v>
      </c>
      <c r="J428" s="4"/>
      <c r="K428" s="4" t="s">
        <v>1760</v>
      </c>
      <c r="L428" s="4" t="s">
        <v>1761</v>
      </c>
      <c r="M428" s="4" t="s">
        <v>1762</v>
      </c>
      <c r="N428" s="6" t="n">
        <v>38089</v>
      </c>
      <c r="O428" s="6" t="n">
        <v>55754</v>
      </c>
      <c r="P428" s="4" t="s">
        <v>46</v>
      </c>
      <c r="Q428" s="6" t="n">
        <v>195000</v>
      </c>
      <c r="R428" s="15" t="n">
        <v>40266</v>
      </c>
      <c r="S428" s="6"/>
      <c r="T428" s="15"/>
      <c r="U428" s="6"/>
      <c r="V428" s="15"/>
      <c r="W428" s="4" t="s">
        <v>47</v>
      </c>
      <c r="X428" s="4" t="s">
        <v>47</v>
      </c>
      <c r="Y428" s="4" t="s">
        <v>1763</v>
      </c>
      <c r="Z428" s="4" t="s">
        <v>186</v>
      </c>
      <c r="AA428" s="6" t="n">
        <v>0</v>
      </c>
      <c r="AB428" s="6" t="n">
        <v>5419.52</v>
      </c>
      <c r="AC428" s="6" t="n">
        <v>5795.34</v>
      </c>
      <c r="AD428" s="14" t="b">
        <f aca="false">FALSE()</f>
        <v>0</v>
      </c>
    </row>
    <row r="429" customFormat="false" ht="15" hidden="false" customHeight="false" outlineLevel="0" collapsed="false">
      <c r="A429" s="14" t="b">
        <f aca="false">TRUE()</f>
        <v>1</v>
      </c>
      <c r="B429" s="14" t="b">
        <f aca="false">FALSE()</f>
        <v>0</v>
      </c>
      <c r="C429" s="4" t="n">
        <v>2</v>
      </c>
      <c r="D429" s="4"/>
      <c r="E429" s="4"/>
      <c r="F429" s="4"/>
      <c r="G429" s="4"/>
      <c r="H429" s="14" t="b">
        <f aca="false">FALSE()</f>
        <v>0</v>
      </c>
      <c r="I429" s="14" t="b">
        <f aca="false">FALSE()</f>
        <v>0</v>
      </c>
      <c r="J429" s="4"/>
      <c r="K429" s="4" t="s">
        <v>1764</v>
      </c>
      <c r="L429" s="4" t="s">
        <v>1765</v>
      </c>
      <c r="M429" s="4" t="s">
        <v>1766</v>
      </c>
      <c r="N429" s="6" t="n">
        <v>51756</v>
      </c>
      <c r="O429" s="6" t="n">
        <v>176779</v>
      </c>
      <c r="P429" s="4" t="s">
        <v>46</v>
      </c>
      <c r="Q429" s="6" t="n">
        <v>335000</v>
      </c>
      <c r="R429" s="15" t="n">
        <v>35800</v>
      </c>
      <c r="S429" s="6" t="n">
        <v>150000</v>
      </c>
      <c r="T429" s="15" t="n">
        <v>39345</v>
      </c>
      <c r="U429" s="6"/>
      <c r="V429" s="15"/>
      <c r="W429" s="4" t="s">
        <v>58</v>
      </c>
      <c r="X429" s="4" t="s">
        <v>47</v>
      </c>
      <c r="Y429" s="4" t="s">
        <v>1767</v>
      </c>
      <c r="Z429" s="4" t="s">
        <v>1624</v>
      </c>
      <c r="AA429" s="6" t="n">
        <v>0</v>
      </c>
      <c r="AB429" s="6" t="n">
        <v>13823.58</v>
      </c>
      <c r="AC429" s="6" t="n">
        <v>7025.47</v>
      </c>
      <c r="AD429" s="14" t="b">
        <f aca="false">TRUE()</f>
        <v>1</v>
      </c>
    </row>
    <row r="430" customFormat="false" ht="15" hidden="false" customHeight="false" outlineLevel="0" collapsed="false">
      <c r="A430" s="14" t="b">
        <f aca="false">TRUE()</f>
        <v>1</v>
      </c>
      <c r="B430" s="14" t="b">
        <f aca="false">FALSE()</f>
        <v>0</v>
      </c>
      <c r="C430" s="4" t="n">
        <v>2</v>
      </c>
      <c r="D430" s="4"/>
      <c r="E430" s="4"/>
      <c r="F430" s="4"/>
      <c r="G430" s="4"/>
      <c r="H430" s="14" t="b">
        <f aca="false">FALSE()</f>
        <v>0</v>
      </c>
      <c r="I430" s="14" t="b">
        <f aca="false">FALSE()</f>
        <v>0</v>
      </c>
      <c r="J430" s="4"/>
      <c r="K430" s="4" t="s">
        <v>1768</v>
      </c>
      <c r="L430" s="4" t="s">
        <v>1769</v>
      </c>
      <c r="M430" s="4" t="s">
        <v>1770</v>
      </c>
      <c r="N430" s="6" t="n">
        <v>51756</v>
      </c>
      <c r="O430" s="6" t="n">
        <v>156724</v>
      </c>
      <c r="P430" s="4" t="s">
        <v>46</v>
      </c>
      <c r="Q430" s="6" t="n">
        <v>575000</v>
      </c>
      <c r="R430" s="15" t="n">
        <v>44455</v>
      </c>
      <c r="S430" s="6" t="n">
        <v>460000</v>
      </c>
      <c r="T430" s="15" t="n">
        <v>44455</v>
      </c>
      <c r="U430" s="6"/>
      <c r="V430" s="15"/>
      <c r="W430" s="4" t="s">
        <v>47</v>
      </c>
      <c r="X430" s="4" t="s">
        <v>47</v>
      </c>
      <c r="Y430" s="4" t="s">
        <v>1771</v>
      </c>
      <c r="Z430" s="4" t="s">
        <v>1624</v>
      </c>
      <c r="AA430" s="6" t="n">
        <v>0</v>
      </c>
      <c r="AB430" s="6" t="n">
        <v>13067.94</v>
      </c>
      <c r="AC430" s="6" t="n">
        <v>6838</v>
      </c>
      <c r="AD430" s="14" t="b">
        <f aca="false">TRUE()</f>
        <v>1</v>
      </c>
    </row>
    <row r="431" customFormat="false" ht="15" hidden="false" customHeight="false" outlineLevel="0" collapsed="false">
      <c r="A431" s="14" t="b">
        <f aca="false">TRUE()</f>
        <v>1</v>
      </c>
      <c r="B431" s="14" t="b">
        <f aca="false">FALSE()</f>
        <v>0</v>
      </c>
      <c r="C431" s="4" t="n">
        <v>3</v>
      </c>
      <c r="D431" s="4"/>
      <c r="E431" s="4"/>
      <c r="F431" s="4"/>
      <c r="G431" s="4"/>
      <c r="H431" s="14" t="b">
        <f aca="false">TRUE()</f>
        <v>1</v>
      </c>
      <c r="I431" s="14" t="b">
        <f aca="false">FALSE()</f>
        <v>0</v>
      </c>
      <c r="J431" s="4"/>
      <c r="K431" s="4" t="s">
        <v>1772</v>
      </c>
      <c r="L431" s="4" t="s">
        <v>1773</v>
      </c>
      <c r="M431" s="4" t="s">
        <v>1774</v>
      </c>
      <c r="N431" s="6" t="n">
        <v>27714</v>
      </c>
      <c r="O431" s="6" t="n">
        <v>112138</v>
      </c>
      <c r="P431" s="4" t="s">
        <v>46</v>
      </c>
      <c r="Q431" s="6"/>
      <c r="R431" s="15" t="n">
        <v>43376</v>
      </c>
      <c r="S431" s="6" t="n">
        <v>450000</v>
      </c>
      <c r="T431" s="15" t="n">
        <v>44264</v>
      </c>
      <c r="U431" s="6"/>
      <c r="V431" s="15"/>
      <c r="W431" s="4" t="s">
        <v>47</v>
      </c>
      <c r="X431" s="4" t="s">
        <v>47</v>
      </c>
      <c r="Y431" s="4" t="s">
        <v>1775</v>
      </c>
      <c r="Z431" s="4" t="s">
        <v>1552</v>
      </c>
      <c r="AA431" s="6" t="n">
        <v>0</v>
      </c>
      <c r="AB431" s="6" t="n">
        <v>8411.9</v>
      </c>
      <c r="AC431" s="6" t="n">
        <v>8989.71</v>
      </c>
      <c r="AD431" s="14" t="b">
        <f aca="false">FALSE()</f>
        <v>0</v>
      </c>
    </row>
    <row r="432" customFormat="false" ht="15" hidden="false" customHeight="false" outlineLevel="0" collapsed="false">
      <c r="A432" s="14" t="b">
        <f aca="false">TRUE()</f>
        <v>1</v>
      </c>
      <c r="B432" s="14" t="b">
        <f aca="false">FALSE()</f>
        <v>0</v>
      </c>
      <c r="C432" s="4" t="n">
        <v>2</v>
      </c>
      <c r="D432" s="4"/>
      <c r="E432" s="4"/>
      <c r="F432" s="4"/>
      <c r="G432" s="4"/>
      <c r="H432" s="14" t="b">
        <f aca="false">FALSE()</f>
        <v>0</v>
      </c>
      <c r="I432" s="14" t="b">
        <f aca="false">FALSE()</f>
        <v>0</v>
      </c>
      <c r="J432" s="4"/>
      <c r="K432" s="4" t="s">
        <v>1776</v>
      </c>
      <c r="L432" s="4" t="s">
        <v>1777</v>
      </c>
      <c r="M432" s="4" t="s">
        <v>1778</v>
      </c>
      <c r="N432" s="6" t="n">
        <v>14351</v>
      </c>
      <c r="O432" s="6" t="n">
        <v>102252</v>
      </c>
      <c r="P432" s="4" t="s">
        <v>46</v>
      </c>
      <c r="Q432" s="6" t="n">
        <v>392500</v>
      </c>
      <c r="R432" s="15" t="n">
        <v>45195</v>
      </c>
      <c r="S432" s="6"/>
      <c r="T432" s="15"/>
      <c r="U432" s="6"/>
      <c r="V432" s="15"/>
      <c r="W432" s="4" t="s">
        <v>47</v>
      </c>
      <c r="X432" s="4" t="s">
        <v>47</v>
      </c>
      <c r="Y432" s="4" t="s">
        <v>1779</v>
      </c>
      <c r="Z432" s="4" t="s">
        <v>1624</v>
      </c>
      <c r="AA432" s="6" t="n">
        <v>0</v>
      </c>
      <c r="AB432" s="6" t="n">
        <v>6803.22</v>
      </c>
      <c r="AC432" s="6" t="n">
        <v>3564.68</v>
      </c>
      <c r="AD432" s="14" t="b">
        <f aca="false">TRUE()</f>
        <v>1</v>
      </c>
    </row>
    <row r="433" customFormat="false" ht="15" hidden="false" customHeight="false" outlineLevel="0" collapsed="false">
      <c r="A433" s="14" t="b">
        <f aca="false">TRUE()</f>
        <v>1</v>
      </c>
      <c r="B433" s="14" t="b">
        <f aca="false">FALSE()</f>
        <v>0</v>
      </c>
      <c r="C433" s="4" t="n">
        <v>2</v>
      </c>
      <c r="D433" s="4"/>
      <c r="E433" s="4"/>
      <c r="F433" s="4"/>
      <c r="G433" s="4"/>
      <c r="H433" s="14" t="b">
        <f aca="false">FALSE()</f>
        <v>0</v>
      </c>
      <c r="I433" s="14" t="b">
        <f aca="false">FALSE()</f>
        <v>0</v>
      </c>
      <c r="J433" s="4"/>
      <c r="K433" s="4" t="s">
        <v>1780</v>
      </c>
      <c r="L433" s="4" t="s">
        <v>1781</v>
      </c>
      <c r="M433" s="4" t="s">
        <v>1782</v>
      </c>
      <c r="N433" s="6" t="n">
        <v>15959</v>
      </c>
      <c r="O433" s="6" t="n">
        <v>74679</v>
      </c>
      <c r="P433" s="4" t="s">
        <v>46</v>
      </c>
      <c r="Q433" s="6" t="n">
        <v>169500</v>
      </c>
      <c r="R433" s="15" t="n">
        <v>40511</v>
      </c>
      <c r="S433" s="6"/>
      <c r="T433" s="15"/>
      <c r="U433" s="6"/>
      <c r="V433" s="15"/>
      <c r="W433" s="4" t="s">
        <v>47</v>
      </c>
      <c r="X433" s="4" t="s">
        <v>47</v>
      </c>
      <c r="Y433" s="4" t="s">
        <v>1783</v>
      </c>
      <c r="Z433" s="4" t="s">
        <v>1552</v>
      </c>
      <c r="AA433" s="6" t="n">
        <v>0</v>
      </c>
      <c r="AB433" s="6" t="n">
        <v>5176.7</v>
      </c>
      <c r="AC433" s="6" t="n">
        <v>5536.13</v>
      </c>
      <c r="AD433" s="14" t="b">
        <f aca="false">FALSE()</f>
        <v>0</v>
      </c>
    </row>
    <row r="434" customFormat="false" ht="15" hidden="false" customHeight="false" outlineLevel="0" collapsed="false">
      <c r="A434" s="14" t="b">
        <f aca="false">TRUE()</f>
        <v>1</v>
      </c>
      <c r="B434" s="14" t="b">
        <f aca="false">FALSE()</f>
        <v>0</v>
      </c>
      <c r="C434" s="4" t="n">
        <v>2</v>
      </c>
      <c r="D434" s="4"/>
      <c r="E434" s="4"/>
      <c r="F434" s="4"/>
      <c r="G434" s="4"/>
      <c r="H434" s="14" t="b">
        <f aca="false">FALSE()</f>
        <v>0</v>
      </c>
      <c r="I434" s="14" t="b">
        <f aca="false">FALSE()</f>
        <v>0</v>
      </c>
      <c r="J434" s="4"/>
      <c r="K434" s="4" t="s">
        <v>1784</v>
      </c>
      <c r="L434" s="4" t="s">
        <v>1785</v>
      </c>
      <c r="M434" s="4" t="s">
        <v>1786</v>
      </c>
      <c r="N434" s="6" t="n">
        <v>44369</v>
      </c>
      <c r="O434" s="6" t="n">
        <v>207350</v>
      </c>
      <c r="P434" s="4" t="s">
        <v>46</v>
      </c>
      <c r="Q434" s="6" t="n">
        <v>44000</v>
      </c>
      <c r="R434" s="15" t="n">
        <v>36551</v>
      </c>
      <c r="S434" s="6" t="n">
        <v>280000</v>
      </c>
      <c r="T434" s="15" t="n">
        <v>41681</v>
      </c>
      <c r="U434" s="6" t="n">
        <v>72000</v>
      </c>
      <c r="V434" s="15" t="n">
        <v>37558</v>
      </c>
      <c r="W434" s="4" t="s">
        <v>47</v>
      </c>
      <c r="X434" s="4" t="s">
        <v>47</v>
      </c>
      <c r="Y434" s="4" t="s">
        <v>1787</v>
      </c>
      <c r="Z434" s="4" t="s">
        <v>1624</v>
      </c>
      <c r="AA434" s="6" t="n">
        <v>0</v>
      </c>
      <c r="AB434" s="6" t="n">
        <v>15708.18</v>
      </c>
      <c r="AC434" s="6" t="n">
        <v>8217.52</v>
      </c>
      <c r="AD434" s="14" t="b">
        <f aca="false">TRUE()</f>
        <v>1</v>
      </c>
    </row>
    <row r="435" customFormat="false" ht="15" hidden="false" customHeight="false" outlineLevel="0" collapsed="false">
      <c r="A435" s="14" t="b">
        <f aca="false">TRUE()</f>
        <v>1</v>
      </c>
      <c r="B435" s="14" t="b">
        <f aca="false">FALSE()</f>
        <v>0</v>
      </c>
      <c r="C435" s="4" t="n">
        <v>2</v>
      </c>
      <c r="D435" s="4"/>
      <c r="E435" s="4"/>
      <c r="F435" s="4"/>
      <c r="G435" s="4"/>
      <c r="H435" s="14" t="b">
        <f aca="false">FALSE()</f>
        <v>0</v>
      </c>
      <c r="I435" s="14" t="b">
        <f aca="false">FALSE()</f>
        <v>0</v>
      </c>
      <c r="J435" s="4"/>
      <c r="K435" s="4" t="s">
        <v>1788</v>
      </c>
      <c r="L435" s="4" t="s">
        <v>1789</v>
      </c>
      <c r="M435" s="4" t="s">
        <v>1790</v>
      </c>
      <c r="N435" s="6" t="n">
        <v>42576</v>
      </c>
      <c r="O435" s="6" t="n">
        <v>162015</v>
      </c>
      <c r="P435" s="4" t="s">
        <v>46</v>
      </c>
      <c r="Q435" s="6" t="n">
        <v>865000</v>
      </c>
      <c r="R435" s="15" t="n">
        <v>45688</v>
      </c>
      <c r="S435" s="6" t="n">
        <v>692000</v>
      </c>
      <c r="T435" s="15" t="n">
        <v>45849</v>
      </c>
      <c r="U435" s="6"/>
      <c r="V435" s="15"/>
      <c r="W435" s="4" t="s">
        <v>47</v>
      </c>
      <c r="X435" s="4" t="s">
        <v>47</v>
      </c>
      <c r="Y435" s="4" t="s">
        <v>1791</v>
      </c>
      <c r="Z435" s="4" t="s">
        <v>1624</v>
      </c>
      <c r="AA435" s="6" t="n">
        <v>0</v>
      </c>
      <c r="AB435" s="6" t="n">
        <v>11821.28</v>
      </c>
      <c r="AC435" s="6" t="n">
        <v>6186.62</v>
      </c>
      <c r="AD435" s="14" t="b">
        <f aca="false">TRUE()</f>
        <v>1</v>
      </c>
    </row>
    <row r="436" customFormat="false" ht="15" hidden="false" customHeight="false" outlineLevel="0" collapsed="false">
      <c r="A436" s="14" t="b">
        <f aca="false">TRUE()</f>
        <v>1</v>
      </c>
      <c r="B436" s="14" t="b">
        <f aca="false">FALSE()</f>
        <v>0</v>
      </c>
      <c r="C436" s="4" t="n">
        <v>2</v>
      </c>
      <c r="D436" s="4"/>
      <c r="E436" s="4"/>
      <c r="F436" s="4"/>
      <c r="G436" s="4" t="n">
        <v>2</v>
      </c>
      <c r="H436" s="14" t="b">
        <f aca="false">TRUE()</f>
        <v>1</v>
      </c>
      <c r="I436" s="14" t="b">
        <f aca="false">FALSE()</f>
        <v>0</v>
      </c>
      <c r="J436" s="4"/>
      <c r="K436" s="4" t="s">
        <v>1792</v>
      </c>
      <c r="L436" s="4" t="s">
        <v>1793</v>
      </c>
      <c r="M436" s="4" t="s">
        <v>1794</v>
      </c>
      <c r="N436" s="6" t="n">
        <v>22836</v>
      </c>
      <c r="O436" s="6" t="n">
        <v>116397</v>
      </c>
      <c r="P436" s="4" t="s">
        <v>46</v>
      </c>
      <c r="Q436" s="6" t="n">
        <v>316000</v>
      </c>
      <c r="R436" s="15" t="n">
        <v>42143</v>
      </c>
      <c r="S436" s="6"/>
      <c r="T436" s="15"/>
      <c r="U436" s="6"/>
      <c r="V436" s="15"/>
      <c r="W436" s="4" t="s">
        <v>47</v>
      </c>
      <c r="X436" s="4" t="s">
        <v>47</v>
      </c>
      <c r="Y436" s="4" t="s">
        <v>1795</v>
      </c>
      <c r="Z436" s="4" t="s">
        <v>1624</v>
      </c>
      <c r="AA436" s="6" t="n">
        <v>0</v>
      </c>
      <c r="AB436" s="6" t="n">
        <v>7553.52</v>
      </c>
      <c r="AC436" s="6" t="n">
        <v>8073.38</v>
      </c>
      <c r="AD436" s="14" t="b">
        <f aca="false">FALSE()</f>
        <v>0</v>
      </c>
    </row>
    <row r="437" customFormat="false" ht="15" hidden="false" customHeight="false" outlineLevel="0" collapsed="false">
      <c r="A437" s="14" t="b">
        <f aca="false">TRUE()</f>
        <v>1</v>
      </c>
      <c r="B437" s="14" t="b">
        <f aca="false">FALSE()</f>
        <v>0</v>
      </c>
      <c r="C437" s="4" t="n">
        <v>2</v>
      </c>
      <c r="D437" s="4"/>
      <c r="E437" s="4"/>
      <c r="F437" s="4"/>
      <c r="G437" s="4"/>
      <c r="H437" s="14" t="b">
        <f aca="false">FALSE()</f>
        <v>0</v>
      </c>
      <c r="I437" s="14" t="b">
        <f aca="false">FALSE()</f>
        <v>0</v>
      </c>
      <c r="J437" s="4"/>
      <c r="K437" s="4" t="s">
        <v>1796</v>
      </c>
      <c r="L437" s="4" t="s">
        <v>1797</v>
      </c>
      <c r="M437" s="4" t="s">
        <v>1798</v>
      </c>
      <c r="N437" s="6" t="n">
        <v>22836</v>
      </c>
      <c r="O437" s="6" t="n">
        <v>76765</v>
      </c>
      <c r="P437" s="4" t="s">
        <v>46</v>
      </c>
      <c r="Q437" s="6" t="n">
        <v>25000</v>
      </c>
      <c r="R437" s="15" t="n">
        <v>45862</v>
      </c>
      <c r="S437" s="6"/>
      <c r="T437" s="15"/>
      <c r="U437" s="6"/>
      <c r="V437" s="15"/>
      <c r="W437" s="4" t="s">
        <v>47</v>
      </c>
      <c r="X437" s="4" t="s">
        <v>47</v>
      </c>
      <c r="Y437" s="4" t="s">
        <v>1799</v>
      </c>
      <c r="Z437" s="4" t="s">
        <v>1624</v>
      </c>
      <c r="AA437" s="6" t="n">
        <v>0</v>
      </c>
      <c r="AB437" s="6" t="n">
        <v>5272.36</v>
      </c>
      <c r="AC437" s="6" t="n">
        <v>2764.81</v>
      </c>
      <c r="AD437" s="14" t="b">
        <f aca="false">TRUE()</f>
        <v>1</v>
      </c>
    </row>
    <row r="438" customFormat="false" ht="15" hidden="false" customHeight="false" outlineLevel="0" collapsed="false">
      <c r="A438" s="14" t="b">
        <f aca="false">TRUE()</f>
        <v>1</v>
      </c>
      <c r="B438" s="14" t="b">
        <f aca="false">FALSE()</f>
        <v>0</v>
      </c>
      <c r="C438" s="4" t="n">
        <v>2</v>
      </c>
      <c r="D438" s="4"/>
      <c r="E438" s="4"/>
      <c r="F438" s="4"/>
      <c r="G438" s="4"/>
      <c r="H438" s="14" t="b">
        <f aca="false">FALSE()</f>
        <v>0</v>
      </c>
      <c r="I438" s="14" t="b">
        <f aca="false">FALSE()</f>
        <v>0</v>
      </c>
      <c r="J438" s="4"/>
      <c r="K438" s="4" t="s">
        <v>1800</v>
      </c>
      <c r="L438" s="4" t="s">
        <v>1801</v>
      </c>
      <c r="M438" s="4" t="s">
        <v>1802</v>
      </c>
      <c r="N438" s="6" t="n">
        <v>86054</v>
      </c>
      <c r="O438" s="6" t="n">
        <v>381250</v>
      </c>
      <c r="P438" s="4" t="s">
        <v>46</v>
      </c>
      <c r="Q438" s="6" t="n">
        <v>420000</v>
      </c>
      <c r="R438" s="15" t="n">
        <v>42348</v>
      </c>
      <c r="S438" s="6" t="n">
        <v>510400</v>
      </c>
      <c r="T438" s="15" t="n">
        <v>44200</v>
      </c>
      <c r="U438" s="6" t="n">
        <v>500000</v>
      </c>
      <c r="V438" s="15" t="n">
        <v>45517</v>
      </c>
      <c r="W438" s="4" t="s">
        <v>47</v>
      </c>
      <c r="X438" s="4" t="s">
        <v>47</v>
      </c>
      <c r="Y438" s="4" t="s">
        <v>1803</v>
      </c>
      <c r="Z438" s="4" t="s">
        <v>1624</v>
      </c>
      <c r="AA438" s="6" t="n">
        <v>0</v>
      </c>
      <c r="AB438" s="6" t="n">
        <v>29603.06</v>
      </c>
      <c r="AC438" s="6" t="n">
        <v>15477.6</v>
      </c>
      <c r="AD438" s="14" t="b">
        <f aca="false">TRUE()</f>
        <v>1</v>
      </c>
    </row>
    <row r="439" customFormat="false" ht="15" hidden="false" customHeight="false" outlineLevel="0" collapsed="false">
      <c r="A439" s="14" t="b">
        <f aca="false">TRUE()</f>
        <v>1</v>
      </c>
      <c r="B439" s="14" t="b">
        <f aca="false">FALSE()</f>
        <v>0</v>
      </c>
      <c r="C439" s="4" t="n">
        <v>3</v>
      </c>
      <c r="D439" s="4"/>
      <c r="E439" s="4"/>
      <c r="F439" s="4"/>
      <c r="G439" s="4"/>
      <c r="H439" s="14" t="b">
        <f aca="false">TRUE()</f>
        <v>1</v>
      </c>
      <c r="I439" s="14" t="b">
        <f aca="false">FALSE()</f>
        <v>0</v>
      </c>
      <c r="J439" s="4"/>
      <c r="K439" s="4" t="s">
        <v>1804</v>
      </c>
      <c r="L439" s="4" t="s">
        <v>1805</v>
      </c>
      <c r="M439" s="4" t="s">
        <v>1806</v>
      </c>
      <c r="N439" s="6" t="n">
        <v>37459</v>
      </c>
      <c r="O439" s="6" t="n">
        <v>303269</v>
      </c>
      <c r="P439" s="4" t="s">
        <v>46</v>
      </c>
      <c r="Q439" s="6" t="n">
        <v>850000</v>
      </c>
      <c r="R439" s="15" t="n">
        <v>39415</v>
      </c>
      <c r="S439" s="6" t="n">
        <v>410000</v>
      </c>
      <c r="T439" s="15" t="n">
        <v>41129</v>
      </c>
      <c r="U439" s="6"/>
      <c r="V439" s="15"/>
      <c r="W439" s="4" t="s">
        <v>47</v>
      </c>
      <c r="X439" s="4" t="s">
        <v>47</v>
      </c>
      <c r="Y439" s="4" t="s">
        <v>1807</v>
      </c>
      <c r="Z439" s="4" t="s">
        <v>1624</v>
      </c>
      <c r="AA439" s="6" t="n">
        <v>0</v>
      </c>
      <c r="AB439" s="6" t="n">
        <v>21444.96</v>
      </c>
      <c r="AC439" s="6" t="n">
        <v>22902.49</v>
      </c>
      <c r="AD439" s="14" t="b">
        <f aca="false">FALSE()</f>
        <v>0</v>
      </c>
    </row>
    <row r="440" customFormat="false" ht="15" hidden="false" customHeight="false" outlineLevel="0" collapsed="false">
      <c r="A440" s="14" t="b">
        <f aca="false">TRUE()</f>
        <v>1</v>
      </c>
      <c r="B440" s="14" t="b">
        <f aca="false">FALSE()</f>
        <v>0</v>
      </c>
      <c r="C440" s="4" t="n">
        <v>3</v>
      </c>
      <c r="D440" s="4"/>
      <c r="E440" s="4"/>
      <c r="F440" s="4"/>
      <c r="G440" s="4" t="n">
        <v>3</v>
      </c>
      <c r="H440" s="14" t="b">
        <f aca="false">FALSE()</f>
        <v>0</v>
      </c>
      <c r="I440" s="14" t="b">
        <f aca="false">FALSE()</f>
        <v>0</v>
      </c>
      <c r="J440" s="4"/>
      <c r="K440" s="4" t="s">
        <v>1808</v>
      </c>
      <c r="L440" s="4" t="s">
        <v>1809</v>
      </c>
      <c r="M440" s="4" t="s">
        <v>1810</v>
      </c>
      <c r="N440" s="6" t="n">
        <v>38502</v>
      </c>
      <c r="O440" s="6" t="n">
        <v>86662</v>
      </c>
      <c r="P440" s="4" t="s">
        <v>46</v>
      </c>
      <c r="Q440" s="6" t="n">
        <v>460000</v>
      </c>
      <c r="R440" s="15" t="n">
        <v>45212</v>
      </c>
      <c r="S440" s="6" t="n">
        <v>361869</v>
      </c>
      <c r="T440" s="15" t="n">
        <v>45212</v>
      </c>
      <c r="U440" s="6"/>
      <c r="V440" s="15"/>
      <c r="W440" s="4" t="s">
        <v>47</v>
      </c>
      <c r="X440" s="4" t="s">
        <v>47</v>
      </c>
      <c r="Y440" s="4" t="s">
        <v>1811</v>
      </c>
      <c r="Z440" s="4" t="s">
        <v>877</v>
      </c>
      <c r="AA440" s="6" t="n">
        <v>0</v>
      </c>
      <c r="AB440" s="6" t="n">
        <v>7938.94</v>
      </c>
      <c r="AC440" s="6" t="n">
        <v>8484.82</v>
      </c>
      <c r="AD440" s="14" t="b">
        <f aca="false">FALSE()</f>
        <v>0</v>
      </c>
    </row>
    <row r="441" customFormat="false" ht="15" hidden="false" customHeight="false" outlineLevel="0" collapsed="false">
      <c r="A441" s="14" t="b">
        <f aca="false">TRUE()</f>
        <v>1</v>
      </c>
      <c r="B441" s="14" t="b">
        <f aca="false">FALSE()</f>
        <v>0</v>
      </c>
      <c r="C441" s="4" t="n">
        <v>2</v>
      </c>
      <c r="D441" s="4"/>
      <c r="E441" s="4"/>
      <c r="F441" s="4"/>
      <c r="G441" s="4" t="n">
        <v>2</v>
      </c>
      <c r="H441" s="14" t="b">
        <f aca="false">TRUE()</f>
        <v>1</v>
      </c>
      <c r="I441" s="14" t="b">
        <f aca="false">FALSE()</f>
        <v>0</v>
      </c>
      <c r="J441" s="4"/>
      <c r="K441" s="4" t="s">
        <v>1812</v>
      </c>
      <c r="L441" s="4" t="s">
        <v>1813</v>
      </c>
      <c r="M441" s="4" t="s">
        <v>1814</v>
      </c>
      <c r="N441" s="6" t="n">
        <v>34732</v>
      </c>
      <c r="O441" s="6" t="n">
        <v>81393</v>
      </c>
      <c r="P441" s="4" t="s">
        <v>46</v>
      </c>
      <c r="Q441" s="6"/>
      <c r="R441" s="15"/>
      <c r="S441" s="6"/>
      <c r="T441" s="15"/>
      <c r="U441" s="6"/>
      <c r="V441" s="15"/>
      <c r="W441" s="4" t="s">
        <v>47</v>
      </c>
      <c r="X441" s="4" t="s">
        <v>47</v>
      </c>
      <c r="Y441" s="4" t="s">
        <v>1815</v>
      </c>
      <c r="Z441" s="4" t="s">
        <v>1624</v>
      </c>
      <c r="AA441" s="6" t="n">
        <v>0</v>
      </c>
      <c r="AB441" s="6" t="n">
        <v>6453.26</v>
      </c>
      <c r="AC441" s="6" t="n">
        <v>3381.83</v>
      </c>
      <c r="AD441" s="14" t="b">
        <f aca="false">TRUE()</f>
        <v>1</v>
      </c>
    </row>
    <row r="442" customFormat="false" ht="15" hidden="false" customHeight="false" outlineLevel="0" collapsed="false">
      <c r="A442" s="14" t="b">
        <f aca="false">TRUE()</f>
        <v>1</v>
      </c>
      <c r="B442" s="14" t="b">
        <f aca="false">FALSE()</f>
        <v>0</v>
      </c>
      <c r="C442" s="4" t="n">
        <v>2</v>
      </c>
      <c r="D442" s="4"/>
      <c r="E442" s="4"/>
      <c r="F442" s="4"/>
      <c r="G442" s="4"/>
      <c r="H442" s="14" t="b">
        <f aca="false">FALSE()</f>
        <v>0</v>
      </c>
      <c r="I442" s="14" t="b">
        <f aca="false">FALSE()</f>
        <v>0</v>
      </c>
      <c r="J442" s="4"/>
      <c r="K442" s="4" t="s">
        <v>1816</v>
      </c>
      <c r="L442" s="4" t="s">
        <v>1817</v>
      </c>
      <c r="M442" s="4" t="s">
        <v>1818</v>
      </c>
      <c r="N442" s="6" t="n">
        <v>34808</v>
      </c>
      <c r="O442" s="6" t="n">
        <v>104523</v>
      </c>
      <c r="P442" s="4" t="s">
        <v>46</v>
      </c>
      <c r="Q442" s="6"/>
      <c r="R442" s="15" t="n">
        <v>45041</v>
      </c>
      <c r="S442" s="6"/>
      <c r="T442" s="15"/>
      <c r="U442" s="6"/>
      <c r="V442" s="15"/>
      <c r="W442" s="4" t="s">
        <v>47</v>
      </c>
      <c r="X442" s="4" t="s">
        <v>47</v>
      </c>
      <c r="Y442" s="4" t="s">
        <v>1819</v>
      </c>
      <c r="Z442" s="4" t="s">
        <v>1624</v>
      </c>
      <c r="AA442" s="6" t="n">
        <v>0</v>
      </c>
      <c r="AB442" s="6" t="n">
        <v>7165.42</v>
      </c>
      <c r="AC442" s="6" t="n">
        <v>3753.93</v>
      </c>
      <c r="AD442" s="14" t="b">
        <f aca="false">TRUE()</f>
        <v>1</v>
      </c>
    </row>
    <row r="443" customFormat="false" ht="15" hidden="false" customHeight="false" outlineLevel="0" collapsed="false">
      <c r="A443" s="14" t="b">
        <f aca="false">TRUE()</f>
        <v>1</v>
      </c>
      <c r="B443" s="14" t="b">
        <f aca="false">FALSE()</f>
        <v>0</v>
      </c>
      <c r="C443" s="4" t="n">
        <v>2</v>
      </c>
      <c r="D443" s="4"/>
      <c r="E443" s="4"/>
      <c r="F443" s="4"/>
      <c r="G443" s="4"/>
      <c r="H443" s="14" t="b">
        <f aca="false">FALSE()</f>
        <v>0</v>
      </c>
      <c r="I443" s="14" t="b">
        <f aca="false">FALSE()</f>
        <v>0</v>
      </c>
      <c r="J443" s="4"/>
      <c r="K443" s="4" t="s">
        <v>1820</v>
      </c>
      <c r="L443" s="4" t="s">
        <v>1821</v>
      </c>
      <c r="M443" s="4" t="s">
        <v>1822</v>
      </c>
      <c r="N443" s="6" t="n">
        <v>46009</v>
      </c>
      <c r="O443" s="6" t="n">
        <v>144415</v>
      </c>
      <c r="P443" s="4" t="s">
        <v>46</v>
      </c>
      <c r="Q443" s="6" t="n">
        <v>469000</v>
      </c>
      <c r="R443" s="15" t="n">
        <v>45484</v>
      </c>
      <c r="S443" s="6"/>
      <c r="T443" s="15"/>
      <c r="U443" s="6"/>
      <c r="V443" s="15"/>
      <c r="W443" s="4" t="s">
        <v>58</v>
      </c>
      <c r="X443" s="4" t="s">
        <v>47</v>
      </c>
      <c r="Y443" s="4" t="s">
        <v>1823</v>
      </c>
      <c r="Z443" s="4" t="s">
        <v>877</v>
      </c>
      <c r="AA443" s="6" t="n">
        <v>0</v>
      </c>
      <c r="AB443" s="6" t="n">
        <v>13032.74</v>
      </c>
      <c r="AC443" s="6" t="n">
        <v>6819.61</v>
      </c>
      <c r="AD443" s="14" t="b">
        <f aca="false">TRUE()</f>
        <v>1</v>
      </c>
    </row>
    <row r="444" customFormat="false" ht="15" hidden="false" customHeight="false" outlineLevel="0" collapsed="false">
      <c r="A444" s="14" t="b">
        <f aca="false">TRUE()</f>
        <v>1</v>
      </c>
      <c r="B444" s="14" t="b">
        <f aca="false">FALSE()</f>
        <v>0</v>
      </c>
      <c r="C444" s="4" t="n">
        <v>3</v>
      </c>
      <c r="D444" s="4"/>
      <c r="E444" s="4"/>
      <c r="F444" s="4"/>
      <c r="G444" s="4"/>
      <c r="H444" s="14" t="b">
        <f aca="false">FALSE()</f>
        <v>0</v>
      </c>
      <c r="I444" s="14" t="b">
        <f aca="false">FALSE()</f>
        <v>0</v>
      </c>
      <c r="J444" s="4"/>
      <c r="K444" s="4" t="s">
        <v>1824</v>
      </c>
      <c r="L444" s="4" t="s">
        <v>1825</v>
      </c>
      <c r="M444" s="4" t="s">
        <v>1826</v>
      </c>
      <c r="N444" s="6" t="n">
        <v>57438</v>
      </c>
      <c r="O444" s="6" t="n">
        <v>268286</v>
      </c>
      <c r="P444" s="4" t="s">
        <v>46</v>
      </c>
      <c r="Q444" s="6"/>
      <c r="R444" s="15" t="n">
        <v>45576</v>
      </c>
      <c r="S444" s="6"/>
      <c r="T444" s="15"/>
      <c r="U444" s="6"/>
      <c r="V444" s="15"/>
      <c r="W444" s="4" t="s">
        <v>47</v>
      </c>
      <c r="X444" s="4" t="s">
        <v>58</v>
      </c>
      <c r="Y444" s="4" t="s">
        <v>1827</v>
      </c>
      <c r="Z444" s="4" t="s">
        <v>877</v>
      </c>
      <c r="AA444" s="6" t="n">
        <v>0</v>
      </c>
      <c r="AB444" s="6" t="n">
        <v>22698.84</v>
      </c>
      <c r="AC444" s="6" t="n">
        <v>24241.01</v>
      </c>
      <c r="AD444" s="14" t="b">
        <f aca="false">FALSE()</f>
        <v>0</v>
      </c>
    </row>
    <row r="445" customFormat="false" ht="15" hidden="false" customHeight="false" outlineLevel="0" collapsed="false">
      <c r="A445" s="14" t="b">
        <f aca="false">TRUE()</f>
        <v>1</v>
      </c>
      <c r="B445" s="14" t="b">
        <f aca="false">FALSE()</f>
        <v>0</v>
      </c>
      <c r="C445" s="4" t="n">
        <v>2</v>
      </c>
      <c r="D445" s="4"/>
      <c r="E445" s="4"/>
      <c r="F445" s="4"/>
      <c r="G445" s="4"/>
      <c r="H445" s="14" t="b">
        <f aca="false">FALSE()</f>
        <v>0</v>
      </c>
      <c r="I445" s="14" t="b">
        <f aca="false">FALSE()</f>
        <v>0</v>
      </c>
      <c r="J445" s="4"/>
      <c r="K445" s="4" t="s">
        <v>1828</v>
      </c>
      <c r="L445" s="4" t="s">
        <v>1829</v>
      </c>
      <c r="M445" s="4" t="s">
        <v>1830</v>
      </c>
      <c r="N445" s="6" t="n">
        <v>38328</v>
      </c>
      <c r="O445" s="6" t="n">
        <v>54418</v>
      </c>
      <c r="P445" s="4" t="s">
        <v>46</v>
      </c>
      <c r="Q445" s="6"/>
      <c r="R445" s="15"/>
      <c r="S445" s="6"/>
      <c r="T445" s="15"/>
      <c r="U445" s="6"/>
      <c r="V445" s="15"/>
      <c r="W445" s="4" t="s">
        <v>47</v>
      </c>
      <c r="X445" s="4" t="s">
        <v>47</v>
      </c>
      <c r="Y445" s="4" t="s">
        <v>1831</v>
      </c>
      <c r="Z445" s="4" t="s">
        <v>877</v>
      </c>
      <c r="AA445" s="6" t="n">
        <v>0</v>
      </c>
      <c r="AB445" s="6" t="n">
        <v>6054.44</v>
      </c>
      <c r="AC445" s="6" t="n">
        <v>6473.11</v>
      </c>
      <c r="AD445" s="14" t="b">
        <f aca="false">FALSE()</f>
        <v>0</v>
      </c>
    </row>
    <row r="446" customFormat="false" ht="15" hidden="false" customHeight="false" outlineLevel="0" collapsed="false">
      <c r="A446" s="14" t="b">
        <f aca="false">TRUE()</f>
        <v>1</v>
      </c>
      <c r="B446" s="14" t="b">
        <f aca="false">FALSE()</f>
        <v>0</v>
      </c>
      <c r="C446" s="4" t="n">
        <v>3</v>
      </c>
      <c r="D446" s="4"/>
      <c r="E446" s="4"/>
      <c r="F446" s="4"/>
      <c r="G446" s="4" t="n">
        <v>3</v>
      </c>
      <c r="H446" s="14" t="b">
        <f aca="false">FALSE()</f>
        <v>0</v>
      </c>
      <c r="I446" s="14" t="b">
        <f aca="false">FALSE()</f>
        <v>0</v>
      </c>
      <c r="J446" s="4"/>
      <c r="K446" s="4" t="s">
        <v>1832</v>
      </c>
      <c r="L446" s="4" t="s">
        <v>1833</v>
      </c>
      <c r="M446" s="4" t="s">
        <v>1834</v>
      </c>
      <c r="N446" s="6" t="n">
        <v>50431</v>
      </c>
      <c r="O446" s="6" t="n">
        <v>277586</v>
      </c>
      <c r="P446" s="4" t="s">
        <v>46</v>
      </c>
      <c r="Q446" s="6" t="n">
        <v>730000</v>
      </c>
      <c r="R446" s="15" t="n">
        <v>41085</v>
      </c>
      <c r="S446" s="6"/>
      <c r="T446" s="15"/>
      <c r="U446" s="6"/>
      <c r="V446" s="15"/>
      <c r="W446" s="4" t="s">
        <v>47</v>
      </c>
      <c r="X446" s="4" t="s">
        <v>47</v>
      </c>
      <c r="Y446" s="4" t="s">
        <v>1835</v>
      </c>
      <c r="Z446" s="4" t="s">
        <v>877</v>
      </c>
      <c r="AA446" s="6" t="n">
        <v>0</v>
      </c>
      <c r="AB446" s="6" t="n">
        <v>22862.66</v>
      </c>
      <c r="AC446" s="6" t="n">
        <v>24415.89</v>
      </c>
      <c r="AD446" s="14" t="b">
        <f aca="false">FALSE()</f>
        <v>0</v>
      </c>
    </row>
    <row r="447" customFormat="false" ht="15" hidden="false" customHeight="false" outlineLevel="0" collapsed="false">
      <c r="A447" s="14" t="b">
        <f aca="false">TRUE()</f>
        <v>1</v>
      </c>
      <c r="B447" s="14" t="b">
        <f aca="false">FALSE()</f>
        <v>0</v>
      </c>
      <c r="C447" s="4" t="n">
        <v>3</v>
      </c>
      <c r="D447" s="4"/>
      <c r="E447" s="4"/>
      <c r="F447" s="4"/>
      <c r="G447" s="4"/>
      <c r="H447" s="14" t="b">
        <f aca="false">TRUE()</f>
        <v>1</v>
      </c>
      <c r="I447" s="14" t="b">
        <f aca="false">FALSE()</f>
        <v>0</v>
      </c>
      <c r="J447" s="4"/>
      <c r="K447" s="4" t="s">
        <v>1836</v>
      </c>
      <c r="L447" s="4" t="s">
        <v>1837</v>
      </c>
      <c r="M447" s="4" t="s">
        <v>1838</v>
      </c>
      <c r="N447" s="6" t="n">
        <v>47161</v>
      </c>
      <c r="O447" s="6" t="n">
        <v>130346</v>
      </c>
      <c r="P447" s="4" t="s">
        <v>46</v>
      </c>
      <c r="Q447" s="6" t="n">
        <v>175500</v>
      </c>
      <c r="R447" s="15" t="n">
        <v>35320</v>
      </c>
      <c r="S447" s="6" t="n">
        <v>250000</v>
      </c>
      <c r="T447" s="15" t="n">
        <v>39240</v>
      </c>
      <c r="U447" s="6" t="n">
        <v>31500</v>
      </c>
      <c r="V447" s="15" t="n">
        <v>40772</v>
      </c>
      <c r="W447" s="4" t="s">
        <v>58</v>
      </c>
      <c r="X447" s="4" t="s">
        <v>47</v>
      </c>
      <c r="Y447" s="4" t="s">
        <v>1839</v>
      </c>
      <c r="Z447" s="4" t="s">
        <v>877</v>
      </c>
      <c r="AA447" s="6" t="n">
        <v>0</v>
      </c>
      <c r="AB447" s="6" t="n">
        <v>12109.94</v>
      </c>
      <c r="AC447" s="6" t="n">
        <v>12937.36</v>
      </c>
      <c r="AD447" s="14" t="b">
        <f aca="false">FALSE()</f>
        <v>0</v>
      </c>
    </row>
    <row r="448" customFormat="false" ht="15" hidden="false" customHeight="false" outlineLevel="0" collapsed="false">
      <c r="A448" s="14" t="b">
        <f aca="false">TRUE()</f>
        <v>1</v>
      </c>
      <c r="B448" s="14" t="b">
        <f aca="false">FALSE()</f>
        <v>0</v>
      </c>
      <c r="C448" s="4" t="n">
        <v>3</v>
      </c>
      <c r="D448" s="4"/>
      <c r="E448" s="4"/>
      <c r="F448" s="4"/>
      <c r="G448" s="4" t="n">
        <v>2</v>
      </c>
      <c r="H448" s="14" t="b">
        <f aca="false">FALSE()</f>
        <v>0</v>
      </c>
      <c r="I448" s="14" t="b">
        <f aca="false">FALSE()</f>
        <v>0</v>
      </c>
      <c r="J448" s="4"/>
      <c r="K448" s="4" t="s">
        <v>1840</v>
      </c>
      <c r="L448" s="4" t="s">
        <v>1841</v>
      </c>
      <c r="M448" s="4" t="s">
        <v>1842</v>
      </c>
      <c r="N448" s="6" t="n">
        <v>44119</v>
      </c>
      <c r="O448" s="6" t="n">
        <v>51419</v>
      </c>
      <c r="P448" s="4" t="s">
        <v>46</v>
      </c>
      <c r="Q448" s="6" t="n">
        <v>147000</v>
      </c>
      <c r="R448" s="15" t="n">
        <v>35269</v>
      </c>
      <c r="S448" s="6" t="n">
        <v>90000</v>
      </c>
      <c r="T448" s="15" t="n">
        <v>43276</v>
      </c>
      <c r="U448" s="6" t="n">
        <v>20000</v>
      </c>
      <c r="V448" s="15" t="n">
        <v>35369</v>
      </c>
      <c r="W448" s="4" t="s">
        <v>47</v>
      </c>
      <c r="X448" s="4" t="s">
        <v>58</v>
      </c>
      <c r="Y448" s="4" t="s">
        <v>1843</v>
      </c>
      <c r="Z448" s="4" t="s">
        <v>877</v>
      </c>
      <c r="AA448" s="6" t="n">
        <v>0</v>
      </c>
      <c r="AB448" s="6" t="n">
        <v>5760.7</v>
      </c>
      <c r="AC448" s="6" t="n">
        <v>6159.55</v>
      </c>
      <c r="AD448" s="14" t="b">
        <f aca="false">FALSE()</f>
        <v>0</v>
      </c>
    </row>
    <row r="449" customFormat="false" ht="15" hidden="false" customHeight="false" outlineLevel="0" collapsed="false">
      <c r="A449" s="14" t="b">
        <f aca="false">TRUE()</f>
        <v>1</v>
      </c>
      <c r="B449" s="14" t="b">
        <f aca="false">FALSE()</f>
        <v>0</v>
      </c>
      <c r="C449" s="4" t="n">
        <v>2</v>
      </c>
      <c r="D449" s="4"/>
      <c r="E449" s="4"/>
      <c r="F449" s="4"/>
      <c r="G449" s="4"/>
      <c r="H449" s="14" t="b">
        <f aca="false">FALSE()</f>
        <v>0</v>
      </c>
      <c r="I449" s="14" t="b">
        <f aca="false">FALSE()</f>
        <v>0</v>
      </c>
      <c r="J449" s="4"/>
      <c r="K449" s="4" t="s">
        <v>1844</v>
      </c>
      <c r="L449" s="4" t="s">
        <v>1845</v>
      </c>
      <c r="M449" s="4" t="s">
        <v>1846</v>
      </c>
      <c r="N449" s="6" t="n">
        <v>32766</v>
      </c>
      <c r="O449" s="6" t="n">
        <v>85913</v>
      </c>
      <c r="P449" s="4" t="s">
        <v>46</v>
      </c>
      <c r="Q449" s="6" t="n">
        <v>255000</v>
      </c>
      <c r="R449" s="15" t="n">
        <v>37453</v>
      </c>
      <c r="S449" s="6"/>
      <c r="T449" s="15"/>
      <c r="U449" s="6"/>
      <c r="V449" s="15"/>
      <c r="W449" s="4" t="s">
        <v>47</v>
      </c>
      <c r="X449" s="4" t="s">
        <v>58</v>
      </c>
      <c r="Y449" s="4" t="s">
        <v>1847</v>
      </c>
      <c r="Z449" s="4" t="s">
        <v>877</v>
      </c>
      <c r="AA449" s="6" t="n">
        <v>0</v>
      </c>
      <c r="AB449" s="6" t="n">
        <v>7907.14</v>
      </c>
      <c r="AC449" s="6" t="n">
        <v>8450.87</v>
      </c>
      <c r="AD449" s="14" t="b">
        <f aca="false">FALSE()</f>
        <v>0</v>
      </c>
    </row>
    <row r="450" customFormat="false" ht="15" hidden="false" customHeight="false" outlineLevel="0" collapsed="false">
      <c r="A450" s="14" t="b">
        <f aca="false">TRUE()</f>
        <v>1</v>
      </c>
      <c r="B450" s="14" t="b">
        <f aca="false">FALSE()</f>
        <v>0</v>
      </c>
      <c r="C450" s="4" t="n">
        <v>2</v>
      </c>
      <c r="D450" s="4"/>
      <c r="E450" s="4"/>
      <c r="F450" s="4"/>
      <c r="G450" s="4"/>
      <c r="H450" s="14" t="b">
        <f aca="false">FALSE()</f>
        <v>0</v>
      </c>
      <c r="I450" s="14" t="b">
        <f aca="false">FALSE()</f>
        <v>0</v>
      </c>
      <c r="J450" s="4"/>
      <c r="K450" s="4" t="s">
        <v>1848</v>
      </c>
      <c r="L450" s="4" t="s">
        <v>1849</v>
      </c>
      <c r="M450" s="4" t="s">
        <v>1850</v>
      </c>
      <c r="N450" s="6" t="n">
        <v>12461</v>
      </c>
      <c r="O450" s="6" t="n">
        <v>97265</v>
      </c>
      <c r="P450" s="4" t="s">
        <v>46</v>
      </c>
      <c r="Q450" s="6" t="n">
        <v>325000</v>
      </c>
      <c r="R450" s="15" t="n">
        <v>38933</v>
      </c>
      <c r="S450" s="6"/>
      <c r="T450" s="15"/>
      <c r="U450" s="6"/>
      <c r="V450" s="15"/>
      <c r="W450" s="4" t="s">
        <v>47</v>
      </c>
      <c r="X450" s="4" t="s">
        <v>47</v>
      </c>
      <c r="Y450" s="4" t="s">
        <v>1851</v>
      </c>
      <c r="Z450" s="4" t="s">
        <v>877</v>
      </c>
      <c r="AA450" s="6" t="n">
        <v>0</v>
      </c>
      <c r="AB450" s="6" t="n">
        <v>7523.36</v>
      </c>
      <c r="AC450" s="6" t="n">
        <v>8041.19</v>
      </c>
      <c r="AD450" s="14" t="b">
        <f aca="false">FALSE()</f>
        <v>0</v>
      </c>
    </row>
    <row r="451" customFormat="false" ht="15" hidden="false" customHeight="false" outlineLevel="0" collapsed="false">
      <c r="A451" s="14" t="b">
        <f aca="false">TRUE()</f>
        <v>1</v>
      </c>
      <c r="B451" s="14" t="b">
        <f aca="false">FALSE()</f>
        <v>0</v>
      </c>
      <c r="C451" s="4" t="n">
        <v>2</v>
      </c>
      <c r="D451" s="4"/>
      <c r="E451" s="4"/>
      <c r="F451" s="4"/>
      <c r="G451" s="4" t="n">
        <v>3</v>
      </c>
      <c r="H451" s="14" t="b">
        <f aca="false">FALSE()</f>
        <v>0</v>
      </c>
      <c r="I451" s="14" t="b">
        <f aca="false">FALSE()</f>
        <v>0</v>
      </c>
      <c r="J451" s="4"/>
      <c r="K451" s="4" t="s">
        <v>1852</v>
      </c>
      <c r="L451" s="4" t="s">
        <v>1853</v>
      </c>
      <c r="M451" s="4" t="s">
        <v>1854</v>
      </c>
      <c r="N451" s="6" t="n">
        <v>7127</v>
      </c>
      <c r="O451" s="6" t="n">
        <v>90638</v>
      </c>
      <c r="P451" s="4" t="s">
        <v>46</v>
      </c>
      <c r="Q451" s="6" t="n">
        <v>185000</v>
      </c>
      <c r="R451" s="15" t="n">
        <v>43679</v>
      </c>
      <c r="S451" s="6"/>
      <c r="T451" s="15"/>
      <c r="U451" s="6"/>
      <c r="V451" s="15"/>
      <c r="W451" s="4" t="s">
        <v>58</v>
      </c>
      <c r="X451" s="4" t="s">
        <v>58</v>
      </c>
      <c r="Y451" s="4" t="s">
        <v>1855</v>
      </c>
      <c r="Z451" s="4" t="s">
        <v>877</v>
      </c>
      <c r="AA451" s="6" t="n">
        <v>0</v>
      </c>
      <c r="AB451" s="6" t="n">
        <v>7661.66</v>
      </c>
      <c r="AC451" s="6" t="n">
        <v>4013.22</v>
      </c>
      <c r="AD451" s="14" t="b">
        <f aca="false">TRUE()</f>
        <v>1</v>
      </c>
    </row>
    <row r="452" customFormat="false" ht="15" hidden="false" customHeight="false" outlineLevel="0" collapsed="false">
      <c r="A452" s="14" t="b">
        <f aca="false">TRUE()</f>
        <v>1</v>
      </c>
      <c r="B452" s="14" t="b">
        <f aca="false">FALSE()</f>
        <v>0</v>
      </c>
      <c r="C452" s="4" t="n">
        <v>3</v>
      </c>
      <c r="D452" s="4"/>
      <c r="E452" s="4"/>
      <c r="F452" s="4"/>
      <c r="G452" s="4"/>
      <c r="H452" s="14" t="b">
        <f aca="false">FALSE()</f>
        <v>0</v>
      </c>
      <c r="I452" s="14" t="b">
        <f aca="false">FALSE()</f>
        <v>0</v>
      </c>
      <c r="J452" s="4"/>
      <c r="K452" s="4" t="s">
        <v>1856</v>
      </c>
      <c r="L452" s="4" t="s">
        <v>1857</v>
      </c>
      <c r="M452" s="4" t="s">
        <v>1858</v>
      </c>
      <c r="N452" s="6" t="n">
        <v>7127</v>
      </c>
      <c r="O452" s="6" t="n">
        <v>80089</v>
      </c>
      <c r="P452" s="4" t="s">
        <v>46</v>
      </c>
      <c r="Q452" s="6" t="n">
        <v>91000</v>
      </c>
      <c r="R452" s="15" t="n">
        <v>34233</v>
      </c>
      <c r="S452" s="6" t="n">
        <v>32000</v>
      </c>
      <c r="T452" s="15" t="n">
        <v>37596</v>
      </c>
      <c r="U452" s="6"/>
      <c r="V452" s="15"/>
      <c r="W452" s="4" t="s">
        <v>47</v>
      </c>
      <c r="X452" s="4" t="s">
        <v>47</v>
      </c>
      <c r="Y452" s="4" t="s">
        <v>1859</v>
      </c>
      <c r="Z452" s="4" t="s">
        <v>877</v>
      </c>
      <c r="AA452" s="6" t="n">
        <v>0</v>
      </c>
      <c r="AB452" s="6" t="n">
        <v>6051.26</v>
      </c>
      <c r="AC452" s="6" t="n">
        <v>6469.72</v>
      </c>
      <c r="AD452" s="14" t="b">
        <f aca="false">FALSE()</f>
        <v>0</v>
      </c>
    </row>
    <row r="453" customFormat="false" ht="15" hidden="false" customHeight="false" outlineLevel="0" collapsed="false">
      <c r="A453" s="14" t="b">
        <f aca="false">TRUE()</f>
        <v>1</v>
      </c>
      <c r="B453" s="14" t="b">
        <f aca="false">FALSE()</f>
        <v>0</v>
      </c>
      <c r="C453" s="4" t="n">
        <v>2</v>
      </c>
      <c r="D453" s="4"/>
      <c r="E453" s="4"/>
      <c r="F453" s="4"/>
      <c r="G453" s="4"/>
      <c r="H453" s="14" t="b">
        <f aca="false">FALSE()</f>
        <v>0</v>
      </c>
      <c r="I453" s="14" t="b">
        <f aca="false">FALSE()</f>
        <v>0</v>
      </c>
      <c r="J453" s="4"/>
      <c r="K453" s="4" t="s">
        <v>1860</v>
      </c>
      <c r="L453" s="4" t="s">
        <v>1861</v>
      </c>
      <c r="M453" s="4" t="s">
        <v>1862</v>
      </c>
      <c r="N453" s="6" t="n">
        <v>39806</v>
      </c>
      <c r="O453" s="6" t="n">
        <v>195693</v>
      </c>
      <c r="P453" s="4" t="s">
        <v>46</v>
      </c>
      <c r="Q453" s="6"/>
      <c r="R453" s="15" t="n">
        <v>44323</v>
      </c>
      <c r="S453" s="6" t="n">
        <v>347000</v>
      </c>
      <c r="T453" s="15" t="n">
        <v>44323</v>
      </c>
      <c r="U453" s="6" t="n">
        <v>57000</v>
      </c>
      <c r="V453" s="15" t="n">
        <v>44491</v>
      </c>
      <c r="W453" s="4" t="s">
        <v>47</v>
      </c>
      <c r="X453" s="4" t="s">
        <v>47</v>
      </c>
      <c r="Y453" s="4" t="s">
        <v>1863</v>
      </c>
      <c r="Z453" s="4" t="s">
        <v>877</v>
      </c>
      <c r="AA453" s="6" t="n">
        <v>0</v>
      </c>
      <c r="AB453" s="6" t="n">
        <v>16252.96</v>
      </c>
      <c r="AC453" s="6" t="n">
        <v>8502.17</v>
      </c>
      <c r="AD453" s="14" t="b">
        <f aca="false">TRUE()</f>
        <v>1</v>
      </c>
    </row>
    <row r="454" customFormat="false" ht="15" hidden="false" customHeight="false" outlineLevel="0" collapsed="false">
      <c r="A454" s="14" t="b">
        <f aca="false">TRUE()</f>
        <v>1</v>
      </c>
      <c r="B454" s="14" t="b">
        <f aca="false">FALSE()</f>
        <v>0</v>
      </c>
      <c r="C454" s="4" t="n">
        <v>3</v>
      </c>
      <c r="D454" s="4"/>
      <c r="E454" s="4"/>
      <c r="F454" s="4"/>
      <c r="G454" s="4"/>
      <c r="H454" s="14" t="b">
        <f aca="false">FALSE()</f>
        <v>0</v>
      </c>
      <c r="I454" s="14" t="b">
        <f aca="false">FALSE()</f>
        <v>0</v>
      </c>
      <c r="J454" s="4"/>
      <c r="K454" s="4" t="s">
        <v>1864</v>
      </c>
      <c r="L454" s="4" t="s">
        <v>1865</v>
      </c>
      <c r="M454" s="4" t="s">
        <v>1866</v>
      </c>
      <c r="N454" s="6" t="n">
        <v>44390</v>
      </c>
      <c r="O454" s="6" t="n">
        <v>102078</v>
      </c>
      <c r="P454" s="4" t="s">
        <v>46</v>
      </c>
      <c r="Q454" s="6"/>
      <c r="R454" s="15"/>
      <c r="S454" s="6"/>
      <c r="T454" s="15"/>
      <c r="U454" s="6"/>
      <c r="V454" s="15"/>
      <c r="W454" s="4" t="s">
        <v>47</v>
      </c>
      <c r="X454" s="4" t="s">
        <v>58</v>
      </c>
      <c r="Y454" s="4" t="s">
        <v>1867</v>
      </c>
      <c r="Z454" s="4" t="s">
        <v>877</v>
      </c>
      <c r="AA454" s="6" t="n">
        <v>0</v>
      </c>
      <c r="AB454" s="6" t="n">
        <v>9892.44</v>
      </c>
      <c r="AC454" s="6" t="n">
        <v>10570.18</v>
      </c>
      <c r="AD454" s="14" t="b">
        <f aca="false">FALSE()</f>
        <v>0</v>
      </c>
    </row>
    <row r="455" customFormat="false" ht="15" hidden="false" customHeight="false" outlineLevel="0" collapsed="false">
      <c r="A455" s="14" t="b">
        <f aca="false">TRUE()</f>
        <v>1</v>
      </c>
      <c r="B455" s="14" t="b">
        <f aca="false">FALSE()</f>
        <v>0</v>
      </c>
      <c r="C455" s="4" t="n">
        <v>3</v>
      </c>
      <c r="D455" s="4"/>
      <c r="E455" s="4"/>
      <c r="F455" s="4"/>
      <c r="G455" s="4" t="n">
        <v>3</v>
      </c>
      <c r="H455" s="14" t="b">
        <f aca="false">FALSE()</f>
        <v>0</v>
      </c>
      <c r="I455" s="14" t="b">
        <f aca="false">FALSE()</f>
        <v>0</v>
      </c>
      <c r="J455" s="4"/>
      <c r="K455" s="4" t="s">
        <v>1868</v>
      </c>
      <c r="L455" s="4" t="s">
        <v>1869</v>
      </c>
      <c r="M455" s="4" t="s">
        <v>1870</v>
      </c>
      <c r="N455" s="6" t="n">
        <v>39273</v>
      </c>
      <c r="O455" s="6" t="n">
        <v>306539</v>
      </c>
      <c r="P455" s="4" t="s">
        <v>46</v>
      </c>
      <c r="Q455" s="6" t="n">
        <v>705000</v>
      </c>
      <c r="R455" s="15" t="n">
        <v>43728</v>
      </c>
      <c r="S455" s="6" t="n">
        <v>648505</v>
      </c>
      <c r="T455" s="15" t="n">
        <v>44335</v>
      </c>
      <c r="U455" s="6" t="n">
        <v>214845</v>
      </c>
      <c r="V455" s="15" t="n">
        <v>45226</v>
      </c>
      <c r="W455" s="4" t="s">
        <v>47</v>
      </c>
      <c r="X455" s="4" t="s">
        <v>58</v>
      </c>
      <c r="Y455" s="4" t="s">
        <v>1871</v>
      </c>
      <c r="Z455" s="4" t="s">
        <v>877</v>
      </c>
      <c r="AA455" s="6" t="n">
        <v>0</v>
      </c>
      <c r="AB455" s="6" t="n">
        <v>24133.94</v>
      </c>
      <c r="AC455" s="6" t="n">
        <v>25772.98</v>
      </c>
      <c r="AD455" s="14" t="b">
        <f aca="false">FALSE()</f>
        <v>0</v>
      </c>
    </row>
    <row r="456" customFormat="false" ht="15" hidden="false" customHeight="false" outlineLevel="0" collapsed="false">
      <c r="A456" s="14" t="b">
        <f aca="false">TRUE()</f>
        <v>1</v>
      </c>
      <c r="B456" s="14" t="b">
        <f aca="false">FALSE()</f>
        <v>0</v>
      </c>
      <c r="C456" s="4" t="n">
        <v>2</v>
      </c>
      <c r="D456" s="4"/>
      <c r="E456" s="4"/>
      <c r="F456" s="4"/>
      <c r="G456" s="4"/>
      <c r="H456" s="14" t="b">
        <f aca="false">FALSE()</f>
        <v>0</v>
      </c>
      <c r="I456" s="14" t="b">
        <f aca="false">FALSE()</f>
        <v>0</v>
      </c>
      <c r="J456" s="4"/>
      <c r="K456" s="4" t="s">
        <v>1872</v>
      </c>
      <c r="L456" s="4" t="s">
        <v>1873</v>
      </c>
      <c r="M456" s="4" t="s">
        <v>1874</v>
      </c>
      <c r="N456" s="6" t="n">
        <v>50376</v>
      </c>
      <c r="O456" s="6" t="n">
        <v>198692</v>
      </c>
      <c r="P456" s="4" t="s">
        <v>46</v>
      </c>
      <c r="Q456" s="6"/>
      <c r="R456" s="15" t="n">
        <v>42034</v>
      </c>
      <c r="S456" s="6" t="n">
        <v>405000</v>
      </c>
      <c r="T456" s="15" t="n">
        <v>43734</v>
      </c>
      <c r="U456" s="6"/>
      <c r="V456" s="15"/>
      <c r="W456" s="4" t="s">
        <v>47</v>
      </c>
      <c r="X456" s="4" t="s">
        <v>58</v>
      </c>
      <c r="Y456" s="4" t="s">
        <v>1875</v>
      </c>
      <c r="Z456" s="4" t="s">
        <v>877</v>
      </c>
      <c r="AA456" s="6" t="n">
        <v>0</v>
      </c>
      <c r="AB456" s="6" t="n">
        <v>17222.38</v>
      </c>
      <c r="AC456" s="6" t="n">
        <v>9008.69</v>
      </c>
      <c r="AD456" s="14" t="b">
        <f aca="false">TRUE()</f>
        <v>1</v>
      </c>
    </row>
    <row r="457" customFormat="false" ht="15" hidden="false" customHeight="false" outlineLevel="0" collapsed="false">
      <c r="A457" s="14" t="b">
        <f aca="false">TRUE()</f>
        <v>1</v>
      </c>
      <c r="B457" s="14" t="b">
        <f aca="false">FALSE()</f>
        <v>0</v>
      </c>
      <c r="C457" s="4" t="n">
        <v>3</v>
      </c>
      <c r="D457" s="4"/>
      <c r="E457" s="4"/>
      <c r="F457" s="4"/>
      <c r="G457" s="4" t="n">
        <v>2</v>
      </c>
      <c r="H457" s="14" t="b">
        <f aca="false">FALSE()</f>
        <v>0</v>
      </c>
      <c r="I457" s="14" t="b">
        <f aca="false">FALSE()</f>
        <v>0</v>
      </c>
      <c r="J457" s="4"/>
      <c r="K457" s="4" t="s">
        <v>1876</v>
      </c>
      <c r="L457" s="4" t="s">
        <v>1877</v>
      </c>
      <c r="M457" s="4" t="s">
        <v>1878</v>
      </c>
      <c r="N457" s="6" t="n">
        <v>36068</v>
      </c>
      <c r="O457" s="6" t="n">
        <v>102219</v>
      </c>
      <c r="P457" s="4" t="s">
        <v>46</v>
      </c>
      <c r="Q457" s="6" t="n">
        <v>185000</v>
      </c>
      <c r="R457" s="15" t="n">
        <v>36109</v>
      </c>
      <c r="S457" s="6" t="n">
        <v>249000</v>
      </c>
      <c r="T457" s="15" t="n">
        <v>42440</v>
      </c>
      <c r="U457" s="6"/>
      <c r="V457" s="15"/>
      <c r="W457" s="4" t="s">
        <v>47</v>
      </c>
      <c r="X457" s="4" t="s">
        <v>58</v>
      </c>
      <c r="Y457" s="4" t="s">
        <v>1879</v>
      </c>
      <c r="Z457" s="4" t="s">
        <v>1624</v>
      </c>
      <c r="AA457" s="6" t="n">
        <v>0</v>
      </c>
      <c r="AB457" s="6" t="n">
        <v>8397.26</v>
      </c>
      <c r="AC457" s="6" t="n">
        <v>8974.08</v>
      </c>
      <c r="AD457" s="14" t="b">
        <f aca="false">FALSE()</f>
        <v>0</v>
      </c>
    </row>
    <row r="458" customFormat="false" ht="15" hidden="false" customHeight="false" outlineLevel="0" collapsed="false">
      <c r="A458" s="14" t="b">
        <f aca="false">TRUE()</f>
        <v>1</v>
      </c>
      <c r="B458" s="14" t="b">
        <f aca="false">FALSE()</f>
        <v>0</v>
      </c>
      <c r="C458" s="4" t="n">
        <v>3</v>
      </c>
      <c r="D458" s="4"/>
      <c r="E458" s="4"/>
      <c r="F458" s="4"/>
      <c r="G458" s="4"/>
      <c r="H458" s="14" t="b">
        <f aca="false">FALSE()</f>
        <v>0</v>
      </c>
      <c r="I458" s="14" t="b">
        <f aca="false">FALSE()</f>
        <v>0</v>
      </c>
      <c r="J458" s="4"/>
      <c r="K458" s="4" t="s">
        <v>1880</v>
      </c>
      <c r="L458" s="4" t="s">
        <v>1881</v>
      </c>
      <c r="M458" s="4" t="s">
        <v>1882</v>
      </c>
      <c r="N458" s="6" t="n">
        <v>46161</v>
      </c>
      <c r="O458" s="6" t="n">
        <v>65412</v>
      </c>
      <c r="P458" s="4" t="s">
        <v>46</v>
      </c>
      <c r="Q458" s="6"/>
      <c r="R458" s="15" t="n">
        <v>44946</v>
      </c>
      <c r="S458" s="6" t="n">
        <v>100000</v>
      </c>
      <c r="T458" s="15" t="n">
        <v>45272</v>
      </c>
      <c r="U458" s="6"/>
      <c r="V458" s="15"/>
      <c r="W458" s="4" t="s">
        <v>47</v>
      </c>
      <c r="X458" s="4" t="s">
        <v>47</v>
      </c>
      <c r="Y458" s="4" t="s">
        <v>1883</v>
      </c>
      <c r="Z458" s="4" t="s">
        <v>877</v>
      </c>
      <c r="AA458" s="6" t="n">
        <v>0</v>
      </c>
      <c r="AB458" s="6" t="n">
        <v>7399.46</v>
      </c>
      <c r="AC458" s="6" t="n">
        <v>7908.93</v>
      </c>
      <c r="AD458" s="14" t="b">
        <f aca="false">FALSE()</f>
        <v>0</v>
      </c>
    </row>
    <row r="459" customFormat="false" ht="15" hidden="false" customHeight="false" outlineLevel="0" collapsed="false">
      <c r="A459" s="14" t="b">
        <f aca="false">TRUE()</f>
        <v>1</v>
      </c>
      <c r="B459" s="14" t="b">
        <f aca="false">FALSE()</f>
        <v>0</v>
      </c>
      <c r="C459" s="4" t="n">
        <v>2</v>
      </c>
      <c r="D459" s="4"/>
      <c r="E459" s="4"/>
      <c r="F459" s="4"/>
      <c r="G459" s="4"/>
      <c r="H459" s="14" t="b">
        <f aca="false">TRUE()</f>
        <v>1</v>
      </c>
      <c r="I459" s="14" t="b">
        <f aca="false">FALSE()</f>
        <v>0</v>
      </c>
      <c r="J459" s="4"/>
      <c r="K459" s="4" t="s">
        <v>1884</v>
      </c>
      <c r="L459" s="4" t="s">
        <v>1885</v>
      </c>
      <c r="M459" s="4" t="s">
        <v>1886</v>
      </c>
      <c r="N459" s="6" t="n">
        <v>26367</v>
      </c>
      <c r="O459" s="6" t="n">
        <v>107076</v>
      </c>
      <c r="P459" s="4" t="s">
        <v>46</v>
      </c>
      <c r="Q459" s="6" t="n">
        <v>319000</v>
      </c>
      <c r="R459" s="15" t="n">
        <v>42507</v>
      </c>
      <c r="S459" s="6"/>
      <c r="T459" s="15"/>
      <c r="U459" s="6"/>
      <c r="V459" s="15"/>
      <c r="W459" s="4" t="s">
        <v>47</v>
      </c>
      <c r="X459" s="4" t="s">
        <v>58</v>
      </c>
      <c r="Y459" s="4" t="s">
        <v>1887</v>
      </c>
      <c r="Z459" s="4" t="s">
        <v>1624</v>
      </c>
      <c r="AA459" s="6" t="n">
        <v>0</v>
      </c>
      <c r="AB459" s="6" t="n">
        <v>8085.06</v>
      </c>
      <c r="AC459" s="6" t="n">
        <v>8640.8</v>
      </c>
      <c r="AD459" s="14" t="b">
        <f aca="false">FALSE()</f>
        <v>0</v>
      </c>
    </row>
    <row r="460" customFormat="false" ht="15" hidden="false" customHeight="false" outlineLevel="0" collapsed="false">
      <c r="A460" s="14" t="b">
        <f aca="false">TRUE()</f>
        <v>1</v>
      </c>
      <c r="B460" s="14" t="b">
        <f aca="false">FALSE()</f>
        <v>0</v>
      </c>
      <c r="C460" s="4" t="n">
        <v>3</v>
      </c>
      <c r="D460" s="4"/>
      <c r="E460" s="4"/>
      <c r="F460" s="4"/>
      <c r="G460" s="4"/>
      <c r="H460" s="14" t="b">
        <f aca="false">FALSE()</f>
        <v>0</v>
      </c>
      <c r="I460" s="14" t="b">
        <f aca="false">FALSE()</f>
        <v>0</v>
      </c>
      <c r="J460" s="4"/>
      <c r="K460" s="4" t="s">
        <v>1888</v>
      </c>
      <c r="L460" s="4" t="s">
        <v>1889</v>
      </c>
      <c r="M460" s="4" t="s">
        <v>1890</v>
      </c>
      <c r="N460" s="6" t="n">
        <v>38144</v>
      </c>
      <c r="O460" s="6" t="n">
        <v>102132</v>
      </c>
      <c r="P460" s="4" t="s">
        <v>46</v>
      </c>
      <c r="Q460" s="6" t="n">
        <v>260000</v>
      </c>
      <c r="R460" s="15" t="n">
        <v>44292</v>
      </c>
      <c r="S460" s="6" t="n">
        <v>80000</v>
      </c>
      <c r="T460" s="15" t="n">
        <v>44398</v>
      </c>
      <c r="U460" s="6"/>
      <c r="V460" s="15"/>
      <c r="W460" s="4" t="s">
        <v>47</v>
      </c>
      <c r="X460" s="4" t="s">
        <v>47</v>
      </c>
      <c r="Y460" s="4" t="s">
        <v>1891</v>
      </c>
      <c r="Z460" s="4" t="s">
        <v>1624</v>
      </c>
      <c r="AA460" s="6" t="n">
        <v>0</v>
      </c>
      <c r="AB460" s="6" t="n">
        <v>8525.46</v>
      </c>
      <c r="AC460" s="6" t="n">
        <v>9110.93</v>
      </c>
      <c r="AD460" s="14" t="b">
        <f aca="false">FALSE()</f>
        <v>0</v>
      </c>
    </row>
    <row r="461" customFormat="false" ht="15" hidden="false" customHeight="false" outlineLevel="0" collapsed="false">
      <c r="A461" s="14" t="b">
        <f aca="false">TRUE()</f>
        <v>1</v>
      </c>
      <c r="B461" s="14" t="b">
        <f aca="false">FALSE()</f>
        <v>0</v>
      </c>
      <c r="C461" s="4" t="n">
        <v>3</v>
      </c>
      <c r="D461" s="4"/>
      <c r="E461" s="4"/>
      <c r="F461" s="4"/>
      <c r="G461" s="4"/>
      <c r="H461" s="14" t="b">
        <f aca="false">FALSE()</f>
        <v>0</v>
      </c>
      <c r="I461" s="14" t="b">
        <f aca="false">FALSE()</f>
        <v>0</v>
      </c>
      <c r="J461" s="4"/>
      <c r="K461" s="4" t="s">
        <v>1892</v>
      </c>
      <c r="L461" s="4" t="s">
        <v>1893</v>
      </c>
      <c r="M461" s="4" t="s">
        <v>1894</v>
      </c>
      <c r="N461" s="6" t="n">
        <v>15231</v>
      </c>
      <c r="O461" s="6" t="n">
        <v>142786</v>
      </c>
      <c r="P461" s="4" t="s">
        <v>46</v>
      </c>
      <c r="Q461" s="6" t="n">
        <v>511500</v>
      </c>
      <c r="R461" s="15" t="n">
        <v>45180</v>
      </c>
      <c r="S461" s="6"/>
      <c r="T461" s="15"/>
      <c r="U461" s="6"/>
      <c r="V461" s="15"/>
      <c r="W461" s="4" t="s">
        <v>47</v>
      </c>
      <c r="X461" s="4" t="s">
        <v>47</v>
      </c>
      <c r="Y461" s="4" t="s">
        <v>1895</v>
      </c>
      <c r="Z461" s="4" t="s">
        <v>1624</v>
      </c>
      <c r="AA461" s="6" t="n">
        <v>0</v>
      </c>
      <c r="AB461" s="6" t="n">
        <v>10184.52</v>
      </c>
      <c r="AC461" s="6" t="n">
        <v>10881.97</v>
      </c>
      <c r="AD461" s="14" t="b">
        <f aca="false">FALSE()</f>
        <v>0</v>
      </c>
    </row>
    <row r="462" customFormat="false" ht="15" hidden="false" customHeight="false" outlineLevel="0" collapsed="false">
      <c r="A462" s="14" t="b">
        <f aca="false">TRUE()</f>
        <v>1</v>
      </c>
      <c r="B462" s="14" t="b">
        <f aca="false">FALSE()</f>
        <v>0</v>
      </c>
      <c r="C462" s="4" t="n">
        <v>2</v>
      </c>
      <c r="D462" s="4"/>
      <c r="E462" s="4"/>
      <c r="F462" s="4"/>
      <c r="G462" s="4"/>
      <c r="H462" s="14" t="b">
        <f aca="false">FALSE()</f>
        <v>0</v>
      </c>
      <c r="I462" s="14" t="b">
        <f aca="false">FALSE()</f>
        <v>0</v>
      </c>
      <c r="J462" s="4"/>
      <c r="K462" s="4" t="s">
        <v>1896</v>
      </c>
      <c r="L462" s="4" t="s">
        <v>1897</v>
      </c>
      <c r="M462" s="4" t="s">
        <v>1898</v>
      </c>
      <c r="N462" s="6" t="n">
        <v>10538</v>
      </c>
      <c r="O462" s="6" t="n">
        <v>82273</v>
      </c>
      <c r="P462" s="4" t="s">
        <v>46</v>
      </c>
      <c r="Q462" s="6" t="n">
        <v>350000</v>
      </c>
      <c r="R462" s="15" t="n">
        <v>45552</v>
      </c>
      <c r="S462" s="6"/>
      <c r="T462" s="15"/>
      <c r="U462" s="6"/>
      <c r="V462" s="15"/>
      <c r="W462" s="4" t="s">
        <v>47</v>
      </c>
      <c r="X462" s="4" t="s">
        <v>47</v>
      </c>
      <c r="Y462" s="4" t="s">
        <v>1899</v>
      </c>
      <c r="Z462" s="4" t="s">
        <v>1624</v>
      </c>
      <c r="AA462" s="6" t="n">
        <v>0</v>
      </c>
      <c r="AB462" s="6" t="n">
        <v>5981.86</v>
      </c>
      <c r="AC462" s="6" t="n">
        <v>6395.63</v>
      </c>
      <c r="AD462" s="14" t="b">
        <f aca="false">FALSE()</f>
        <v>0</v>
      </c>
    </row>
    <row r="463" customFormat="false" ht="15" hidden="false" customHeight="false" outlineLevel="0" collapsed="false">
      <c r="A463" s="14" t="b">
        <f aca="false">TRUE()</f>
        <v>1</v>
      </c>
      <c r="B463" s="14" t="b">
        <f aca="false">FALSE()</f>
        <v>0</v>
      </c>
      <c r="C463" s="4" t="n">
        <v>2</v>
      </c>
      <c r="D463" s="4"/>
      <c r="E463" s="4"/>
      <c r="F463" s="4"/>
      <c r="G463" s="4"/>
      <c r="H463" s="14" t="b">
        <f aca="false">FALSE()</f>
        <v>0</v>
      </c>
      <c r="I463" s="14" t="b">
        <f aca="false">FALSE()</f>
        <v>0</v>
      </c>
      <c r="J463" s="4"/>
      <c r="K463" s="4" t="s">
        <v>1900</v>
      </c>
      <c r="L463" s="4" t="s">
        <v>1901</v>
      </c>
      <c r="M463" s="4" t="s">
        <v>1902</v>
      </c>
      <c r="N463" s="6" t="n">
        <v>29909</v>
      </c>
      <c r="O463" s="6" t="n">
        <v>56656</v>
      </c>
      <c r="P463" s="4" t="s">
        <v>46</v>
      </c>
      <c r="Q463" s="6"/>
      <c r="R463" s="15"/>
      <c r="S463" s="6"/>
      <c r="T463" s="15"/>
      <c r="U463" s="6"/>
      <c r="V463" s="15"/>
      <c r="W463" s="4" t="s">
        <v>47</v>
      </c>
      <c r="X463" s="4" t="s">
        <v>47</v>
      </c>
      <c r="Y463" s="4" t="s">
        <v>1903</v>
      </c>
      <c r="Z463" s="4" t="s">
        <v>1624</v>
      </c>
      <c r="AA463" s="6" t="n">
        <v>0</v>
      </c>
      <c r="AB463" s="6" t="n">
        <v>4548.04</v>
      </c>
      <c r="AC463" s="6" t="n">
        <v>2386.35</v>
      </c>
      <c r="AD463" s="14" t="b">
        <f aca="false">TRUE()</f>
        <v>1</v>
      </c>
    </row>
    <row r="464" customFormat="false" ht="15" hidden="false" customHeight="false" outlineLevel="0" collapsed="false">
      <c r="A464" s="14" t="b">
        <f aca="false">TRUE()</f>
        <v>1</v>
      </c>
      <c r="B464" s="14" t="b">
        <f aca="false">FALSE()</f>
        <v>0</v>
      </c>
      <c r="C464" s="4" t="n">
        <v>3</v>
      </c>
      <c r="D464" s="4"/>
      <c r="E464" s="4"/>
      <c r="F464" s="4"/>
      <c r="G464" s="4"/>
      <c r="H464" s="14" t="b">
        <f aca="false">FALSE()</f>
        <v>0</v>
      </c>
      <c r="I464" s="14" t="b">
        <f aca="false">FALSE()</f>
        <v>0</v>
      </c>
      <c r="J464" s="4"/>
      <c r="K464" s="4" t="s">
        <v>1904</v>
      </c>
      <c r="L464" s="4" t="s">
        <v>1905</v>
      </c>
      <c r="M464" s="4" t="s">
        <v>1906</v>
      </c>
      <c r="N464" s="6" t="n">
        <v>31245</v>
      </c>
      <c r="O464" s="6" t="n">
        <v>159386</v>
      </c>
      <c r="P464" s="4" t="s">
        <v>46</v>
      </c>
      <c r="Q464" s="6"/>
      <c r="R464" s="15" t="n">
        <v>37182</v>
      </c>
      <c r="S464" s="6"/>
      <c r="T464" s="15"/>
      <c r="U464" s="6"/>
      <c r="V464" s="15"/>
      <c r="W464" s="4" t="s">
        <v>47</v>
      </c>
      <c r="X464" s="4" t="s">
        <v>47</v>
      </c>
      <c r="Y464" s="4" t="s">
        <v>1907</v>
      </c>
      <c r="Z464" s="4" t="s">
        <v>1624</v>
      </c>
      <c r="AA464" s="6" t="n">
        <v>0</v>
      </c>
      <c r="AB464" s="6" t="n">
        <v>12286.56</v>
      </c>
      <c r="AC464" s="6" t="n">
        <v>13125.91</v>
      </c>
      <c r="AD464" s="14" t="b">
        <f aca="false">FALSE()</f>
        <v>0</v>
      </c>
    </row>
    <row r="465" customFormat="false" ht="15" hidden="false" customHeight="false" outlineLevel="0" collapsed="false">
      <c r="A465" s="14" t="b">
        <f aca="false">TRUE()</f>
        <v>1</v>
      </c>
      <c r="B465" s="14" t="b">
        <f aca="false">FALSE()</f>
        <v>0</v>
      </c>
      <c r="C465" s="4" t="n">
        <v>3</v>
      </c>
      <c r="D465" s="4"/>
      <c r="E465" s="4"/>
      <c r="F465" s="4"/>
      <c r="G465" s="4"/>
      <c r="H465" s="14" t="b">
        <f aca="false">TRUE()</f>
        <v>1</v>
      </c>
      <c r="I465" s="14" t="b">
        <f aca="false">FALSE()</f>
        <v>0</v>
      </c>
      <c r="J465" s="4"/>
      <c r="K465" s="4" t="s">
        <v>1908</v>
      </c>
      <c r="L465" s="4" t="s">
        <v>1909</v>
      </c>
      <c r="M465" s="4" t="s">
        <v>1910</v>
      </c>
      <c r="N465" s="6" t="n">
        <v>27247</v>
      </c>
      <c r="O465" s="6" t="n">
        <v>62077</v>
      </c>
      <c r="P465" s="4" t="s">
        <v>46</v>
      </c>
      <c r="Q465" s="6" t="n">
        <v>132000</v>
      </c>
      <c r="R465" s="15" t="n">
        <v>34912</v>
      </c>
      <c r="S465" s="6" t="n">
        <v>164600</v>
      </c>
      <c r="T465" s="15" t="n">
        <v>40634</v>
      </c>
      <c r="U465" s="6" t="n">
        <v>80001</v>
      </c>
      <c r="V465" s="15" t="n">
        <v>35879</v>
      </c>
      <c r="W465" s="4" t="s">
        <v>47</v>
      </c>
      <c r="X465" s="4" t="s">
        <v>47</v>
      </c>
      <c r="Y465" s="4" t="s">
        <v>1911</v>
      </c>
      <c r="Z465" s="4" t="s">
        <v>1624</v>
      </c>
      <c r="AA465" s="6" t="n">
        <v>0</v>
      </c>
      <c r="AB465" s="6" t="n">
        <v>5241.5</v>
      </c>
      <c r="AC465" s="6" t="n">
        <v>5605.3</v>
      </c>
      <c r="AD465" s="14" t="b">
        <f aca="false">FALSE()</f>
        <v>0</v>
      </c>
    </row>
    <row r="466" customFormat="false" ht="15" hidden="false" customHeight="false" outlineLevel="0" collapsed="false">
      <c r="A466" s="14" t="b">
        <f aca="false">TRUE()</f>
        <v>1</v>
      </c>
      <c r="B466" s="14" t="b">
        <f aca="false">FALSE()</f>
        <v>0</v>
      </c>
      <c r="C466" s="4" t="n">
        <v>2</v>
      </c>
      <c r="D466" s="4"/>
      <c r="E466" s="4"/>
      <c r="F466" s="4"/>
      <c r="G466" s="4"/>
      <c r="H466" s="14" t="b">
        <f aca="false">FALSE()</f>
        <v>0</v>
      </c>
      <c r="I466" s="14" t="b">
        <f aca="false">FALSE()</f>
        <v>0</v>
      </c>
      <c r="J466" s="4"/>
      <c r="K466" s="4" t="s">
        <v>1912</v>
      </c>
      <c r="L466" s="4" t="s">
        <v>1913</v>
      </c>
      <c r="M466" s="4" t="s">
        <v>1914</v>
      </c>
      <c r="N466" s="6" t="n">
        <v>50072</v>
      </c>
      <c r="O466" s="6" t="n">
        <v>144546</v>
      </c>
      <c r="P466" s="4" t="s">
        <v>46</v>
      </c>
      <c r="Q466" s="6" t="n">
        <v>550000</v>
      </c>
      <c r="R466" s="15" t="n">
        <v>45687</v>
      </c>
      <c r="S466" s="6"/>
      <c r="T466" s="15"/>
      <c r="U466" s="6"/>
      <c r="V466" s="15"/>
      <c r="W466" s="4" t="s">
        <v>47</v>
      </c>
      <c r="X466" s="4" t="s">
        <v>47</v>
      </c>
      <c r="Y466" s="4" t="s">
        <v>1915</v>
      </c>
      <c r="Z466" s="4" t="s">
        <v>1624</v>
      </c>
      <c r="AA466" s="6" t="n">
        <v>0</v>
      </c>
      <c r="AB466" s="6" t="n">
        <v>11512.28</v>
      </c>
      <c r="AC466" s="6" t="n">
        <v>6025.17</v>
      </c>
      <c r="AD466" s="14" t="b">
        <f aca="false">TRUE()</f>
        <v>1</v>
      </c>
    </row>
    <row r="467" customFormat="false" ht="15" hidden="false" customHeight="false" outlineLevel="0" collapsed="false">
      <c r="A467" s="14" t="b">
        <f aca="false">TRUE()</f>
        <v>1</v>
      </c>
      <c r="B467" s="14" t="b">
        <f aca="false">FALSE()</f>
        <v>0</v>
      </c>
      <c r="C467" s="4" t="n">
        <v>2</v>
      </c>
      <c r="D467" s="4"/>
      <c r="E467" s="4"/>
      <c r="F467" s="4"/>
      <c r="G467" s="4"/>
      <c r="H467" s="14" t="b">
        <f aca="false">FALSE()</f>
        <v>0</v>
      </c>
      <c r="I467" s="14" t="b">
        <f aca="false">FALSE()</f>
        <v>0</v>
      </c>
      <c r="J467" s="4"/>
      <c r="K467" s="4" t="s">
        <v>1916</v>
      </c>
      <c r="L467" s="4" t="s">
        <v>1917</v>
      </c>
      <c r="M467" s="4" t="s">
        <v>1918</v>
      </c>
      <c r="N467" s="6" t="n">
        <v>56656</v>
      </c>
      <c r="O467" s="6" t="n">
        <v>255000</v>
      </c>
      <c r="P467" s="4" t="s">
        <v>46</v>
      </c>
      <c r="Q467" s="6"/>
      <c r="R467" s="15"/>
      <c r="S467" s="6" t="n">
        <v>279000</v>
      </c>
      <c r="T467" s="15" t="n">
        <v>37694</v>
      </c>
      <c r="U467" s="6"/>
      <c r="V467" s="15"/>
      <c r="W467" s="4" t="s">
        <v>47</v>
      </c>
      <c r="X467" s="4" t="s">
        <v>58</v>
      </c>
      <c r="Y467" s="4" t="s">
        <v>1919</v>
      </c>
      <c r="Z467" s="4" t="s">
        <v>1624</v>
      </c>
      <c r="AA467" s="6" t="n">
        <v>0</v>
      </c>
      <c r="AB467" s="6" t="n">
        <v>19571.24</v>
      </c>
      <c r="AC467" s="6" t="n">
        <v>10235.97</v>
      </c>
      <c r="AD467" s="14" t="b">
        <f aca="false">TRUE()</f>
        <v>1</v>
      </c>
    </row>
    <row r="468" customFormat="false" ht="15" hidden="false" customHeight="false" outlineLevel="0" collapsed="false">
      <c r="A468" s="14" t="b">
        <f aca="false">TRUE()</f>
        <v>1</v>
      </c>
      <c r="B468" s="14" t="b">
        <f aca="false">FALSE()</f>
        <v>0</v>
      </c>
      <c r="C468" s="4" t="n">
        <v>2</v>
      </c>
      <c r="D468" s="4"/>
      <c r="E468" s="4"/>
      <c r="F468" s="4"/>
      <c r="G468" s="4"/>
      <c r="H468" s="14" t="b">
        <f aca="false">FALSE()</f>
        <v>0</v>
      </c>
      <c r="I468" s="14" t="b">
        <f aca="false">FALSE()</f>
        <v>0</v>
      </c>
      <c r="J468" s="4"/>
      <c r="K468" s="4" t="s">
        <v>1920</v>
      </c>
      <c r="L468" s="4" t="s">
        <v>1921</v>
      </c>
      <c r="M468" s="4" t="s">
        <v>1922</v>
      </c>
      <c r="N468" s="6" t="n">
        <v>60426</v>
      </c>
      <c r="O468" s="6" t="n">
        <v>62740</v>
      </c>
      <c r="P468" s="4" t="s">
        <v>46</v>
      </c>
      <c r="Q468" s="6"/>
      <c r="R468" s="15"/>
      <c r="S468" s="6"/>
      <c r="T468" s="15"/>
      <c r="U468" s="6"/>
      <c r="V468" s="15"/>
      <c r="W468" s="4" t="s">
        <v>47</v>
      </c>
      <c r="X468" s="4" t="s">
        <v>58</v>
      </c>
      <c r="Y468" s="4" t="s">
        <v>1923</v>
      </c>
      <c r="Z468" s="4" t="s">
        <v>1624</v>
      </c>
      <c r="AA468" s="6" t="n">
        <v>0</v>
      </c>
      <c r="AB468" s="6" t="n">
        <v>6907.08</v>
      </c>
      <c r="AC468" s="6" t="n">
        <v>7383.31</v>
      </c>
      <c r="AD468" s="14" t="b">
        <f aca="false">FALSE()</f>
        <v>0</v>
      </c>
    </row>
    <row r="469" customFormat="false" ht="15" hidden="false" customHeight="false" outlineLevel="0" collapsed="false">
      <c r="A469" s="14" t="b">
        <f aca="false">TRUE()</f>
        <v>1</v>
      </c>
      <c r="B469" s="14" t="b">
        <f aca="false">FALSE()</f>
        <v>0</v>
      </c>
      <c r="C469" s="4" t="n">
        <v>2</v>
      </c>
      <c r="D469" s="4"/>
      <c r="E469" s="4"/>
      <c r="F469" s="4"/>
      <c r="G469" s="4"/>
      <c r="H469" s="14" t="b">
        <f aca="false">FALSE()</f>
        <v>0</v>
      </c>
      <c r="I469" s="14" t="b">
        <f aca="false">FALSE()</f>
        <v>0</v>
      </c>
      <c r="J469" s="4"/>
      <c r="K469" s="4" t="s">
        <v>1924</v>
      </c>
      <c r="L469" s="4" t="s">
        <v>1925</v>
      </c>
      <c r="M469" s="4" t="s">
        <v>1926</v>
      </c>
      <c r="N469" s="6" t="n">
        <v>26834</v>
      </c>
      <c r="O469" s="6" t="n">
        <v>72604</v>
      </c>
      <c r="P469" s="4" t="s">
        <v>46</v>
      </c>
      <c r="Q469" s="6" t="n">
        <v>325000</v>
      </c>
      <c r="R469" s="15" t="n">
        <v>45723</v>
      </c>
      <c r="S469" s="6"/>
      <c r="T469" s="15"/>
      <c r="U469" s="6"/>
      <c r="V469" s="15"/>
      <c r="W469" s="4" t="s">
        <v>47</v>
      </c>
      <c r="X469" s="4" t="s">
        <v>47</v>
      </c>
      <c r="Y469" s="4" t="s">
        <v>1927</v>
      </c>
      <c r="Z469" s="4" t="s">
        <v>1624</v>
      </c>
      <c r="AA469" s="6" t="n">
        <v>0</v>
      </c>
      <c r="AB469" s="6" t="n">
        <v>5764.46</v>
      </c>
      <c r="AC469" s="6" t="n">
        <v>6163.56</v>
      </c>
      <c r="AD469" s="14" t="b">
        <f aca="false">FALSE()</f>
        <v>0</v>
      </c>
    </row>
    <row r="470" customFormat="false" ht="15" hidden="false" customHeight="false" outlineLevel="0" collapsed="false">
      <c r="A470" s="14" t="b">
        <f aca="false">TRUE()</f>
        <v>1</v>
      </c>
      <c r="B470" s="14" t="b">
        <f aca="false">FALSE()</f>
        <v>0</v>
      </c>
      <c r="C470" s="4" t="n">
        <v>2</v>
      </c>
      <c r="D470" s="4"/>
      <c r="E470" s="4"/>
      <c r="F470" s="4"/>
      <c r="G470" s="4"/>
      <c r="H470" s="14" t="b">
        <f aca="false">FALSE()</f>
        <v>0</v>
      </c>
      <c r="I470" s="14" t="b">
        <f aca="false">FALSE()</f>
        <v>0</v>
      </c>
      <c r="J470" s="4"/>
      <c r="K470" s="4" t="s">
        <v>1928</v>
      </c>
      <c r="L470" s="4" t="s">
        <v>1929</v>
      </c>
      <c r="M470" s="4" t="s">
        <v>1930</v>
      </c>
      <c r="N470" s="6" t="n">
        <v>25998</v>
      </c>
      <c r="O470" s="6" t="n">
        <v>118244</v>
      </c>
      <c r="P470" s="4" t="s">
        <v>46</v>
      </c>
      <c r="Q470" s="6" t="n">
        <v>221000</v>
      </c>
      <c r="R470" s="15" t="n">
        <v>36314</v>
      </c>
      <c r="S470" s="6" t="n">
        <v>40000</v>
      </c>
      <c r="T470" s="15" t="n">
        <v>45349</v>
      </c>
      <c r="U470" s="6"/>
      <c r="V470" s="15"/>
      <c r="W470" s="4" t="s">
        <v>47</v>
      </c>
      <c r="X470" s="4" t="s">
        <v>47</v>
      </c>
      <c r="Y470" s="4" t="s">
        <v>1931</v>
      </c>
      <c r="Z470" s="4" t="s">
        <v>1624</v>
      </c>
      <c r="AA470" s="6" t="n">
        <v>0</v>
      </c>
      <c r="AB470" s="6" t="n">
        <v>4864.84</v>
      </c>
      <c r="AC470" s="6" t="n">
        <v>2551.88</v>
      </c>
      <c r="AD470" s="14" t="b">
        <f aca="false">TRUE()</f>
        <v>1</v>
      </c>
    </row>
    <row r="471" customFormat="false" ht="15" hidden="false" customHeight="false" outlineLevel="0" collapsed="false">
      <c r="A471" s="14" t="b">
        <f aca="false">TRUE()</f>
        <v>1</v>
      </c>
      <c r="B471" s="14" t="b">
        <f aca="false">FALSE()</f>
        <v>0</v>
      </c>
      <c r="C471" s="4" t="n">
        <v>2</v>
      </c>
      <c r="D471" s="4"/>
      <c r="E471" s="4"/>
      <c r="F471" s="4"/>
      <c r="G471" s="4" t="n">
        <v>3</v>
      </c>
      <c r="H471" s="14" t="b">
        <f aca="false">TRUE()</f>
        <v>1</v>
      </c>
      <c r="I471" s="14" t="b">
        <f aca="false">FALSE()</f>
        <v>0</v>
      </c>
      <c r="J471" s="4"/>
      <c r="K471" s="4" t="s">
        <v>1932</v>
      </c>
      <c r="L471" s="4" t="s">
        <v>1933</v>
      </c>
      <c r="M471" s="4" t="s">
        <v>1934</v>
      </c>
      <c r="N471" s="6" t="n">
        <v>34363</v>
      </c>
      <c r="O471" s="6" t="n">
        <v>69345</v>
      </c>
      <c r="P471" s="4" t="s">
        <v>46</v>
      </c>
      <c r="Q471" s="6"/>
      <c r="R471" s="15"/>
      <c r="S471" s="6"/>
      <c r="T471" s="15"/>
      <c r="U471" s="6"/>
      <c r="V471" s="15"/>
      <c r="W471" s="4" t="s">
        <v>47</v>
      </c>
      <c r="X471" s="4" t="s">
        <v>58</v>
      </c>
      <c r="Y471" s="4" t="s">
        <v>1935</v>
      </c>
      <c r="Z471" s="4" t="s">
        <v>1624</v>
      </c>
      <c r="AA471" s="6" t="n">
        <v>0</v>
      </c>
      <c r="AB471" s="6" t="n">
        <v>5652.96</v>
      </c>
      <c r="AC471" s="6" t="n">
        <v>6044.53</v>
      </c>
      <c r="AD471" s="14" t="b">
        <f aca="false">FALSE()</f>
        <v>0</v>
      </c>
    </row>
    <row r="472" customFormat="false" ht="15" hidden="false" customHeight="false" outlineLevel="0" collapsed="false">
      <c r="A472" s="14" t="b">
        <f aca="false">TRUE()</f>
        <v>1</v>
      </c>
      <c r="B472" s="14" t="b">
        <f aca="false">FALSE()</f>
        <v>0</v>
      </c>
      <c r="C472" s="4" t="n">
        <v>2</v>
      </c>
      <c r="D472" s="4"/>
      <c r="E472" s="4"/>
      <c r="F472" s="4"/>
      <c r="G472" s="4"/>
      <c r="H472" s="14" t="b">
        <f aca="false">FALSE()</f>
        <v>0</v>
      </c>
      <c r="I472" s="14" t="b">
        <f aca="false">FALSE()</f>
        <v>0</v>
      </c>
      <c r="J472" s="4"/>
      <c r="K472" s="4" t="s">
        <v>1936</v>
      </c>
      <c r="L472" s="4" t="s">
        <v>1937</v>
      </c>
      <c r="M472" s="4" t="s">
        <v>1938</v>
      </c>
      <c r="N472" s="6" t="n">
        <v>7692</v>
      </c>
      <c r="O472" s="6" t="n">
        <v>68563</v>
      </c>
      <c r="P472" s="4" t="s">
        <v>46</v>
      </c>
      <c r="Q472" s="6" t="n">
        <v>223000</v>
      </c>
      <c r="R472" s="15" t="n">
        <v>44384</v>
      </c>
      <c r="S472" s="6"/>
      <c r="T472" s="15"/>
      <c r="U472" s="6"/>
      <c r="V472" s="15"/>
      <c r="W472" s="4" t="s">
        <v>47</v>
      </c>
      <c r="X472" s="4" t="s">
        <v>47</v>
      </c>
      <c r="Y472" s="4" t="s">
        <v>1939</v>
      </c>
      <c r="Z472" s="4" t="s">
        <v>1624</v>
      </c>
      <c r="AA472" s="6" t="n">
        <v>0</v>
      </c>
      <c r="AB472" s="6" t="n">
        <v>3883.58</v>
      </c>
      <c r="AC472" s="6" t="n">
        <v>2039.17</v>
      </c>
      <c r="AD472" s="14" t="b">
        <f aca="false">TRUE()</f>
        <v>1</v>
      </c>
    </row>
    <row r="473" customFormat="false" ht="15" hidden="false" customHeight="false" outlineLevel="0" collapsed="false">
      <c r="A473" s="14" t="b">
        <f aca="false">TRUE()</f>
        <v>1</v>
      </c>
      <c r="B473" s="14" t="b">
        <f aca="false">FALSE()</f>
        <v>0</v>
      </c>
      <c r="C473" s="4" t="n">
        <v>2</v>
      </c>
      <c r="D473" s="4"/>
      <c r="E473" s="4"/>
      <c r="F473" s="4"/>
      <c r="G473" s="4"/>
      <c r="H473" s="14" t="b">
        <f aca="false">FALSE()</f>
        <v>0</v>
      </c>
      <c r="I473" s="14" t="b">
        <f aca="false">FALSE()</f>
        <v>0</v>
      </c>
      <c r="J473" s="4"/>
      <c r="K473" s="4" t="s">
        <v>1940</v>
      </c>
      <c r="L473" s="4" t="s">
        <v>1941</v>
      </c>
      <c r="M473" s="4" t="s">
        <v>1942</v>
      </c>
      <c r="N473" s="6" t="n">
        <v>5323</v>
      </c>
      <c r="O473" s="6" t="n">
        <v>60643</v>
      </c>
      <c r="P473" s="4" t="s">
        <v>46</v>
      </c>
      <c r="Q473" s="6" t="n">
        <v>189000</v>
      </c>
      <c r="R473" s="15" t="n">
        <v>43335</v>
      </c>
      <c r="S473" s="6"/>
      <c r="T473" s="15"/>
      <c r="U473" s="6"/>
      <c r="V473" s="15"/>
      <c r="W473" s="4" t="s">
        <v>47</v>
      </c>
      <c r="X473" s="4" t="s">
        <v>58</v>
      </c>
      <c r="Y473" s="4" t="s">
        <v>1943</v>
      </c>
      <c r="Z473" s="4" t="s">
        <v>1624</v>
      </c>
      <c r="AA473" s="6" t="n">
        <v>0</v>
      </c>
      <c r="AB473" s="6" t="n">
        <v>3746.08</v>
      </c>
      <c r="AC473" s="6" t="n">
        <v>4008.94</v>
      </c>
      <c r="AD473" s="14" t="b">
        <f aca="false">FALSE()</f>
        <v>0</v>
      </c>
    </row>
    <row r="474" customFormat="false" ht="15" hidden="false" customHeight="false" outlineLevel="0" collapsed="false">
      <c r="A474" s="14" t="b">
        <f aca="false">TRUE()</f>
        <v>1</v>
      </c>
      <c r="B474" s="14" t="b">
        <f aca="false">FALSE()</f>
        <v>0</v>
      </c>
      <c r="C474" s="4" t="n">
        <v>2</v>
      </c>
      <c r="D474" s="4"/>
      <c r="E474" s="4"/>
      <c r="F474" s="4"/>
      <c r="G474" s="4"/>
      <c r="H474" s="14" t="b">
        <f aca="false">FALSE()</f>
        <v>0</v>
      </c>
      <c r="I474" s="14" t="b">
        <f aca="false">FALSE()</f>
        <v>0</v>
      </c>
      <c r="J474" s="4"/>
      <c r="K474" s="4" t="s">
        <v>1944</v>
      </c>
      <c r="L474" s="4" t="s">
        <v>1945</v>
      </c>
      <c r="M474" s="4" t="s">
        <v>1946</v>
      </c>
      <c r="N474" s="6" t="n">
        <v>3954</v>
      </c>
      <c r="O474" s="6" t="n">
        <v>48540</v>
      </c>
      <c r="P474" s="4" t="s">
        <v>46</v>
      </c>
      <c r="Q474" s="6" t="n">
        <v>199000</v>
      </c>
      <c r="R474" s="15" t="n">
        <v>45399</v>
      </c>
      <c r="S474" s="6"/>
      <c r="T474" s="15"/>
      <c r="U474" s="6"/>
      <c r="V474" s="15"/>
      <c r="W474" s="4" t="s">
        <v>47</v>
      </c>
      <c r="X474" s="4" t="s">
        <v>47</v>
      </c>
      <c r="Y474" s="4" t="s">
        <v>1947</v>
      </c>
      <c r="Z474" s="4" t="s">
        <v>1624</v>
      </c>
      <c r="AA474" s="6" t="n">
        <v>0</v>
      </c>
      <c r="AB474" s="6" t="n">
        <v>2875.44</v>
      </c>
      <c r="AC474" s="6" t="n">
        <v>1512.42</v>
      </c>
      <c r="AD474" s="14" t="b">
        <f aca="false">TRUE()</f>
        <v>1</v>
      </c>
    </row>
    <row r="475" customFormat="false" ht="15" hidden="false" customHeight="false" outlineLevel="0" collapsed="false">
      <c r="A475" s="14" t="b">
        <f aca="false">TRUE()</f>
        <v>1</v>
      </c>
      <c r="B475" s="14" t="b">
        <f aca="false">FALSE()</f>
        <v>0</v>
      </c>
      <c r="C475" s="4" t="n">
        <v>2</v>
      </c>
      <c r="D475" s="4"/>
      <c r="E475" s="4"/>
      <c r="F475" s="4"/>
      <c r="G475" s="4"/>
      <c r="H475" s="14" t="b">
        <f aca="false">FALSE()</f>
        <v>0</v>
      </c>
      <c r="I475" s="14" t="b">
        <f aca="false">FALSE()</f>
        <v>0</v>
      </c>
      <c r="J475" s="4"/>
      <c r="K475" s="4" t="s">
        <v>1948</v>
      </c>
      <c r="L475" s="4" t="s">
        <v>1949</v>
      </c>
      <c r="M475" s="4" t="s">
        <v>1950</v>
      </c>
      <c r="N475" s="6" t="n">
        <v>32364</v>
      </c>
      <c r="O475" s="6" t="n">
        <v>54124</v>
      </c>
      <c r="P475" s="4" t="s">
        <v>46</v>
      </c>
      <c r="Q475" s="6" t="n">
        <v>258333.33</v>
      </c>
      <c r="R475" s="15" t="n">
        <v>36256</v>
      </c>
      <c r="S475" s="6"/>
      <c r="T475" s="15"/>
      <c r="U475" s="6"/>
      <c r="V475" s="15"/>
      <c r="W475" s="4" t="s">
        <v>47</v>
      </c>
      <c r="X475" s="4" t="s">
        <v>47</v>
      </c>
      <c r="Y475" s="4" t="s">
        <v>1951</v>
      </c>
      <c r="Z475" s="4" t="s">
        <v>1624</v>
      </c>
      <c r="AA475" s="6" t="n">
        <v>0</v>
      </c>
      <c r="AB475" s="6" t="n">
        <v>5574.32</v>
      </c>
      <c r="AC475" s="6" t="n">
        <v>5960.58</v>
      </c>
      <c r="AD475" s="14" t="b">
        <f aca="false">FALSE()</f>
        <v>0</v>
      </c>
    </row>
    <row r="476" customFormat="false" ht="15" hidden="false" customHeight="false" outlineLevel="0" collapsed="false">
      <c r="A476" s="14" t="b">
        <f aca="false">TRUE()</f>
        <v>1</v>
      </c>
      <c r="B476" s="14" t="b">
        <f aca="false">FALSE()</f>
        <v>0</v>
      </c>
      <c r="C476" s="4" t="n">
        <v>3</v>
      </c>
      <c r="D476" s="4"/>
      <c r="E476" s="4"/>
      <c r="F476" s="4"/>
      <c r="G476" s="4" t="n">
        <v>2</v>
      </c>
      <c r="H476" s="14" t="b">
        <f aca="false">FALSE()</f>
        <v>0</v>
      </c>
      <c r="I476" s="14" t="b">
        <f aca="false">FALSE()</f>
        <v>0</v>
      </c>
      <c r="J476" s="4"/>
      <c r="K476" s="4" t="s">
        <v>1952</v>
      </c>
      <c r="L476" s="4" t="s">
        <v>1953</v>
      </c>
      <c r="M476" s="4" t="s">
        <v>1954</v>
      </c>
      <c r="N476" s="6" t="n">
        <v>48138</v>
      </c>
      <c r="O476" s="6" t="n">
        <v>79481</v>
      </c>
      <c r="P476" s="4" t="s">
        <v>46</v>
      </c>
      <c r="Q476" s="6" t="n">
        <v>370000</v>
      </c>
      <c r="R476" s="15" t="n">
        <v>44938</v>
      </c>
      <c r="S476" s="6" t="n">
        <v>150000</v>
      </c>
      <c r="T476" s="15" t="n">
        <v>45034</v>
      </c>
      <c r="U476" s="6"/>
      <c r="V476" s="15"/>
      <c r="W476" s="4" t="s">
        <v>47</v>
      </c>
      <c r="X476" s="4" t="s">
        <v>47</v>
      </c>
      <c r="Y476" s="4" t="s">
        <v>1955</v>
      </c>
      <c r="Z476" s="4" t="s">
        <v>1624</v>
      </c>
      <c r="AA476" s="6" t="n">
        <v>0</v>
      </c>
      <c r="AB476" s="6" t="n">
        <v>7709.68</v>
      </c>
      <c r="AC476" s="6" t="n">
        <v>8240.09</v>
      </c>
      <c r="AD476" s="14" t="b">
        <f aca="false">FALSE()</f>
        <v>0</v>
      </c>
    </row>
    <row r="477" customFormat="false" ht="15" hidden="false" customHeight="false" outlineLevel="0" collapsed="false">
      <c r="A477" s="14" t="b">
        <f aca="false">TRUE()</f>
        <v>1</v>
      </c>
      <c r="B477" s="14" t="b">
        <f aca="false">FALSE()</f>
        <v>0</v>
      </c>
      <c r="C477" s="4" t="n">
        <v>3</v>
      </c>
      <c r="D477" s="4"/>
      <c r="E477" s="4"/>
      <c r="F477" s="4"/>
      <c r="G477" s="4" t="n">
        <v>2</v>
      </c>
      <c r="H477" s="14" t="b">
        <f aca="false">FALSE()</f>
        <v>0</v>
      </c>
      <c r="I477" s="14" t="b">
        <f aca="false">FALSE()</f>
        <v>0</v>
      </c>
      <c r="J477" s="4"/>
      <c r="K477" s="4" t="s">
        <v>1956</v>
      </c>
      <c r="L477" s="4" t="s">
        <v>1957</v>
      </c>
      <c r="M477" s="4" t="s">
        <v>1958</v>
      </c>
      <c r="N477" s="6" t="n">
        <v>35493</v>
      </c>
      <c r="O477" s="6" t="n">
        <v>97809</v>
      </c>
      <c r="P477" s="4" t="s">
        <v>46</v>
      </c>
      <c r="Q477" s="6" t="n">
        <v>280000</v>
      </c>
      <c r="R477" s="15" t="n">
        <v>38148</v>
      </c>
      <c r="S477" s="6" t="n">
        <v>223500</v>
      </c>
      <c r="T477" s="15" t="n">
        <v>38419</v>
      </c>
      <c r="U477" s="6"/>
      <c r="V477" s="15"/>
      <c r="W477" s="4" t="s">
        <v>47</v>
      </c>
      <c r="X477" s="4" t="s">
        <v>47</v>
      </c>
      <c r="Y477" s="4" t="s">
        <v>1959</v>
      </c>
      <c r="Z477" s="4" t="s">
        <v>1624</v>
      </c>
      <c r="AA477" s="6" t="n">
        <v>0</v>
      </c>
      <c r="AB477" s="6" t="n">
        <v>8591.58</v>
      </c>
      <c r="AC477" s="6" t="n">
        <v>9181.51</v>
      </c>
      <c r="AD477" s="14" t="b">
        <f aca="false">FALSE()</f>
        <v>0</v>
      </c>
    </row>
    <row r="478" customFormat="false" ht="15" hidden="false" customHeight="false" outlineLevel="0" collapsed="false">
      <c r="A478" s="14" t="b">
        <f aca="false">TRUE()</f>
        <v>1</v>
      </c>
      <c r="B478" s="14" t="b">
        <f aca="false">FALSE()</f>
        <v>0</v>
      </c>
      <c r="C478" s="4" t="n">
        <v>3</v>
      </c>
      <c r="D478" s="4"/>
      <c r="E478" s="4"/>
      <c r="F478" s="4" t="s">
        <v>440</v>
      </c>
      <c r="G478" s="4"/>
      <c r="H478" s="14" t="b">
        <f aca="false">FALSE()</f>
        <v>0</v>
      </c>
      <c r="I478" s="14" t="b">
        <f aca="false">FALSE()</f>
        <v>0</v>
      </c>
      <c r="J478" s="4"/>
      <c r="K478" s="4" t="s">
        <v>1960</v>
      </c>
      <c r="L478" s="4" t="s">
        <v>1961</v>
      </c>
      <c r="M478" s="4" t="s">
        <v>1962</v>
      </c>
      <c r="N478" s="6" t="n">
        <v>35493</v>
      </c>
      <c r="O478" s="6" t="n">
        <v>140026</v>
      </c>
      <c r="P478" s="4" t="s">
        <v>46</v>
      </c>
      <c r="Q478" s="6" t="n">
        <v>433000</v>
      </c>
      <c r="R478" s="15" t="n">
        <v>38909</v>
      </c>
      <c r="S478" s="6" t="n">
        <v>150000</v>
      </c>
      <c r="T478" s="15" t="n">
        <v>38995</v>
      </c>
      <c r="U478" s="6"/>
      <c r="V478" s="15"/>
      <c r="W478" s="4" t="s">
        <v>47</v>
      </c>
      <c r="X478" s="4" t="s">
        <v>58</v>
      </c>
      <c r="Y478" s="4" t="s">
        <v>1963</v>
      </c>
      <c r="Z478" s="4" t="s">
        <v>1624</v>
      </c>
      <c r="AA478" s="6" t="n">
        <v>0</v>
      </c>
      <c r="AB478" s="6" t="n">
        <v>10796.94</v>
      </c>
      <c r="AC478" s="6" t="n">
        <v>11535.73</v>
      </c>
      <c r="AD478" s="14" t="b">
        <f aca="false">FALSE()</f>
        <v>0</v>
      </c>
    </row>
    <row r="479" customFormat="false" ht="15" hidden="false" customHeight="false" outlineLevel="0" collapsed="false">
      <c r="A479" s="14" t="b">
        <f aca="false">TRUE()</f>
        <v>1</v>
      </c>
      <c r="B479" s="14" t="b">
        <f aca="false">FALSE()</f>
        <v>0</v>
      </c>
      <c r="C479" s="4" t="n">
        <v>3</v>
      </c>
      <c r="D479" s="4"/>
      <c r="E479" s="4"/>
      <c r="F479" s="4"/>
      <c r="G479" s="4"/>
      <c r="H479" s="14" t="b">
        <f aca="false">FALSE()</f>
        <v>0</v>
      </c>
      <c r="I479" s="14" t="b">
        <f aca="false">FALSE()</f>
        <v>0</v>
      </c>
      <c r="J479" s="4"/>
      <c r="K479" s="4" t="s">
        <v>1964</v>
      </c>
      <c r="L479" s="4" t="s">
        <v>1965</v>
      </c>
      <c r="M479" s="4" t="s">
        <v>1966</v>
      </c>
      <c r="N479" s="6" t="n">
        <v>18534</v>
      </c>
      <c r="O479" s="6" t="n">
        <v>72843</v>
      </c>
      <c r="P479" s="4" t="s">
        <v>46</v>
      </c>
      <c r="Q479" s="6" t="n">
        <v>243000</v>
      </c>
      <c r="R479" s="15" t="n">
        <v>42705</v>
      </c>
      <c r="S479" s="6" t="n">
        <v>132064.35</v>
      </c>
      <c r="T479" s="15" t="n">
        <v>44943</v>
      </c>
      <c r="U479" s="6" t="n">
        <v>50000</v>
      </c>
      <c r="V479" s="15" t="n">
        <v>44846</v>
      </c>
      <c r="W479" s="4" t="s">
        <v>47</v>
      </c>
      <c r="X479" s="4" t="s">
        <v>47</v>
      </c>
      <c r="Y479" s="4" t="s">
        <v>1967</v>
      </c>
      <c r="Z479" s="4" t="s">
        <v>1624</v>
      </c>
      <c r="AA479" s="6" t="n">
        <v>0</v>
      </c>
      <c r="AB479" s="6" t="n">
        <v>5373.82</v>
      </c>
      <c r="AC479" s="6" t="n">
        <v>5746.55</v>
      </c>
      <c r="AD479" s="14" t="b">
        <f aca="false">FALSE()</f>
        <v>0</v>
      </c>
    </row>
    <row r="480" customFormat="false" ht="15" hidden="false" customHeight="false" outlineLevel="0" collapsed="false">
      <c r="A480" s="14" t="b">
        <f aca="false">TRUE()</f>
        <v>1</v>
      </c>
      <c r="B480" s="14" t="b">
        <f aca="false">FALSE()</f>
        <v>0</v>
      </c>
      <c r="C480" s="4" t="n">
        <v>3</v>
      </c>
      <c r="D480" s="4"/>
      <c r="E480" s="4"/>
      <c r="F480" s="4"/>
      <c r="G480" s="4" t="n">
        <v>3</v>
      </c>
      <c r="H480" s="14" t="b">
        <f aca="false">TRUE()</f>
        <v>1</v>
      </c>
      <c r="I480" s="14" t="b">
        <f aca="false">FALSE()</f>
        <v>0</v>
      </c>
      <c r="J480" s="4"/>
      <c r="K480" s="4" t="s">
        <v>1968</v>
      </c>
      <c r="L480" s="4" t="s">
        <v>1969</v>
      </c>
      <c r="M480" s="4" t="s">
        <v>1970</v>
      </c>
      <c r="N480" s="6" t="n">
        <v>35493</v>
      </c>
      <c r="O480" s="6" t="n">
        <v>126522</v>
      </c>
      <c r="P480" s="4" t="s">
        <v>46</v>
      </c>
      <c r="Q480" s="6"/>
      <c r="R480" s="15"/>
      <c r="S480" s="6"/>
      <c r="T480" s="15"/>
      <c r="U480" s="6"/>
      <c r="V480" s="15"/>
      <c r="W480" s="4" t="s">
        <v>47</v>
      </c>
      <c r="X480" s="4" t="s">
        <v>47</v>
      </c>
      <c r="Y480" s="4" t="s">
        <v>1971</v>
      </c>
      <c r="Z480" s="4" t="s">
        <v>1624</v>
      </c>
      <c r="AA480" s="6" t="n">
        <v>0</v>
      </c>
      <c r="AB480" s="6" t="n">
        <v>11483.52</v>
      </c>
      <c r="AC480" s="6" t="n">
        <v>12268.66</v>
      </c>
      <c r="AD480" s="14" t="b">
        <f aca="false">FALSE()</f>
        <v>0</v>
      </c>
    </row>
    <row r="481" customFormat="false" ht="15" hidden="false" customHeight="false" outlineLevel="0" collapsed="false">
      <c r="A481" s="14" t="b">
        <f aca="false">TRUE()</f>
        <v>1</v>
      </c>
      <c r="B481" s="14" t="b">
        <f aca="false">FALSE()</f>
        <v>0</v>
      </c>
      <c r="C481" s="4" t="n">
        <v>2</v>
      </c>
      <c r="D481" s="4"/>
      <c r="E481" s="4"/>
      <c r="F481" s="4"/>
      <c r="G481" s="4"/>
      <c r="H481" s="14" t="b">
        <f aca="false">FALSE()</f>
        <v>0</v>
      </c>
      <c r="I481" s="14" t="b">
        <f aca="false">FALSE()</f>
        <v>0</v>
      </c>
      <c r="J481" s="4"/>
      <c r="K481" s="4" t="s">
        <v>1972</v>
      </c>
      <c r="L481" s="4" t="s">
        <v>1973</v>
      </c>
      <c r="M481" s="4" t="s">
        <v>1974</v>
      </c>
      <c r="N481" s="6" t="n">
        <v>35493</v>
      </c>
      <c r="O481" s="6" t="n">
        <v>122296</v>
      </c>
      <c r="P481" s="4" t="s">
        <v>46</v>
      </c>
      <c r="Q481" s="6"/>
      <c r="R481" s="15" t="n">
        <v>44392</v>
      </c>
      <c r="S481" s="6"/>
      <c r="T481" s="15"/>
      <c r="U481" s="6"/>
      <c r="V481" s="15"/>
      <c r="W481" s="4" t="s">
        <v>47</v>
      </c>
      <c r="X481" s="4" t="s">
        <v>47</v>
      </c>
      <c r="Y481" s="4" t="s">
        <v>1975</v>
      </c>
      <c r="Z481" s="4" t="s">
        <v>1624</v>
      </c>
      <c r="AA481" s="6" t="n">
        <v>0</v>
      </c>
      <c r="AB481" s="6" t="n">
        <v>10711.02</v>
      </c>
      <c r="AC481" s="6" t="n">
        <v>5606.51</v>
      </c>
      <c r="AD481" s="14" t="b">
        <f aca="false">TRUE()</f>
        <v>1</v>
      </c>
    </row>
    <row r="482" customFormat="false" ht="15" hidden="false" customHeight="false" outlineLevel="0" collapsed="false">
      <c r="A482" s="14" t="b">
        <f aca="false">TRUE()</f>
        <v>1</v>
      </c>
      <c r="B482" s="14" t="b">
        <f aca="false">FALSE()</f>
        <v>0</v>
      </c>
      <c r="C482" s="4" t="n">
        <v>2</v>
      </c>
      <c r="D482" s="4"/>
      <c r="E482" s="4"/>
      <c r="F482" s="4"/>
      <c r="G482" s="4"/>
      <c r="H482" s="14" t="b">
        <f aca="false">FALSE()</f>
        <v>0</v>
      </c>
      <c r="I482" s="14" t="b">
        <f aca="false">FALSE()</f>
        <v>0</v>
      </c>
      <c r="J482" s="4"/>
      <c r="K482" s="4" t="s">
        <v>1976</v>
      </c>
      <c r="L482" s="4" t="s">
        <v>1977</v>
      </c>
      <c r="M482" s="4" t="s">
        <v>1978</v>
      </c>
      <c r="N482" s="6" t="n">
        <v>18534</v>
      </c>
      <c r="O482" s="6" t="n">
        <v>72843</v>
      </c>
      <c r="P482" s="4" t="s">
        <v>46</v>
      </c>
      <c r="Q482" s="6"/>
      <c r="R482" s="15" t="n">
        <v>45968</v>
      </c>
      <c r="S482" s="6"/>
      <c r="T482" s="15"/>
      <c r="U482" s="6"/>
      <c r="V482" s="15"/>
      <c r="W482" s="4" t="s">
        <v>47</v>
      </c>
      <c r="X482" s="4" t="s">
        <v>47</v>
      </c>
      <c r="Y482" s="4" t="s">
        <v>1979</v>
      </c>
      <c r="Z482" s="4" t="s">
        <v>1624</v>
      </c>
      <c r="AA482" s="6" t="n">
        <v>0</v>
      </c>
      <c r="AB482" s="6" t="n">
        <v>5694.14</v>
      </c>
      <c r="AC482" s="6" t="n">
        <v>6088.5</v>
      </c>
      <c r="AD482" s="14" t="b">
        <f aca="false">FALSE()</f>
        <v>0</v>
      </c>
    </row>
    <row r="483" customFormat="false" ht="15" hidden="false" customHeight="false" outlineLevel="0" collapsed="false">
      <c r="A483" s="14" t="b">
        <f aca="false">TRUE()</f>
        <v>1</v>
      </c>
      <c r="B483" s="14" t="b">
        <f aca="false">FALSE()</f>
        <v>0</v>
      </c>
      <c r="C483" s="4" t="n">
        <v>2</v>
      </c>
      <c r="D483" s="4"/>
      <c r="E483" s="4"/>
      <c r="F483" s="4"/>
      <c r="G483" s="4" t="n">
        <v>3</v>
      </c>
      <c r="H483" s="14" t="b">
        <f aca="false">FALSE()</f>
        <v>0</v>
      </c>
      <c r="I483" s="14" t="b">
        <f aca="false">FALSE()</f>
        <v>0</v>
      </c>
      <c r="J483" s="4"/>
      <c r="K483" s="4" t="s">
        <v>1980</v>
      </c>
      <c r="L483" s="4" t="s">
        <v>1981</v>
      </c>
      <c r="M483" s="4" t="s">
        <v>1982</v>
      </c>
      <c r="N483" s="6" t="n">
        <v>18534</v>
      </c>
      <c r="O483" s="6" t="n">
        <v>72843</v>
      </c>
      <c r="P483" s="4" t="s">
        <v>46</v>
      </c>
      <c r="Q483" s="6" t="n">
        <v>178000</v>
      </c>
      <c r="R483" s="15" t="n">
        <v>37552</v>
      </c>
      <c r="S483" s="6"/>
      <c r="T483" s="15"/>
      <c r="U483" s="6"/>
      <c r="V483" s="15"/>
      <c r="W483" s="4" t="s">
        <v>47</v>
      </c>
      <c r="X483" s="4" t="s">
        <v>47</v>
      </c>
      <c r="Y483" s="4" t="s">
        <v>1983</v>
      </c>
      <c r="Z483" s="4" t="s">
        <v>1624</v>
      </c>
      <c r="AA483" s="6" t="n">
        <v>0</v>
      </c>
      <c r="AB483" s="6" t="n">
        <v>5694.14</v>
      </c>
      <c r="AC483" s="6" t="n">
        <v>6088.5</v>
      </c>
      <c r="AD483" s="14" t="b">
        <f aca="false">FALSE()</f>
        <v>0</v>
      </c>
    </row>
    <row r="484" customFormat="false" ht="15" hidden="false" customHeight="false" outlineLevel="0" collapsed="false">
      <c r="A484" s="14" t="b">
        <f aca="false">TRUE()</f>
        <v>1</v>
      </c>
      <c r="B484" s="14" t="b">
        <f aca="false">FALSE()</f>
        <v>0</v>
      </c>
      <c r="C484" s="4" t="n">
        <v>2</v>
      </c>
      <c r="D484" s="4"/>
      <c r="E484" s="4"/>
      <c r="F484" s="4"/>
      <c r="G484" s="4"/>
      <c r="H484" s="14" t="b">
        <f aca="false">FALSE()</f>
        <v>0</v>
      </c>
      <c r="I484" s="14" t="b">
        <f aca="false">FALSE()</f>
        <v>0</v>
      </c>
      <c r="J484" s="4"/>
      <c r="K484" s="4" t="s">
        <v>1984</v>
      </c>
      <c r="L484" s="4" t="s">
        <v>1985</v>
      </c>
      <c r="M484" s="4" t="s">
        <v>1986</v>
      </c>
      <c r="N484" s="6" t="n">
        <v>5780</v>
      </c>
      <c r="O484" s="6" t="n">
        <v>44825</v>
      </c>
      <c r="P484" s="4" t="s">
        <v>46</v>
      </c>
      <c r="Q484" s="6" t="n">
        <v>74500</v>
      </c>
      <c r="R484" s="15" t="n">
        <v>41751</v>
      </c>
      <c r="S484" s="6"/>
      <c r="T484" s="15"/>
      <c r="U484" s="6"/>
      <c r="V484" s="15"/>
      <c r="W484" s="4" t="s">
        <v>47</v>
      </c>
      <c r="X484" s="4" t="s">
        <v>47</v>
      </c>
      <c r="Y484" s="4" t="s">
        <v>1987</v>
      </c>
      <c r="Z484" s="4" t="s">
        <v>877</v>
      </c>
      <c r="AA484" s="6" t="n">
        <v>0</v>
      </c>
      <c r="AB484" s="6" t="n">
        <v>3145.58</v>
      </c>
      <c r="AC484" s="6" t="n">
        <v>3367.91</v>
      </c>
      <c r="AD484" s="14" t="b">
        <f aca="false">FALSE()</f>
        <v>0</v>
      </c>
    </row>
    <row r="485" customFormat="false" ht="15" hidden="false" customHeight="false" outlineLevel="0" collapsed="false">
      <c r="A485" s="14" t="b">
        <f aca="false">TRUE()</f>
        <v>1</v>
      </c>
      <c r="B485" s="14" t="b">
        <f aca="false">FALSE()</f>
        <v>0</v>
      </c>
      <c r="C485" s="4" t="n">
        <v>2</v>
      </c>
      <c r="D485" s="4"/>
      <c r="E485" s="4"/>
      <c r="F485" s="4"/>
      <c r="G485" s="4"/>
      <c r="H485" s="14" t="b">
        <f aca="false">FALSE()</f>
        <v>0</v>
      </c>
      <c r="I485" s="14" t="b">
        <f aca="false">FALSE()</f>
        <v>0</v>
      </c>
      <c r="J485" s="4"/>
      <c r="K485" s="4" t="s">
        <v>1988</v>
      </c>
      <c r="L485" s="4" t="s">
        <v>1989</v>
      </c>
      <c r="M485" s="4" t="s">
        <v>1990</v>
      </c>
      <c r="N485" s="6" t="n">
        <v>32277</v>
      </c>
      <c r="O485" s="6" t="n">
        <v>82523</v>
      </c>
      <c r="P485" s="4" t="s">
        <v>46</v>
      </c>
      <c r="Q485" s="6"/>
      <c r="R485" s="15"/>
      <c r="S485" s="6"/>
      <c r="T485" s="15"/>
      <c r="U485" s="6"/>
      <c r="V485" s="15"/>
      <c r="W485" s="4" t="s">
        <v>47</v>
      </c>
      <c r="X485" s="4" t="s">
        <v>47</v>
      </c>
      <c r="Y485" s="4" t="s">
        <v>1991</v>
      </c>
      <c r="Z485" s="4" t="s">
        <v>877</v>
      </c>
      <c r="AA485" s="6" t="n">
        <v>0</v>
      </c>
      <c r="AB485" s="6" t="n">
        <v>7898.62</v>
      </c>
      <c r="AC485" s="6" t="n">
        <v>4137.03</v>
      </c>
      <c r="AD485" s="14" t="b">
        <f aca="false">TRUE()</f>
        <v>1</v>
      </c>
    </row>
    <row r="486" customFormat="false" ht="15" hidden="false" customHeight="false" outlineLevel="0" collapsed="false">
      <c r="A486" s="14" t="b">
        <f aca="false">TRUE()</f>
        <v>1</v>
      </c>
      <c r="B486" s="14" t="b">
        <f aca="false">FALSE()</f>
        <v>0</v>
      </c>
      <c r="C486" s="4" t="n">
        <v>3</v>
      </c>
      <c r="D486" s="4"/>
      <c r="E486" s="4"/>
      <c r="F486" s="4"/>
      <c r="G486" s="4"/>
      <c r="H486" s="14" t="b">
        <f aca="false">FALSE()</f>
        <v>0</v>
      </c>
      <c r="I486" s="14" t="b">
        <f aca="false">FALSE()</f>
        <v>0</v>
      </c>
      <c r="J486" s="4"/>
      <c r="K486" s="4" t="s">
        <v>1992</v>
      </c>
      <c r="L486" s="4" t="s">
        <v>1993</v>
      </c>
      <c r="M486" s="4" t="s">
        <v>1994</v>
      </c>
      <c r="N486" s="6" t="n">
        <v>50528</v>
      </c>
      <c r="O486" s="6" t="n">
        <v>209664</v>
      </c>
      <c r="P486" s="4" t="s">
        <v>46</v>
      </c>
      <c r="Q486" s="6" t="n">
        <v>426000</v>
      </c>
      <c r="R486" s="15" t="n">
        <v>36024</v>
      </c>
      <c r="S486" s="6" t="n">
        <v>250000</v>
      </c>
      <c r="T486" s="15" t="n">
        <v>38946</v>
      </c>
      <c r="U486" s="6"/>
      <c r="V486" s="15"/>
      <c r="W486" s="4" t="s">
        <v>47</v>
      </c>
      <c r="X486" s="4" t="s">
        <v>47</v>
      </c>
      <c r="Y486" s="4" t="s">
        <v>1995</v>
      </c>
      <c r="Z486" s="4" t="s">
        <v>877</v>
      </c>
      <c r="AA486" s="6" t="n">
        <v>0</v>
      </c>
      <c r="AB486" s="6" t="n">
        <v>18651.36</v>
      </c>
      <c r="AC486" s="6" t="n">
        <v>19920.33</v>
      </c>
      <c r="AD486" s="14" t="b">
        <f aca="false">FALSE()</f>
        <v>0</v>
      </c>
    </row>
    <row r="487" customFormat="false" ht="15" hidden="false" customHeight="false" outlineLevel="0" collapsed="false">
      <c r="A487" s="14" t="b">
        <f aca="false">TRUE()</f>
        <v>1</v>
      </c>
      <c r="B487" s="14" t="b">
        <f aca="false">FALSE()</f>
        <v>0</v>
      </c>
      <c r="C487" s="4" t="n">
        <v>2</v>
      </c>
      <c r="D487" s="4"/>
      <c r="E487" s="4"/>
      <c r="F487" s="4"/>
      <c r="G487" s="4"/>
      <c r="H487" s="14" t="b">
        <f aca="false">FALSE()</f>
        <v>0</v>
      </c>
      <c r="I487" s="14" t="b">
        <f aca="false">FALSE()</f>
        <v>0</v>
      </c>
      <c r="J487" s="4"/>
      <c r="K487" s="4" t="s">
        <v>1996</v>
      </c>
      <c r="L487" s="4" t="s">
        <v>1997</v>
      </c>
      <c r="M487" s="4" t="s">
        <v>1998</v>
      </c>
      <c r="N487" s="6" t="n">
        <v>46237</v>
      </c>
      <c r="O487" s="6" t="n">
        <v>160255</v>
      </c>
      <c r="P487" s="4" t="s">
        <v>46</v>
      </c>
      <c r="Q487" s="6"/>
      <c r="R487" s="15" t="n">
        <v>35068</v>
      </c>
      <c r="S487" s="6"/>
      <c r="T487" s="15"/>
      <c r="U487" s="6"/>
      <c r="V487" s="15"/>
      <c r="W487" s="4" t="s">
        <v>47</v>
      </c>
      <c r="X487" s="4" t="s">
        <v>47</v>
      </c>
      <c r="Y487" s="4" t="s">
        <v>1999</v>
      </c>
      <c r="Z487" s="4" t="s">
        <v>877</v>
      </c>
      <c r="AA487" s="6" t="n">
        <v>0</v>
      </c>
      <c r="AB487" s="6" t="n">
        <v>14088.2</v>
      </c>
      <c r="AC487" s="6" t="n">
        <v>7371.08</v>
      </c>
      <c r="AD487" s="14" t="b">
        <f aca="false">TRUE()</f>
        <v>1</v>
      </c>
    </row>
    <row r="488" customFormat="false" ht="15" hidden="false" customHeight="false" outlineLevel="0" collapsed="false">
      <c r="A488" s="14" t="b">
        <f aca="false">TRUE()</f>
        <v>1</v>
      </c>
      <c r="B488" s="14" t="b">
        <f aca="false">FALSE()</f>
        <v>0</v>
      </c>
      <c r="C488" s="4" t="n">
        <v>3</v>
      </c>
      <c r="D488" s="4"/>
      <c r="E488" s="4"/>
      <c r="F488" s="4"/>
      <c r="G488" s="4"/>
      <c r="H488" s="14" t="b">
        <f aca="false">FALSE()</f>
        <v>0</v>
      </c>
      <c r="I488" s="14" t="b">
        <f aca="false">FALSE()</f>
        <v>0</v>
      </c>
      <c r="J488" s="4"/>
      <c r="K488" s="4" t="s">
        <v>2000</v>
      </c>
      <c r="L488" s="4" t="s">
        <v>2001</v>
      </c>
      <c r="M488" s="4" t="s">
        <v>2002</v>
      </c>
      <c r="N488" s="6" t="n">
        <v>36970</v>
      </c>
      <c r="O488" s="6" t="n">
        <v>175769</v>
      </c>
      <c r="P488" s="4" t="s">
        <v>46</v>
      </c>
      <c r="Q488" s="6"/>
      <c r="R488" s="15"/>
      <c r="S488" s="6" t="n">
        <v>330000</v>
      </c>
      <c r="T488" s="15" t="n">
        <v>39819</v>
      </c>
      <c r="U488" s="6" t="n">
        <v>150000</v>
      </c>
      <c r="V488" s="15" t="n">
        <v>42887</v>
      </c>
      <c r="W488" s="4" t="s">
        <v>47</v>
      </c>
      <c r="X488" s="4" t="s">
        <v>58</v>
      </c>
      <c r="Y488" s="4" t="s">
        <v>2003</v>
      </c>
      <c r="Z488" s="4" t="s">
        <v>877</v>
      </c>
      <c r="AA488" s="6" t="n">
        <v>0</v>
      </c>
      <c r="AB488" s="6" t="n">
        <v>15141.88</v>
      </c>
      <c r="AC488" s="6" t="n">
        <v>16173.95</v>
      </c>
      <c r="AD488" s="14" t="b">
        <f aca="false">FALSE()</f>
        <v>0</v>
      </c>
    </row>
    <row r="489" customFormat="false" ht="15" hidden="false" customHeight="false" outlineLevel="0" collapsed="false">
      <c r="A489" s="14" t="b">
        <f aca="false">TRUE()</f>
        <v>1</v>
      </c>
      <c r="B489" s="14" t="b">
        <f aca="false">FALSE()</f>
        <v>0</v>
      </c>
      <c r="C489" s="4" t="n">
        <v>2</v>
      </c>
      <c r="D489" s="4"/>
      <c r="E489" s="4"/>
      <c r="F489" s="4"/>
      <c r="G489" s="4"/>
      <c r="H489" s="14" t="b">
        <f aca="false">FALSE()</f>
        <v>0</v>
      </c>
      <c r="I489" s="14" t="b">
        <f aca="false">FALSE()</f>
        <v>0</v>
      </c>
      <c r="J489" s="4"/>
      <c r="K489" s="4" t="s">
        <v>2004</v>
      </c>
      <c r="L489" s="4" t="s">
        <v>2005</v>
      </c>
      <c r="M489" s="4" t="s">
        <v>2006</v>
      </c>
      <c r="N489" s="6" t="n">
        <v>5399</v>
      </c>
      <c r="O489" s="6" t="n">
        <v>63337</v>
      </c>
      <c r="P489" s="4" t="s">
        <v>46</v>
      </c>
      <c r="Q489" s="6" t="n">
        <v>239900</v>
      </c>
      <c r="R489" s="15" t="n">
        <v>45765</v>
      </c>
      <c r="S489" s="6"/>
      <c r="T489" s="15"/>
      <c r="U489" s="6"/>
      <c r="V489" s="15"/>
      <c r="W489" s="4" t="s">
        <v>47</v>
      </c>
      <c r="X489" s="4" t="s">
        <v>47</v>
      </c>
      <c r="Y489" s="4" t="s">
        <v>2007</v>
      </c>
      <c r="Z489" s="4" t="s">
        <v>877</v>
      </c>
      <c r="AA489" s="6" t="n">
        <v>0</v>
      </c>
      <c r="AB489" s="6" t="n">
        <v>4491.84</v>
      </c>
      <c r="AC489" s="6" t="n">
        <v>4805.04</v>
      </c>
      <c r="AD489" s="14" t="b">
        <f aca="false">FALSE()</f>
        <v>0</v>
      </c>
    </row>
    <row r="490" customFormat="false" ht="15" hidden="false" customHeight="false" outlineLevel="0" collapsed="false">
      <c r="A490" s="14" t="b">
        <f aca="false">TRUE()</f>
        <v>1</v>
      </c>
      <c r="B490" s="14" t="b">
        <f aca="false">FALSE()</f>
        <v>0</v>
      </c>
      <c r="C490" s="4" t="n">
        <v>2</v>
      </c>
      <c r="D490" s="4"/>
      <c r="E490" s="4"/>
      <c r="F490" s="4"/>
      <c r="G490" s="4"/>
      <c r="H490" s="14" t="b">
        <f aca="false">TRUE()</f>
        <v>1</v>
      </c>
      <c r="I490" s="14" t="b">
        <f aca="false">FALSE()</f>
        <v>0</v>
      </c>
      <c r="J490" s="4"/>
      <c r="K490" s="4" t="s">
        <v>2008</v>
      </c>
      <c r="L490" s="4" t="s">
        <v>2009</v>
      </c>
      <c r="M490" s="4" t="s">
        <v>2010</v>
      </c>
      <c r="N490" s="6" t="n">
        <v>5399</v>
      </c>
      <c r="O490" s="6" t="n">
        <v>42250</v>
      </c>
      <c r="P490" s="4" t="s">
        <v>46</v>
      </c>
      <c r="Q490" s="6" t="n">
        <v>98500</v>
      </c>
      <c r="R490" s="15" t="n">
        <v>37089</v>
      </c>
      <c r="S490" s="6"/>
      <c r="T490" s="15"/>
      <c r="U490" s="6"/>
      <c r="V490" s="15"/>
      <c r="W490" s="4" t="s">
        <v>47</v>
      </c>
      <c r="X490" s="4" t="s">
        <v>47</v>
      </c>
      <c r="Y490" s="4" t="s">
        <v>2011</v>
      </c>
      <c r="Z490" s="4" t="s">
        <v>877</v>
      </c>
      <c r="AA490" s="6" t="n">
        <v>0</v>
      </c>
      <c r="AB490" s="6" t="n">
        <v>2932.32</v>
      </c>
      <c r="AC490" s="6" t="n">
        <v>3140.25</v>
      </c>
      <c r="AD490" s="14" t="b">
        <f aca="false">FALSE()</f>
        <v>0</v>
      </c>
    </row>
    <row r="491" customFormat="false" ht="15" hidden="false" customHeight="false" outlineLevel="0" collapsed="false">
      <c r="A491" s="14" t="b">
        <f aca="false">TRUE()</f>
        <v>1</v>
      </c>
      <c r="B491" s="14" t="b">
        <f aca="false">FALSE()</f>
        <v>0</v>
      </c>
      <c r="C491" s="4" t="n">
        <v>2</v>
      </c>
      <c r="D491" s="4"/>
      <c r="E491" s="4"/>
      <c r="F491" s="4"/>
      <c r="G491" s="4"/>
      <c r="H491" s="14" t="b">
        <f aca="false">FALSE()</f>
        <v>0</v>
      </c>
      <c r="I491" s="14" t="b">
        <f aca="false">FALSE()</f>
        <v>0</v>
      </c>
      <c r="J491" s="4"/>
      <c r="K491" s="4" t="s">
        <v>2012</v>
      </c>
      <c r="L491" s="4" t="s">
        <v>2013</v>
      </c>
      <c r="M491" s="4" t="s">
        <v>2014</v>
      </c>
      <c r="N491" s="6" t="n">
        <v>5399</v>
      </c>
      <c r="O491" s="6" t="n">
        <v>48062</v>
      </c>
      <c r="P491" s="4" t="s">
        <v>46</v>
      </c>
      <c r="Q491" s="6" t="n">
        <v>94000</v>
      </c>
      <c r="R491" s="15" t="n">
        <v>41751</v>
      </c>
      <c r="S491" s="6"/>
      <c r="T491" s="15"/>
      <c r="U491" s="6"/>
      <c r="V491" s="15"/>
      <c r="W491" s="4" t="s">
        <v>47</v>
      </c>
      <c r="X491" s="4" t="s">
        <v>47</v>
      </c>
      <c r="Y491" s="4" t="s">
        <v>2015</v>
      </c>
      <c r="Z491" s="4" t="s">
        <v>877</v>
      </c>
      <c r="AA491" s="6" t="n">
        <v>0</v>
      </c>
      <c r="AB491" s="6" t="n">
        <v>3362.16</v>
      </c>
      <c r="AC491" s="6" t="n">
        <v>3599.11</v>
      </c>
      <c r="AD491" s="14" t="b">
        <f aca="false">FALSE()</f>
        <v>0</v>
      </c>
    </row>
    <row r="492" customFormat="false" ht="15" hidden="false" customHeight="false" outlineLevel="0" collapsed="false">
      <c r="A492" s="14" t="b">
        <f aca="false">TRUE()</f>
        <v>1</v>
      </c>
      <c r="B492" s="14" t="b">
        <f aca="false">FALSE()</f>
        <v>0</v>
      </c>
      <c r="C492" s="4" t="n">
        <v>3</v>
      </c>
      <c r="D492" s="4"/>
      <c r="E492" s="4"/>
      <c r="F492" s="4"/>
      <c r="G492" s="4"/>
      <c r="H492" s="14" t="b">
        <f aca="false">FALSE()</f>
        <v>0</v>
      </c>
      <c r="I492" s="14" t="b">
        <f aca="false">FALSE()</f>
        <v>0</v>
      </c>
      <c r="J492" s="4"/>
      <c r="K492" s="4" t="s">
        <v>2016</v>
      </c>
      <c r="L492" s="4" t="s">
        <v>2017</v>
      </c>
      <c r="M492" s="4" t="s">
        <v>2018</v>
      </c>
      <c r="N492" s="6" t="n">
        <v>10038</v>
      </c>
      <c r="O492" s="6" t="n">
        <v>48073</v>
      </c>
      <c r="P492" s="4" t="s">
        <v>46</v>
      </c>
      <c r="Q492" s="6" t="n">
        <v>225000</v>
      </c>
      <c r="R492" s="15" t="n">
        <v>38553</v>
      </c>
      <c r="S492" s="6" t="n">
        <v>194000</v>
      </c>
      <c r="T492" s="15" t="n">
        <v>38553</v>
      </c>
      <c r="U492" s="6"/>
      <c r="V492" s="15"/>
      <c r="W492" s="4" t="s">
        <v>47</v>
      </c>
      <c r="X492" s="4" t="s">
        <v>58</v>
      </c>
      <c r="Y492" s="4" t="s">
        <v>2019</v>
      </c>
      <c r="Z492" s="4" t="s">
        <v>877</v>
      </c>
      <c r="AA492" s="6" t="n">
        <v>0</v>
      </c>
      <c r="AB492" s="6" t="n">
        <v>4297.72</v>
      </c>
      <c r="AC492" s="6" t="n">
        <v>4597.82</v>
      </c>
      <c r="AD492" s="14" t="b">
        <f aca="false">FALSE()</f>
        <v>0</v>
      </c>
    </row>
    <row r="493" customFormat="false" ht="15" hidden="false" customHeight="false" outlineLevel="0" collapsed="false">
      <c r="A493" s="14" t="b">
        <f aca="false">TRUE()</f>
        <v>1</v>
      </c>
      <c r="B493" s="14" t="b">
        <f aca="false">FALSE()</f>
        <v>0</v>
      </c>
      <c r="C493" s="4" t="n">
        <v>2</v>
      </c>
      <c r="D493" s="4"/>
      <c r="E493" s="4"/>
      <c r="F493" s="4"/>
      <c r="G493" s="4"/>
      <c r="H493" s="14" t="b">
        <f aca="false">FALSE()</f>
        <v>0</v>
      </c>
      <c r="I493" s="14" t="b">
        <f aca="false">FALSE()</f>
        <v>0</v>
      </c>
      <c r="J493" s="4"/>
      <c r="K493" s="4" t="s">
        <v>2020</v>
      </c>
      <c r="L493" s="4" t="s">
        <v>2021</v>
      </c>
      <c r="M493" s="4" t="s">
        <v>2022</v>
      </c>
      <c r="N493" s="6" t="n">
        <v>20468</v>
      </c>
      <c r="O493" s="6" t="n">
        <v>163981</v>
      </c>
      <c r="P493" s="4" t="s">
        <v>46</v>
      </c>
      <c r="Q493" s="6" t="n">
        <v>442000</v>
      </c>
      <c r="R493" s="15" t="n">
        <v>42891</v>
      </c>
      <c r="S493" s="6" t="n">
        <v>376500</v>
      </c>
      <c r="T493" s="15" t="n">
        <v>44151</v>
      </c>
      <c r="U493" s="6"/>
      <c r="V493" s="15"/>
      <c r="W493" s="4" t="s">
        <v>58</v>
      </c>
      <c r="X493" s="4" t="s">
        <v>58</v>
      </c>
      <c r="Y493" s="4" t="s">
        <v>2023</v>
      </c>
      <c r="Z493" s="4" t="s">
        <v>877</v>
      </c>
      <c r="AA493" s="6" t="n">
        <v>0</v>
      </c>
      <c r="AB493" s="6" t="n">
        <v>12421.84</v>
      </c>
      <c r="AC493" s="6" t="n">
        <v>6500.41</v>
      </c>
      <c r="AD493" s="14" t="b">
        <f aca="false">TRUE()</f>
        <v>1</v>
      </c>
    </row>
    <row r="494" customFormat="false" ht="15" hidden="false" customHeight="false" outlineLevel="0" collapsed="false">
      <c r="A494" s="14" t="b">
        <f aca="false">TRUE()</f>
        <v>1</v>
      </c>
      <c r="B494" s="14" t="b">
        <f aca="false">FALSE()</f>
        <v>0</v>
      </c>
      <c r="C494" s="4" t="n">
        <v>3</v>
      </c>
      <c r="D494" s="4"/>
      <c r="E494" s="4"/>
      <c r="F494" s="4"/>
      <c r="G494" s="4"/>
      <c r="H494" s="14" t="b">
        <f aca="false">FALSE()</f>
        <v>0</v>
      </c>
      <c r="I494" s="14" t="b">
        <f aca="false">FALSE()</f>
        <v>0</v>
      </c>
      <c r="J494" s="4"/>
      <c r="K494" s="4" t="s">
        <v>2024</v>
      </c>
      <c r="L494" s="4" t="s">
        <v>2025</v>
      </c>
      <c r="M494" s="4" t="s">
        <v>2026</v>
      </c>
      <c r="N494" s="6" t="n">
        <v>56276</v>
      </c>
      <c r="O494" s="6" t="n">
        <v>190935</v>
      </c>
      <c r="P494" s="4" t="s">
        <v>46</v>
      </c>
      <c r="Q494" s="6" t="n">
        <v>780000</v>
      </c>
      <c r="R494" s="15" t="n">
        <v>44431</v>
      </c>
      <c r="S494" s="6" t="n">
        <v>1898000</v>
      </c>
      <c r="T494" s="15" t="n">
        <v>45761</v>
      </c>
      <c r="U494" s="6"/>
      <c r="V494" s="15"/>
      <c r="W494" s="4" t="s">
        <v>47</v>
      </c>
      <c r="X494" s="4" t="s">
        <v>47</v>
      </c>
      <c r="Y494" s="4" t="s">
        <v>2027</v>
      </c>
      <c r="Z494" s="4" t="s">
        <v>877</v>
      </c>
      <c r="AA494" s="6" t="n">
        <v>0</v>
      </c>
      <c r="AB494" s="6" t="n">
        <v>17691.32</v>
      </c>
      <c r="AC494" s="6" t="n">
        <v>18895.48</v>
      </c>
      <c r="AD494" s="14" t="b">
        <f aca="false">FALSE()</f>
        <v>0</v>
      </c>
    </row>
    <row r="495" customFormat="false" ht="15" hidden="false" customHeight="false" outlineLevel="0" collapsed="false">
      <c r="A495" s="14" t="b">
        <f aca="false">TRUE()</f>
        <v>1</v>
      </c>
      <c r="B495" s="14" t="b">
        <f aca="false">FALSE()</f>
        <v>0</v>
      </c>
      <c r="C495" s="4" t="n">
        <v>2</v>
      </c>
      <c r="D495" s="4"/>
      <c r="E495" s="4"/>
      <c r="F495" s="4"/>
      <c r="G495" s="4"/>
      <c r="H495" s="14" t="b">
        <f aca="false">FALSE()</f>
        <v>0</v>
      </c>
      <c r="I495" s="14" t="b">
        <f aca="false">FALSE()</f>
        <v>0</v>
      </c>
      <c r="J495" s="4"/>
      <c r="K495" s="4" t="s">
        <v>2028</v>
      </c>
      <c r="L495" s="4" t="s">
        <v>2029</v>
      </c>
      <c r="M495" s="4" t="s">
        <v>2030</v>
      </c>
      <c r="N495" s="6" t="n">
        <v>56276</v>
      </c>
      <c r="O495" s="6" t="n">
        <v>228912</v>
      </c>
      <c r="P495" s="4" t="s">
        <v>46</v>
      </c>
      <c r="Q495" s="6" t="n">
        <v>809000</v>
      </c>
      <c r="R495" s="15" t="n">
        <v>44700</v>
      </c>
      <c r="S495" s="6"/>
      <c r="T495" s="15"/>
      <c r="U495" s="6"/>
      <c r="V495" s="15"/>
      <c r="W495" s="4" t="s">
        <v>47</v>
      </c>
      <c r="X495" s="4" t="s">
        <v>47</v>
      </c>
      <c r="Y495" s="4" t="s">
        <v>2031</v>
      </c>
      <c r="Z495" s="4" t="s">
        <v>877</v>
      </c>
      <c r="AA495" s="6" t="n">
        <v>0</v>
      </c>
      <c r="AB495" s="6" t="n">
        <v>20500.02</v>
      </c>
      <c r="AC495" s="6" t="n">
        <v>10721.26</v>
      </c>
      <c r="AD495" s="14" t="b">
        <f aca="false">TRUE()</f>
        <v>1</v>
      </c>
    </row>
    <row r="496" customFormat="false" ht="15" hidden="false" customHeight="false" outlineLevel="0" collapsed="false">
      <c r="A496" s="14" t="b">
        <f aca="false">TRUE()</f>
        <v>1</v>
      </c>
      <c r="B496" s="14" t="b">
        <f aca="false">FALSE()</f>
        <v>0</v>
      </c>
      <c r="C496" s="4" t="n">
        <v>2</v>
      </c>
      <c r="D496" s="4"/>
      <c r="E496" s="4"/>
      <c r="F496" s="4"/>
      <c r="G496" s="4"/>
      <c r="H496" s="14" t="b">
        <f aca="false">FALSE()</f>
        <v>0</v>
      </c>
      <c r="I496" s="14" t="b">
        <f aca="false">FALSE()</f>
        <v>0</v>
      </c>
      <c r="J496" s="4"/>
      <c r="K496" s="4" t="s">
        <v>2032</v>
      </c>
      <c r="L496" s="4" t="s">
        <v>2033</v>
      </c>
      <c r="M496" s="4" t="s">
        <v>2034</v>
      </c>
      <c r="N496" s="6" t="n">
        <v>21641</v>
      </c>
      <c r="O496" s="6" t="n">
        <v>66270</v>
      </c>
      <c r="P496" s="4" t="s">
        <v>46</v>
      </c>
      <c r="Q496" s="6" t="n">
        <v>350000</v>
      </c>
      <c r="R496" s="15" t="n">
        <v>44487</v>
      </c>
      <c r="S496" s="6"/>
      <c r="T496" s="15"/>
      <c r="U496" s="6"/>
      <c r="V496" s="15"/>
      <c r="W496" s="4" t="s">
        <v>47</v>
      </c>
      <c r="X496" s="4" t="s">
        <v>58</v>
      </c>
      <c r="Y496" s="4" t="s">
        <v>2035</v>
      </c>
      <c r="Z496" s="4" t="s">
        <v>910</v>
      </c>
      <c r="AA496" s="6" t="n">
        <v>0</v>
      </c>
      <c r="AB496" s="6" t="n">
        <v>5764.78</v>
      </c>
      <c r="AC496" s="6" t="n">
        <v>6163.91</v>
      </c>
      <c r="AD496" s="14" t="b">
        <f aca="false">FALSE()</f>
        <v>0</v>
      </c>
    </row>
    <row r="497" customFormat="false" ht="15" hidden="false" customHeight="false" outlineLevel="0" collapsed="false">
      <c r="A497" s="14" t="b">
        <f aca="false">TRUE()</f>
        <v>1</v>
      </c>
      <c r="B497" s="14" t="b">
        <f aca="false">FALSE()</f>
        <v>0</v>
      </c>
      <c r="C497" s="4" t="n">
        <v>2</v>
      </c>
      <c r="D497" s="4"/>
      <c r="E497" s="4"/>
      <c r="F497" s="4"/>
      <c r="G497" s="4"/>
      <c r="H497" s="14" t="b">
        <f aca="false">FALSE()</f>
        <v>0</v>
      </c>
      <c r="I497" s="14" t="b">
        <f aca="false">FALSE()</f>
        <v>0</v>
      </c>
      <c r="J497" s="4"/>
      <c r="K497" s="4" t="s">
        <v>2036</v>
      </c>
      <c r="L497" s="4" t="s">
        <v>2037</v>
      </c>
      <c r="M497" s="4" t="s">
        <v>2038</v>
      </c>
      <c r="N497" s="6" t="n">
        <v>22706</v>
      </c>
      <c r="O497" s="6" t="n">
        <v>54385</v>
      </c>
      <c r="P497" s="4" t="s">
        <v>46</v>
      </c>
      <c r="Q497" s="6" t="n">
        <v>222000</v>
      </c>
      <c r="R497" s="15" t="n">
        <v>45104</v>
      </c>
      <c r="S497" s="6"/>
      <c r="T497" s="15"/>
      <c r="U497" s="6"/>
      <c r="V497" s="15"/>
      <c r="W497" s="4" t="s">
        <v>47</v>
      </c>
      <c r="X497" s="4" t="s">
        <v>47</v>
      </c>
      <c r="Y497" s="4" t="s">
        <v>2039</v>
      </c>
      <c r="Z497" s="4" t="s">
        <v>910</v>
      </c>
      <c r="AA497" s="6" t="n">
        <v>0</v>
      </c>
      <c r="AB497" s="6" t="n">
        <v>5055.26</v>
      </c>
      <c r="AC497" s="6" t="n">
        <v>5406.49</v>
      </c>
      <c r="AD497" s="14" t="b">
        <f aca="false">FALSE()</f>
        <v>0</v>
      </c>
    </row>
    <row r="498" customFormat="false" ht="15" hidden="false" customHeight="false" outlineLevel="0" collapsed="false">
      <c r="A498" s="14" t="b">
        <f aca="false">TRUE()</f>
        <v>1</v>
      </c>
      <c r="B498" s="14" t="b">
        <f aca="false">FALSE()</f>
        <v>0</v>
      </c>
      <c r="C498" s="4" t="n">
        <v>2</v>
      </c>
      <c r="D498" s="4"/>
      <c r="E498" s="4"/>
      <c r="F498" s="4"/>
      <c r="G498" s="4"/>
      <c r="H498" s="14" t="b">
        <f aca="false">FALSE()</f>
        <v>0</v>
      </c>
      <c r="I498" s="14" t="b">
        <f aca="false">FALSE()</f>
        <v>0</v>
      </c>
      <c r="J498" s="4"/>
      <c r="K498" s="4" t="s">
        <v>2040</v>
      </c>
      <c r="L498" s="4" t="s">
        <v>2041</v>
      </c>
      <c r="M498" s="4" t="s">
        <v>2042</v>
      </c>
      <c r="N498" s="6" t="n">
        <v>21641</v>
      </c>
      <c r="O498" s="6" t="n">
        <v>260595</v>
      </c>
      <c r="P498" s="4" t="s">
        <v>46</v>
      </c>
      <c r="Q498" s="6" t="n">
        <v>107500</v>
      </c>
      <c r="R498" s="15" t="n">
        <v>42916</v>
      </c>
      <c r="S498" s="6" t="n">
        <v>591759.22</v>
      </c>
      <c r="T498" s="15" t="n">
        <v>44098</v>
      </c>
      <c r="U498" s="6"/>
      <c r="V498" s="15"/>
      <c r="W498" s="4" t="s">
        <v>47</v>
      </c>
      <c r="X498" s="4" t="s">
        <v>58</v>
      </c>
      <c r="Y498" s="4" t="s">
        <v>2043</v>
      </c>
      <c r="Z498" s="4" t="s">
        <v>910</v>
      </c>
      <c r="AA498" s="6" t="n">
        <v>0</v>
      </c>
      <c r="AB498" s="6" t="n">
        <v>17983.04</v>
      </c>
      <c r="AC498" s="6" t="n">
        <v>9406.14</v>
      </c>
      <c r="AD498" s="14" t="b">
        <f aca="false">TRUE()</f>
        <v>1</v>
      </c>
    </row>
    <row r="499" customFormat="false" ht="15" hidden="false" customHeight="false" outlineLevel="0" collapsed="false">
      <c r="A499" s="14" t="b">
        <f aca="false">TRUE()</f>
        <v>1</v>
      </c>
      <c r="B499" s="14" t="b">
        <f aca="false">FALSE()</f>
        <v>0</v>
      </c>
      <c r="C499" s="4" t="n">
        <v>3</v>
      </c>
      <c r="D499" s="4"/>
      <c r="E499" s="4"/>
      <c r="F499" s="4"/>
      <c r="G499" s="4" t="n">
        <v>3</v>
      </c>
      <c r="H499" s="14" t="b">
        <f aca="false">FALSE()</f>
        <v>0</v>
      </c>
      <c r="I499" s="14" t="b">
        <f aca="false">FALSE()</f>
        <v>0</v>
      </c>
      <c r="J499" s="4"/>
      <c r="K499" s="4" t="s">
        <v>2044</v>
      </c>
      <c r="L499" s="4" t="s">
        <v>2045</v>
      </c>
      <c r="M499" s="4" t="s">
        <v>2046</v>
      </c>
      <c r="N499" s="6" t="n">
        <v>21478</v>
      </c>
      <c r="O499" s="6" t="n">
        <v>143427</v>
      </c>
      <c r="P499" s="4" t="s">
        <v>46</v>
      </c>
      <c r="Q499" s="6" t="n">
        <v>450000</v>
      </c>
      <c r="R499" s="15" t="n">
        <v>44704</v>
      </c>
      <c r="S499" s="6" t="n">
        <v>314550</v>
      </c>
      <c r="T499" s="15" t="n">
        <v>44704</v>
      </c>
      <c r="U499" s="6"/>
      <c r="V499" s="15"/>
      <c r="W499" s="4" t="s">
        <v>47</v>
      </c>
      <c r="X499" s="4" t="s">
        <v>47</v>
      </c>
      <c r="Y499" s="4" t="s">
        <v>2047</v>
      </c>
      <c r="Z499" s="4" t="s">
        <v>877</v>
      </c>
      <c r="AA499" s="6" t="n">
        <v>0</v>
      </c>
      <c r="AB499" s="6" t="n">
        <v>11708.28</v>
      </c>
      <c r="AC499" s="6" t="n">
        <v>12508.59</v>
      </c>
      <c r="AD499" s="14" t="b">
        <f aca="false">FALSE()</f>
        <v>0</v>
      </c>
    </row>
    <row r="500" customFormat="false" ht="15" hidden="false" customHeight="false" outlineLevel="0" collapsed="false">
      <c r="A500" s="14" t="b">
        <f aca="false">TRUE()</f>
        <v>1</v>
      </c>
      <c r="B500" s="14" t="b">
        <f aca="false">FALSE()</f>
        <v>0</v>
      </c>
      <c r="C500" s="4" t="n">
        <v>3</v>
      </c>
      <c r="D500" s="4"/>
      <c r="E500" s="4"/>
      <c r="F500" s="4"/>
      <c r="G500" s="4"/>
      <c r="H500" s="14" t="b">
        <f aca="false">TRUE()</f>
        <v>1</v>
      </c>
      <c r="I500" s="14" t="b">
        <f aca="false">FALSE()</f>
        <v>0</v>
      </c>
      <c r="J500" s="4"/>
      <c r="K500" s="4" t="s">
        <v>2048</v>
      </c>
      <c r="L500" s="4" t="s">
        <v>2049</v>
      </c>
      <c r="M500" s="4" t="s">
        <v>2050</v>
      </c>
      <c r="N500" s="6" t="n">
        <v>28844</v>
      </c>
      <c r="O500" s="6" t="n">
        <v>74657</v>
      </c>
      <c r="P500" s="4" t="s">
        <v>46</v>
      </c>
      <c r="Q500" s="6"/>
      <c r="R500" s="15"/>
      <c r="S500" s="6" t="n">
        <v>40000</v>
      </c>
      <c r="T500" s="15" t="n">
        <v>38250</v>
      </c>
      <c r="U500" s="6"/>
      <c r="V500" s="15"/>
      <c r="W500" s="4" t="s">
        <v>47</v>
      </c>
      <c r="X500" s="4" t="s">
        <v>47</v>
      </c>
      <c r="Y500" s="4" t="s">
        <v>2051</v>
      </c>
      <c r="Z500" s="4" t="s">
        <v>910</v>
      </c>
      <c r="AA500" s="6" t="n">
        <v>0</v>
      </c>
      <c r="AB500" s="6" t="n">
        <v>6708.38</v>
      </c>
      <c r="AC500" s="6" t="n">
        <v>7171.2</v>
      </c>
      <c r="AD500" s="14" t="b">
        <f aca="false">FALSE()</f>
        <v>0</v>
      </c>
    </row>
    <row r="501" customFormat="false" ht="15" hidden="false" customHeight="false" outlineLevel="0" collapsed="false">
      <c r="A501" s="14" t="b">
        <f aca="false">TRUE()</f>
        <v>1</v>
      </c>
      <c r="B501" s="14" t="b">
        <f aca="false">FALSE()</f>
        <v>0</v>
      </c>
      <c r="C501" s="4" t="n">
        <v>3</v>
      </c>
      <c r="D501" s="4"/>
      <c r="E501" s="4"/>
      <c r="F501" s="4"/>
      <c r="G501" s="4" t="n">
        <v>2</v>
      </c>
      <c r="H501" s="14" t="b">
        <f aca="false">TRUE()</f>
        <v>1</v>
      </c>
      <c r="I501" s="14" t="b">
        <f aca="false">FALSE()</f>
        <v>0</v>
      </c>
      <c r="J501" s="4"/>
      <c r="K501" s="4" t="s">
        <v>2052</v>
      </c>
      <c r="L501" s="4" t="s">
        <v>2053</v>
      </c>
      <c r="M501" s="4" t="s">
        <v>2054</v>
      </c>
      <c r="N501" s="6" t="n">
        <v>21065</v>
      </c>
      <c r="O501" s="6" t="n">
        <v>124165</v>
      </c>
      <c r="P501" s="4" t="s">
        <v>46</v>
      </c>
      <c r="Q501" s="6"/>
      <c r="R501" s="15" t="n">
        <v>40093</v>
      </c>
      <c r="S501" s="6" t="n">
        <v>149000</v>
      </c>
      <c r="T501" s="15" t="n">
        <v>41905</v>
      </c>
      <c r="U501" s="6" t="n">
        <v>100000</v>
      </c>
      <c r="V501" s="15" t="n">
        <v>41793</v>
      </c>
      <c r="W501" s="4" t="s">
        <v>47</v>
      </c>
      <c r="X501" s="4" t="s">
        <v>58</v>
      </c>
      <c r="Y501" s="4" t="s">
        <v>2055</v>
      </c>
      <c r="Z501" s="4" t="s">
        <v>877</v>
      </c>
      <c r="AA501" s="6" t="n">
        <v>0</v>
      </c>
      <c r="AB501" s="6" t="n">
        <v>9472.44</v>
      </c>
      <c r="AC501" s="6" t="n">
        <v>10121.83</v>
      </c>
      <c r="AD501" s="14" t="b">
        <f aca="false">FALSE()</f>
        <v>0</v>
      </c>
    </row>
    <row r="502" customFormat="false" ht="15" hidden="false" customHeight="false" outlineLevel="0" collapsed="false">
      <c r="A502" s="14" t="b">
        <f aca="false">TRUE()</f>
        <v>1</v>
      </c>
      <c r="B502" s="14" t="b">
        <f aca="false">FALSE()</f>
        <v>0</v>
      </c>
      <c r="C502" s="4" t="n">
        <v>3</v>
      </c>
      <c r="D502" s="4"/>
      <c r="E502" s="4"/>
      <c r="F502" s="4"/>
      <c r="G502" s="4"/>
      <c r="H502" s="14" t="b">
        <f aca="false">FALSE()</f>
        <v>0</v>
      </c>
      <c r="I502" s="14" t="b">
        <f aca="false">FALSE()</f>
        <v>0</v>
      </c>
      <c r="J502" s="4"/>
      <c r="K502" s="4" t="s">
        <v>2056</v>
      </c>
      <c r="L502" s="4" t="s">
        <v>2057</v>
      </c>
      <c r="M502" s="4" t="s">
        <v>2058</v>
      </c>
      <c r="N502" s="6" t="n">
        <v>51734</v>
      </c>
      <c r="O502" s="6" t="n">
        <v>158604</v>
      </c>
      <c r="P502" s="4" t="s">
        <v>46</v>
      </c>
      <c r="Q502" s="6"/>
      <c r="R502" s="15"/>
      <c r="S502" s="6"/>
      <c r="T502" s="15"/>
      <c r="U502" s="6"/>
      <c r="V502" s="15"/>
      <c r="W502" s="4" t="s">
        <v>47</v>
      </c>
      <c r="X502" s="4" t="s">
        <v>47</v>
      </c>
      <c r="Y502" s="4" t="s">
        <v>2059</v>
      </c>
      <c r="Z502" s="4" t="s">
        <v>877</v>
      </c>
      <c r="AA502" s="6" t="n">
        <v>0</v>
      </c>
      <c r="AB502" s="6" t="n">
        <v>13414.38</v>
      </c>
      <c r="AC502" s="6" t="n">
        <v>14329.85</v>
      </c>
      <c r="AD502" s="14" t="b">
        <f aca="false">FALSE()</f>
        <v>0</v>
      </c>
    </row>
    <row r="503" customFormat="false" ht="15" hidden="false" customHeight="false" outlineLevel="0" collapsed="false">
      <c r="A503" s="14" t="b">
        <f aca="false">TRUE()</f>
        <v>1</v>
      </c>
      <c r="B503" s="14" t="b">
        <f aca="false">FALSE()</f>
        <v>0</v>
      </c>
      <c r="C503" s="4" t="n">
        <v>2</v>
      </c>
      <c r="D503" s="4"/>
      <c r="E503" s="4"/>
      <c r="F503" s="4"/>
      <c r="G503" s="4"/>
      <c r="H503" s="14" t="b">
        <f aca="false">FALSE()</f>
        <v>0</v>
      </c>
      <c r="I503" s="14" t="b">
        <f aca="false">FALSE()</f>
        <v>0</v>
      </c>
      <c r="J503" s="4"/>
      <c r="K503" s="4" t="s">
        <v>2060</v>
      </c>
      <c r="L503" s="4" t="s">
        <v>2061</v>
      </c>
      <c r="M503" s="4" t="s">
        <v>2062</v>
      </c>
      <c r="N503" s="6" t="n">
        <v>71311</v>
      </c>
      <c r="O503" s="6" t="n">
        <v>172444</v>
      </c>
      <c r="P503" s="4" t="s">
        <v>46</v>
      </c>
      <c r="Q503" s="6"/>
      <c r="R503" s="15" t="n">
        <v>45566</v>
      </c>
      <c r="S503" s="6"/>
      <c r="T503" s="15"/>
      <c r="U503" s="6"/>
      <c r="V503" s="15"/>
      <c r="W503" s="4" t="s">
        <v>58</v>
      </c>
      <c r="X503" s="4" t="s">
        <v>58</v>
      </c>
      <c r="Y503" s="4" t="s">
        <v>2063</v>
      </c>
      <c r="Z503" s="4" t="s">
        <v>877</v>
      </c>
      <c r="AA503" s="6" t="n">
        <v>0</v>
      </c>
      <c r="AB503" s="6" t="n">
        <v>16596.92</v>
      </c>
      <c r="AC503" s="6" t="n">
        <v>8681.89</v>
      </c>
      <c r="AD503" s="14" t="b">
        <f aca="false">TRUE()</f>
        <v>1</v>
      </c>
    </row>
    <row r="504" customFormat="false" ht="15" hidden="false" customHeight="false" outlineLevel="0" collapsed="false">
      <c r="A504" s="14" t="b">
        <f aca="false">TRUE()</f>
        <v>1</v>
      </c>
      <c r="B504" s="14" t="b">
        <f aca="false">FALSE()</f>
        <v>0</v>
      </c>
      <c r="C504" s="4" t="n">
        <v>2</v>
      </c>
      <c r="D504" s="4"/>
      <c r="E504" s="4"/>
      <c r="F504" s="4"/>
      <c r="G504" s="4" t="n">
        <v>2</v>
      </c>
      <c r="H504" s="14" t="b">
        <f aca="false">FALSE()</f>
        <v>0</v>
      </c>
      <c r="I504" s="14" t="b">
        <f aca="false">FALSE()</f>
        <v>0</v>
      </c>
      <c r="J504" s="4"/>
      <c r="K504" s="4" t="s">
        <v>2064</v>
      </c>
      <c r="L504" s="4" t="s">
        <v>2065</v>
      </c>
      <c r="M504" s="4" t="s">
        <v>2066</v>
      </c>
      <c r="N504" s="6" t="n">
        <v>6920</v>
      </c>
      <c r="O504" s="6" t="n">
        <v>61881</v>
      </c>
      <c r="P504" s="4" t="s">
        <v>46</v>
      </c>
      <c r="Q504" s="6" t="n">
        <v>150000</v>
      </c>
      <c r="R504" s="15" t="n">
        <v>40192</v>
      </c>
      <c r="S504" s="6"/>
      <c r="T504" s="15"/>
      <c r="U504" s="6"/>
      <c r="V504" s="15"/>
      <c r="W504" s="4" t="s">
        <v>47</v>
      </c>
      <c r="X504" s="4" t="s">
        <v>58</v>
      </c>
      <c r="Y504" s="4" t="s">
        <v>2067</v>
      </c>
      <c r="Z504" s="4" t="s">
        <v>1624</v>
      </c>
      <c r="AA504" s="6" t="n">
        <v>0</v>
      </c>
      <c r="AB504" s="6" t="n">
        <v>3403.12</v>
      </c>
      <c r="AC504" s="6" t="n">
        <v>3642.83</v>
      </c>
      <c r="AD504" s="14" t="b">
        <f aca="false">FALSE()</f>
        <v>0</v>
      </c>
    </row>
    <row r="505" customFormat="false" ht="15" hidden="false" customHeight="false" outlineLevel="0" collapsed="false">
      <c r="A505" s="14" t="b">
        <f aca="false">TRUE()</f>
        <v>1</v>
      </c>
      <c r="B505" s="14" t="b">
        <f aca="false">FALSE()</f>
        <v>0</v>
      </c>
      <c r="C505" s="4" t="n">
        <v>2</v>
      </c>
      <c r="D505" s="4"/>
      <c r="E505" s="4"/>
      <c r="F505" s="4"/>
      <c r="G505" s="4"/>
      <c r="H505" s="14" t="b">
        <f aca="false">FALSE()</f>
        <v>0</v>
      </c>
      <c r="I505" s="14" t="b">
        <f aca="false">FALSE()</f>
        <v>0</v>
      </c>
      <c r="J505" s="4"/>
      <c r="K505" s="4" t="s">
        <v>2068</v>
      </c>
      <c r="L505" s="4" t="s">
        <v>2069</v>
      </c>
      <c r="M505" s="4" t="s">
        <v>2070</v>
      </c>
      <c r="N505" s="6" t="n">
        <v>6920</v>
      </c>
      <c r="O505" s="6" t="n">
        <v>56438</v>
      </c>
      <c r="P505" s="4" t="s">
        <v>46</v>
      </c>
      <c r="Q505" s="6" t="n">
        <v>206000</v>
      </c>
      <c r="R505" s="15" t="n">
        <v>45068</v>
      </c>
      <c r="S505" s="6"/>
      <c r="T505" s="15"/>
      <c r="U505" s="6"/>
      <c r="V505" s="15"/>
      <c r="W505" s="4" t="s">
        <v>47</v>
      </c>
      <c r="X505" s="4" t="s">
        <v>47</v>
      </c>
      <c r="Y505" s="4" t="s">
        <v>2071</v>
      </c>
      <c r="Z505" s="4" t="s">
        <v>1624</v>
      </c>
      <c r="AA505" s="6" t="n">
        <v>0</v>
      </c>
      <c r="AB505" s="6" t="n">
        <v>3439.04</v>
      </c>
      <c r="AC505" s="6" t="n">
        <v>1806.9</v>
      </c>
      <c r="AD505" s="14" t="b">
        <f aca="false">TRUE()</f>
        <v>1</v>
      </c>
    </row>
    <row r="506" customFormat="false" ht="15" hidden="false" customHeight="false" outlineLevel="0" collapsed="false">
      <c r="A506" s="14" t="b">
        <f aca="false">TRUE()</f>
        <v>1</v>
      </c>
      <c r="B506" s="14" t="b">
        <f aca="false">FALSE()</f>
        <v>0</v>
      </c>
      <c r="C506" s="4" t="n">
        <v>2</v>
      </c>
      <c r="D506" s="4"/>
      <c r="E506" s="4"/>
      <c r="F506" s="4"/>
      <c r="G506" s="4"/>
      <c r="H506" s="14" t="b">
        <f aca="false">FALSE()</f>
        <v>0</v>
      </c>
      <c r="I506" s="14" t="b">
        <f aca="false">FALSE()</f>
        <v>0</v>
      </c>
      <c r="J506" s="4"/>
      <c r="K506" s="4" t="s">
        <v>2072</v>
      </c>
      <c r="L506" s="4" t="s">
        <v>2073</v>
      </c>
      <c r="M506" s="4" t="s">
        <v>2074</v>
      </c>
      <c r="N506" s="6" t="n">
        <v>6203</v>
      </c>
      <c r="O506" s="6" t="n">
        <v>64261</v>
      </c>
      <c r="P506" s="4" t="s">
        <v>46</v>
      </c>
      <c r="Q506" s="6"/>
      <c r="R506" s="15" t="n">
        <v>45553</v>
      </c>
      <c r="S506" s="6"/>
      <c r="T506" s="15"/>
      <c r="U506" s="6"/>
      <c r="V506" s="15"/>
      <c r="W506" s="4" t="s">
        <v>47</v>
      </c>
      <c r="X506" s="4" t="s">
        <v>47</v>
      </c>
      <c r="Y506" s="4" t="s">
        <v>2075</v>
      </c>
      <c r="Z506" s="4" t="s">
        <v>1624</v>
      </c>
      <c r="AA506" s="6" t="n">
        <v>0</v>
      </c>
      <c r="AB506" s="6" t="n">
        <v>5323</v>
      </c>
      <c r="AC506" s="6" t="n">
        <v>2791.27</v>
      </c>
      <c r="AD506" s="14" t="b">
        <f aca="false">TRUE()</f>
        <v>1</v>
      </c>
    </row>
    <row r="507" customFormat="false" ht="15" hidden="false" customHeight="false" outlineLevel="0" collapsed="false">
      <c r="A507" s="14" t="b">
        <f aca="false">TRUE()</f>
        <v>1</v>
      </c>
      <c r="B507" s="14" t="b">
        <f aca="false">FALSE()</f>
        <v>0</v>
      </c>
      <c r="C507" s="4" t="n">
        <v>2</v>
      </c>
      <c r="D507" s="4"/>
      <c r="E507" s="4"/>
      <c r="F507" s="4"/>
      <c r="G507" s="4"/>
      <c r="H507" s="14" t="b">
        <f aca="false">FALSE()</f>
        <v>0</v>
      </c>
      <c r="I507" s="14" t="b">
        <f aca="false">FALSE()</f>
        <v>0</v>
      </c>
      <c r="J507" s="4"/>
      <c r="K507" s="4" t="s">
        <v>2076</v>
      </c>
      <c r="L507" s="4" t="s">
        <v>2077</v>
      </c>
      <c r="M507" s="4" t="s">
        <v>2078</v>
      </c>
      <c r="N507" s="6" t="n">
        <v>6203</v>
      </c>
      <c r="O507" s="6" t="n">
        <v>64261</v>
      </c>
      <c r="P507" s="4" t="s">
        <v>46</v>
      </c>
      <c r="Q507" s="6" t="n">
        <v>229000</v>
      </c>
      <c r="R507" s="15" t="n">
        <v>45324</v>
      </c>
      <c r="S507" s="6"/>
      <c r="T507" s="15"/>
      <c r="U507" s="6"/>
      <c r="V507" s="15"/>
      <c r="W507" s="4" t="s">
        <v>47</v>
      </c>
      <c r="X507" s="4" t="s">
        <v>47</v>
      </c>
      <c r="Y507" s="4" t="s">
        <v>2079</v>
      </c>
      <c r="Z507" s="4" t="s">
        <v>1624</v>
      </c>
      <c r="AA507" s="6" t="n">
        <v>0</v>
      </c>
      <c r="AB507" s="6" t="n">
        <v>5323</v>
      </c>
      <c r="AC507" s="6" t="n">
        <v>5692.31</v>
      </c>
      <c r="AD507" s="14" t="b">
        <f aca="false">FALSE()</f>
        <v>0</v>
      </c>
    </row>
    <row r="508" customFormat="false" ht="15" hidden="false" customHeight="false" outlineLevel="0" collapsed="false">
      <c r="A508" s="14" t="b">
        <f aca="false">TRUE()</f>
        <v>1</v>
      </c>
      <c r="B508" s="14" t="b">
        <f aca="false">FALSE()</f>
        <v>0</v>
      </c>
      <c r="C508" s="4" t="n">
        <v>2</v>
      </c>
      <c r="D508" s="4"/>
      <c r="E508" s="4"/>
      <c r="F508" s="4"/>
      <c r="G508" s="4"/>
      <c r="H508" s="14" t="b">
        <f aca="false">FALSE()</f>
        <v>0</v>
      </c>
      <c r="I508" s="14" t="b">
        <f aca="false">FALSE()</f>
        <v>0</v>
      </c>
      <c r="J508" s="4"/>
      <c r="K508" s="4" t="s">
        <v>2080</v>
      </c>
      <c r="L508" s="4" t="s">
        <v>2081</v>
      </c>
      <c r="M508" s="4" t="s">
        <v>2082</v>
      </c>
      <c r="N508" s="6" t="n">
        <v>6203</v>
      </c>
      <c r="O508" s="6" t="n">
        <v>62023</v>
      </c>
      <c r="P508" s="4" t="s">
        <v>46</v>
      </c>
      <c r="Q508" s="6" t="n">
        <v>128000</v>
      </c>
      <c r="R508" s="15" t="n">
        <v>36599</v>
      </c>
      <c r="S508" s="6"/>
      <c r="T508" s="15"/>
      <c r="U508" s="6"/>
      <c r="V508" s="15"/>
      <c r="W508" s="4" t="s">
        <v>47</v>
      </c>
      <c r="X508" s="4" t="s">
        <v>58</v>
      </c>
      <c r="Y508" s="4" t="s">
        <v>2083</v>
      </c>
      <c r="Z508" s="4" t="s">
        <v>1624</v>
      </c>
      <c r="AA508" s="6" t="n">
        <v>0</v>
      </c>
      <c r="AB508" s="6" t="n">
        <v>5153.94</v>
      </c>
      <c r="AC508" s="6" t="n">
        <v>5511.83</v>
      </c>
      <c r="AD508" s="14" t="b">
        <f aca="false">FALSE()</f>
        <v>0</v>
      </c>
    </row>
    <row r="509" customFormat="false" ht="15" hidden="false" customHeight="false" outlineLevel="0" collapsed="false">
      <c r="A509" s="14" t="b">
        <f aca="false">TRUE()</f>
        <v>1</v>
      </c>
      <c r="B509" s="14" t="b">
        <f aca="false">FALSE()</f>
        <v>0</v>
      </c>
      <c r="C509" s="4" t="n">
        <v>2</v>
      </c>
      <c r="D509" s="4"/>
      <c r="E509" s="4"/>
      <c r="F509" s="4"/>
      <c r="G509" s="4"/>
      <c r="H509" s="14" t="b">
        <f aca="false">FALSE()</f>
        <v>0</v>
      </c>
      <c r="I509" s="14" t="b">
        <f aca="false">FALSE()</f>
        <v>0</v>
      </c>
      <c r="J509" s="4"/>
      <c r="K509" s="4" t="s">
        <v>2084</v>
      </c>
      <c r="L509" s="4" t="s">
        <v>2085</v>
      </c>
      <c r="M509" s="4" t="s">
        <v>2086</v>
      </c>
      <c r="N509" s="6" t="n">
        <v>18110</v>
      </c>
      <c r="O509" s="6" t="n">
        <v>97809</v>
      </c>
      <c r="P509" s="4" t="s">
        <v>46</v>
      </c>
      <c r="Q509" s="6" t="n">
        <v>320000</v>
      </c>
      <c r="R509" s="15" t="n">
        <v>41967</v>
      </c>
      <c r="S509" s="6" t="n">
        <v>215000</v>
      </c>
      <c r="T509" s="15" t="n">
        <v>44159</v>
      </c>
      <c r="U509" s="6" t="n">
        <v>99977.5</v>
      </c>
      <c r="V509" s="15" t="n">
        <v>45840</v>
      </c>
      <c r="W509" s="4" t="s">
        <v>47</v>
      </c>
      <c r="X509" s="4" t="s">
        <v>47</v>
      </c>
      <c r="Y509" s="4" t="s">
        <v>2087</v>
      </c>
      <c r="Z509" s="4" t="s">
        <v>877</v>
      </c>
      <c r="AA509" s="6" t="n">
        <v>0</v>
      </c>
      <c r="AB509" s="6" t="n">
        <v>8064.06</v>
      </c>
      <c r="AC509" s="6" t="n">
        <v>4223.47</v>
      </c>
      <c r="AD509" s="14" t="b">
        <f aca="false">TRUE()</f>
        <v>1</v>
      </c>
    </row>
    <row r="510" customFormat="false" ht="15" hidden="false" customHeight="false" outlineLevel="0" collapsed="false">
      <c r="A510" s="14" t="b">
        <f aca="false">TRUE()</f>
        <v>1</v>
      </c>
      <c r="B510" s="14" t="b">
        <f aca="false">FALSE()</f>
        <v>0</v>
      </c>
      <c r="C510" s="4" t="n">
        <v>3</v>
      </c>
      <c r="D510" s="4"/>
      <c r="E510" s="4"/>
      <c r="F510" s="4"/>
      <c r="G510" s="4"/>
      <c r="H510" s="14" t="b">
        <f aca="false">FALSE()</f>
        <v>0</v>
      </c>
      <c r="I510" s="14" t="b">
        <f aca="false">FALSE()</f>
        <v>0</v>
      </c>
      <c r="J510" s="4"/>
      <c r="K510" s="4" t="s">
        <v>2088</v>
      </c>
      <c r="L510" s="4" t="s">
        <v>2089</v>
      </c>
      <c r="M510" s="4" t="s">
        <v>2090</v>
      </c>
      <c r="N510" s="6" t="n">
        <v>21837</v>
      </c>
      <c r="O510" s="6" t="n">
        <v>96733</v>
      </c>
      <c r="P510" s="4" t="s">
        <v>46</v>
      </c>
      <c r="Q510" s="6"/>
      <c r="R510" s="15"/>
      <c r="S510" s="6" t="n">
        <v>111500</v>
      </c>
      <c r="T510" s="15" t="n">
        <v>41828</v>
      </c>
      <c r="U510" s="6"/>
      <c r="V510" s="15"/>
      <c r="W510" s="4" t="s">
        <v>47</v>
      </c>
      <c r="X510" s="4" t="s">
        <v>47</v>
      </c>
      <c r="Y510" s="4" t="s">
        <v>2091</v>
      </c>
      <c r="Z510" s="4" t="s">
        <v>877</v>
      </c>
      <c r="AA510" s="6" t="n">
        <v>0</v>
      </c>
      <c r="AB510" s="6" t="n">
        <v>7664.34</v>
      </c>
      <c r="AC510" s="6" t="n">
        <v>8191.69</v>
      </c>
      <c r="AD510" s="14" t="b">
        <f aca="false">FALSE()</f>
        <v>0</v>
      </c>
    </row>
    <row r="511" customFormat="false" ht="15" hidden="false" customHeight="false" outlineLevel="0" collapsed="false">
      <c r="A511" s="14" t="b">
        <f aca="false">TRUE()</f>
        <v>1</v>
      </c>
      <c r="B511" s="14" t="b">
        <f aca="false">FALSE()</f>
        <v>0</v>
      </c>
      <c r="C511" s="4" t="n">
        <v>3</v>
      </c>
      <c r="D511" s="4"/>
      <c r="E511" s="4"/>
      <c r="F511" s="4"/>
      <c r="G511" s="4"/>
      <c r="H511" s="14" t="b">
        <f aca="false">TRUE()</f>
        <v>1</v>
      </c>
      <c r="I511" s="14" t="b">
        <f aca="false">FALSE()</f>
        <v>0</v>
      </c>
      <c r="J511" s="4"/>
      <c r="K511" s="4" t="s">
        <v>2092</v>
      </c>
      <c r="L511" s="4" t="s">
        <v>2093</v>
      </c>
      <c r="M511" s="4" t="s">
        <v>2094</v>
      </c>
      <c r="N511" s="6" t="n">
        <v>36123</v>
      </c>
      <c r="O511" s="6" t="n">
        <v>160461</v>
      </c>
      <c r="P511" s="4" t="s">
        <v>46</v>
      </c>
      <c r="Q511" s="6" t="n">
        <v>300000</v>
      </c>
      <c r="R511" s="15" t="n">
        <v>35678</v>
      </c>
      <c r="S511" s="6" t="n">
        <v>294000</v>
      </c>
      <c r="T511" s="15" t="n">
        <v>42250</v>
      </c>
      <c r="U511" s="6"/>
      <c r="V511" s="15"/>
      <c r="W511" s="4" t="s">
        <v>47</v>
      </c>
      <c r="X511" s="4" t="s">
        <v>58</v>
      </c>
      <c r="Y511" s="4" t="s">
        <v>2095</v>
      </c>
      <c r="Z511" s="4" t="s">
        <v>1624</v>
      </c>
      <c r="AA511" s="6" t="n">
        <v>0</v>
      </c>
      <c r="AB511" s="6" t="n">
        <v>12041.1</v>
      </c>
      <c r="AC511" s="6" t="n">
        <v>12863.87</v>
      </c>
      <c r="AD511" s="14" t="b">
        <f aca="false">FALSE()</f>
        <v>0</v>
      </c>
    </row>
    <row r="512" customFormat="false" ht="15" hidden="false" customHeight="false" outlineLevel="0" collapsed="false">
      <c r="A512" s="14" t="b">
        <f aca="false">TRUE()</f>
        <v>1</v>
      </c>
      <c r="B512" s="14" t="b">
        <f aca="false">FALSE()</f>
        <v>0</v>
      </c>
      <c r="C512" s="4" t="n">
        <v>3</v>
      </c>
      <c r="D512" s="4"/>
      <c r="E512" s="4"/>
      <c r="F512" s="4"/>
      <c r="G512" s="4"/>
      <c r="H512" s="14" t="b">
        <f aca="false">FALSE()</f>
        <v>0</v>
      </c>
      <c r="I512" s="14" t="b">
        <f aca="false">FALSE()</f>
        <v>0</v>
      </c>
      <c r="J512" s="4"/>
      <c r="K512" s="4" t="s">
        <v>2096</v>
      </c>
      <c r="L512" s="4" t="s">
        <v>2097</v>
      </c>
      <c r="M512" s="4" t="s">
        <v>2098</v>
      </c>
      <c r="N512" s="6" t="n">
        <v>36123</v>
      </c>
      <c r="O512" s="6" t="n">
        <v>427976</v>
      </c>
      <c r="P512" s="4" t="s">
        <v>46</v>
      </c>
      <c r="Q512" s="6" t="n">
        <v>868500</v>
      </c>
      <c r="R512" s="15" t="n">
        <v>38237</v>
      </c>
      <c r="S512" s="6"/>
      <c r="T512" s="15"/>
      <c r="U512" s="6"/>
      <c r="V512" s="15"/>
      <c r="W512" s="4" t="s">
        <v>47</v>
      </c>
      <c r="X512" s="4" t="s">
        <v>47</v>
      </c>
      <c r="Y512" s="4" t="s">
        <v>2099</v>
      </c>
      <c r="Z512" s="4" t="s">
        <v>1624</v>
      </c>
      <c r="AA512" s="6" t="n">
        <v>0</v>
      </c>
      <c r="AB512" s="6" t="n">
        <v>26625.22</v>
      </c>
      <c r="AC512" s="6" t="n">
        <v>28432.42</v>
      </c>
      <c r="AD512" s="14" t="b">
        <f aca="false">FALSE()</f>
        <v>0</v>
      </c>
    </row>
    <row r="513" customFormat="false" ht="15" hidden="false" customHeight="false" outlineLevel="0" collapsed="false">
      <c r="A513" s="14" t="b">
        <f aca="false">TRUE()</f>
        <v>1</v>
      </c>
      <c r="B513" s="14" t="b">
        <f aca="false">FALSE()</f>
        <v>0</v>
      </c>
      <c r="C513" s="4" t="n">
        <v>3</v>
      </c>
      <c r="D513" s="4"/>
      <c r="E513" s="4"/>
      <c r="F513" s="4"/>
      <c r="G513" s="4"/>
      <c r="H513" s="14" t="b">
        <f aca="false">FALSE()</f>
        <v>0</v>
      </c>
      <c r="I513" s="14" t="b">
        <f aca="false">FALSE()</f>
        <v>0</v>
      </c>
      <c r="J513" s="4"/>
      <c r="K513" s="4" t="s">
        <v>2100</v>
      </c>
      <c r="L513" s="4" t="s">
        <v>2101</v>
      </c>
      <c r="M513" s="4" t="s">
        <v>2102</v>
      </c>
      <c r="N513" s="6" t="n">
        <v>51778</v>
      </c>
      <c r="O513" s="6" t="n">
        <v>144991</v>
      </c>
      <c r="P513" s="4" t="s">
        <v>46</v>
      </c>
      <c r="Q513" s="6"/>
      <c r="R513" s="15" t="n">
        <v>45140</v>
      </c>
      <c r="S513" s="6"/>
      <c r="T513" s="15"/>
      <c r="U513" s="6"/>
      <c r="V513" s="15"/>
      <c r="W513" s="4" t="s">
        <v>47</v>
      </c>
      <c r="X513" s="4" t="s">
        <v>47</v>
      </c>
      <c r="Y513" s="4" t="s">
        <v>2103</v>
      </c>
      <c r="Z513" s="4" t="s">
        <v>1624</v>
      </c>
      <c r="AA513" s="6" t="n">
        <v>0</v>
      </c>
      <c r="AB513" s="6" t="n">
        <v>12682.14</v>
      </c>
      <c r="AC513" s="6" t="n">
        <v>13548.19</v>
      </c>
      <c r="AD513" s="14" t="b">
        <f aca="false">FALSE()</f>
        <v>0</v>
      </c>
    </row>
    <row r="514" customFormat="false" ht="15" hidden="false" customHeight="false" outlineLevel="0" collapsed="false">
      <c r="A514" s="14" t="b">
        <f aca="false">TRUE()</f>
        <v>1</v>
      </c>
      <c r="B514" s="14" t="b">
        <f aca="false">FALSE()</f>
        <v>0</v>
      </c>
      <c r="C514" s="4" t="n">
        <v>2</v>
      </c>
      <c r="D514" s="4"/>
      <c r="E514" s="4"/>
      <c r="F514" s="4"/>
      <c r="G514" s="4"/>
      <c r="H514" s="14" t="b">
        <f aca="false">FALSE()</f>
        <v>0</v>
      </c>
      <c r="I514" s="14" t="b">
        <f aca="false">FALSE()</f>
        <v>0</v>
      </c>
      <c r="J514" s="4"/>
      <c r="K514" s="4" t="s">
        <v>2104</v>
      </c>
      <c r="L514" s="4" t="s">
        <v>2105</v>
      </c>
      <c r="M514" s="4" t="s">
        <v>2106</v>
      </c>
      <c r="N514" s="6" t="n">
        <v>51767</v>
      </c>
      <c r="O514" s="6" t="n">
        <v>221017</v>
      </c>
      <c r="P514" s="4" t="s">
        <v>46</v>
      </c>
      <c r="Q514" s="6" t="n">
        <v>1582000</v>
      </c>
      <c r="R514" s="15" t="n">
        <v>45000</v>
      </c>
      <c r="S514" s="6" t="n">
        <v>593117</v>
      </c>
      <c r="T514" s="15" t="n">
        <v>45000</v>
      </c>
      <c r="U514" s="6"/>
      <c r="V514" s="15"/>
      <c r="W514" s="4" t="s">
        <v>47</v>
      </c>
      <c r="X514" s="4" t="s">
        <v>47</v>
      </c>
      <c r="Y514" s="4" t="s">
        <v>2107</v>
      </c>
      <c r="Z514" s="4" t="s">
        <v>2108</v>
      </c>
      <c r="AA514" s="6" t="n">
        <v>0</v>
      </c>
      <c r="AB514" s="6" t="n">
        <v>15968.86</v>
      </c>
      <c r="AC514" s="6" t="n">
        <v>8353.73</v>
      </c>
      <c r="AD514" s="14" t="b">
        <f aca="false">TRUE()</f>
        <v>1</v>
      </c>
    </row>
    <row r="515" customFormat="false" ht="15" hidden="false" customHeight="false" outlineLevel="0" collapsed="false">
      <c r="A515" s="14" t="b">
        <f aca="false">TRUE()</f>
        <v>1</v>
      </c>
      <c r="B515" s="14" t="b">
        <f aca="false">FALSE()</f>
        <v>0</v>
      </c>
      <c r="C515" s="4" t="n">
        <v>2</v>
      </c>
      <c r="D515" s="4"/>
      <c r="E515" s="4"/>
      <c r="F515" s="4"/>
      <c r="G515" s="4"/>
      <c r="H515" s="14" t="b">
        <f aca="false">FALSE()</f>
        <v>0</v>
      </c>
      <c r="I515" s="14" t="b">
        <f aca="false">FALSE()</f>
        <v>0</v>
      </c>
      <c r="J515" s="4"/>
      <c r="K515" s="4" t="s">
        <v>2109</v>
      </c>
      <c r="L515" s="4" t="s">
        <v>2110</v>
      </c>
      <c r="M515" s="4" t="s">
        <v>2111</v>
      </c>
      <c r="N515" s="6" t="n">
        <v>36970</v>
      </c>
      <c r="O515" s="6" t="n">
        <v>92724</v>
      </c>
      <c r="P515" s="4" t="s">
        <v>46</v>
      </c>
      <c r="Q515" s="6"/>
      <c r="R515" s="15" t="n">
        <v>44648</v>
      </c>
      <c r="S515" s="6"/>
      <c r="T515" s="15"/>
      <c r="U515" s="6"/>
      <c r="V515" s="15"/>
      <c r="W515" s="4" t="s">
        <v>47</v>
      </c>
      <c r="X515" s="4" t="s">
        <v>47</v>
      </c>
      <c r="Y515" s="4" t="s">
        <v>2112</v>
      </c>
      <c r="Z515" s="4" t="s">
        <v>1624</v>
      </c>
      <c r="AA515" s="6" t="n">
        <v>0</v>
      </c>
      <c r="AB515" s="6" t="n">
        <v>7327.82</v>
      </c>
      <c r="AC515" s="6" t="n">
        <v>3838.79</v>
      </c>
      <c r="AD515" s="14" t="b">
        <f aca="false">TRUE()</f>
        <v>1</v>
      </c>
    </row>
    <row r="516" customFormat="false" ht="15" hidden="false" customHeight="false" outlineLevel="0" collapsed="false">
      <c r="A516" s="14" t="b">
        <f aca="false">TRUE()</f>
        <v>1</v>
      </c>
      <c r="B516" s="14" t="b">
        <f aca="false">FALSE()</f>
        <v>0</v>
      </c>
      <c r="C516" s="4" t="n">
        <v>2</v>
      </c>
      <c r="D516" s="4"/>
      <c r="E516" s="4"/>
      <c r="F516" s="4"/>
      <c r="G516" s="4" t="n">
        <v>2</v>
      </c>
      <c r="H516" s="14" t="b">
        <f aca="false">FALSE()</f>
        <v>0</v>
      </c>
      <c r="I516" s="14" t="b">
        <f aca="false">FALSE()</f>
        <v>0</v>
      </c>
      <c r="J516" s="4"/>
      <c r="K516" s="4" t="s">
        <v>2113</v>
      </c>
      <c r="L516" s="4" t="s">
        <v>2114</v>
      </c>
      <c r="M516" s="4" t="s">
        <v>2115</v>
      </c>
      <c r="N516" s="6" t="n">
        <v>36970</v>
      </c>
      <c r="O516" s="6" t="n">
        <v>107032</v>
      </c>
      <c r="P516" s="4" t="s">
        <v>46</v>
      </c>
      <c r="Q516" s="6"/>
      <c r="R516" s="15"/>
      <c r="S516" s="6" t="n">
        <v>250000</v>
      </c>
      <c r="T516" s="15" t="n">
        <v>45251</v>
      </c>
      <c r="U516" s="6"/>
      <c r="V516" s="15"/>
      <c r="W516" s="4" t="s">
        <v>47</v>
      </c>
      <c r="X516" s="4" t="s">
        <v>47</v>
      </c>
      <c r="Y516" s="4" t="s">
        <v>2116</v>
      </c>
      <c r="Z516" s="4" t="s">
        <v>1624</v>
      </c>
      <c r="AA516" s="6" t="n">
        <v>0</v>
      </c>
      <c r="AB516" s="6" t="n">
        <v>8249.98</v>
      </c>
      <c r="AC516" s="6" t="n">
        <v>4320.61</v>
      </c>
      <c r="AD516" s="14" t="b">
        <f aca="false">TRUE()</f>
        <v>1</v>
      </c>
    </row>
    <row r="517" customFormat="false" ht="15" hidden="false" customHeight="false" outlineLevel="0" collapsed="false">
      <c r="A517" s="14" t="b">
        <f aca="false">TRUE()</f>
        <v>1</v>
      </c>
      <c r="B517" s="14" t="b">
        <f aca="false">FALSE()</f>
        <v>0</v>
      </c>
      <c r="C517" s="4" t="n">
        <v>3</v>
      </c>
      <c r="D517" s="4"/>
      <c r="E517" s="4"/>
      <c r="F517" s="4"/>
      <c r="G517" s="4"/>
      <c r="H517" s="14" t="b">
        <f aca="false">FALSE()</f>
        <v>0</v>
      </c>
      <c r="I517" s="14" t="b">
        <f aca="false">FALSE()</f>
        <v>0</v>
      </c>
      <c r="J517" s="4"/>
      <c r="K517" s="4" t="s">
        <v>2117</v>
      </c>
      <c r="L517" s="4" t="s">
        <v>2118</v>
      </c>
      <c r="M517" s="4" t="s">
        <v>2119</v>
      </c>
      <c r="N517" s="6" t="n">
        <v>31060</v>
      </c>
      <c r="O517" s="6" t="n">
        <v>81241</v>
      </c>
      <c r="P517" s="4" t="s">
        <v>46</v>
      </c>
      <c r="Q517" s="6" t="n">
        <v>250000</v>
      </c>
      <c r="R517" s="15" t="n">
        <v>37851</v>
      </c>
      <c r="S517" s="6" t="n">
        <v>260000</v>
      </c>
      <c r="T517" s="15" t="n">
        <v>38586</v>
      </c>
      <c r="U517" s="6"/>
      <c r="V517" s="15"/>
      <c r="W517" s="4" t="s">
        <v>47</v>
      </c>
      <c r="X517" s="4" t="s">
        <v>58</v>
      </c>
      <c r="Y517" s="4" t="s">
        <v>2120</v>
      </c>
      <c r="Z517" s="4" t="s">
        <v>877</v>
      </c>
      <c r="AA517" s="6" t="n">
        <v>0</v>
      </c>
      <c r="AB517" s="6" t="n">
        <v>7422.58</v>
      </c>
      <c r="AC517" s="6" t="n">
        <v>7933.61</v>
      </c>
      <c r="AD517" s="14" t="b">
        <f aca="false">FALSE()</f>
        <v>0</v>
      </c>
    </row>
    <row r="518" customFormat="false" ht="15" hidden="false" customHeight="false" outlineLevel="0" collapsed="false">
      <c r="A518" s="14" t="b">
        <f aca="false">TRUE()</f>
        <v>1</v>
      </c>
      <c r="B518" s="14" t="b">
        <f aca="false">FALSE()</f>
        <v>0</v>
      </c>
      <c r="C518" s="4" t="n">
        <v>2</v>
      </c>
      <c r="D518" s="4"/>
      <c r="E518" s="4"/>
      <c r="F518" s="4"/>
      <c r="G518" s="4"/>
      <c r="H518" s="14" t="b">
        <f aca="false">FALSE()</f>
        <v>0</v>
      </c>
      <c r="I518" s="14" t="b">
        <f aca="false">FALSE()</f>
        <v>0</v>
      </c>
      <c r="J518" s="4"/>
      <c r="K518" s="4" t="s">
        <v>2121</v>
      </c>
      <c r="L518" s="4" t="s">
        <v>2122</v>
      </c>
      <c r="M518" s="4" t="s">
        <v>2123</v>
      </c>
      <c r="N518" s="6" t="n">
        <v>26573</v>
      </c>
      <c r="O518" s="6" t="n">
        <v>96418</v>
      </c>
      <c r="P518" s="4" t="s">
        <v>46</v>
      </c>
      <c r="Q518" s="6" t="n">
        <v>185000</v>
      </c>
      <c r="R518" s="15" t="n">
        <v>45729</v>
      </c>
      <c r="S518" s="6"/>
      <c r="T518" s="15"/>
      <c r="U518" s="6"/>
      <c r="V518" s="15"/>
      <c r="W518" s="4" t="s">
        <v>47</v>
      </c>
      <c r="X518" s="4" t="s">
        <v>47</v>
      </c>
      <c r="Y518" s="4" t="s">
        <v>2124</v>
      </c>
      <c r="Z518" s="4" t="s">
        <v>877</v>
      </c>
      <c r="AA518" s="6" t="n">
        <v>0</v>
      </c>
      <c r="AB518" s="6" t="n">
        <v>7614</v>
      </c>
      <c r="AC518" s="6" t="n">
        <v>8137.95</v>
      </c>
      <c r="AD518" s="14" t="b">
        <f aca="false">FALSE()</f>
        <v>0</v>
      </c>
    </row>
    <row r="519" customFormat="false" ht="15" hidden="false" customHeight="false" outlineLevel="0" collapsed="false">
      <c r="A519" s="14" t="b">
        <f aca="false">TRUE()</f>
        <v>1</v>
      </c>
      <c r="B519" s="14" t="b">
        <f aca="false">FALSE()</f>
        <v>0</v>
      </c>
      <c r="C519" s="4" t="n">
        <v>2</v>
      </c>
      <c r="D519" s="4"/>
      <c r="E519" s="4"/>
      <c r="F519" s="4"/>
      <c r="G519" s="4" t="n">
        <v>2</v>
      </c>
      <c r="H519" s="14" t="b">
        <f aca="false">TRUE()</f>
        <v>1</v>
      </c>
      <c r="I519" s="14" t="b">
        <f aca="false">FALSE()</f>
        <v>0</v>
      </c>
      <c r="J519" s="4"/>
      <c r="K519" s="4" t="s">
        <v>2125</v>
      </c>
      <c r="L519" s="4" t="s">
        <v>2126</v>
      </c>
      <c r="M519" s="4" t="s">
        <v>2127</v>
      </c>
      <c r="N519" s="6" t="n">
        <v>38078</v>
      </c>
      <c r="O519" s="6" t="n">
        <v>88824</v>
      </c>
      <c r="P519" s="4" t="s">
        <v>46</v>
      </c>
      <c r="Q519" s="6" t="n">
        <v>285000</v>
      </c>
      <c r="R519" s="15" t="n">
        <v>42156</v>
      </c>
      <c r="S519" s="6"/>
      <c r="T519" s="15"/>
      <c r="U519" s="6"/>
      <c r="V519" s="15"/>
      <c r="W519" s="4" t="s">
        <v>47</v>
      </c>
      <c r="X519" s="4" t="s">
        <v>47</v>
      </c>
      <c r="Y519" s="4" t="s">
        <v>2128</v>
      </c>
      <c r="Z519" s="4" t="s">
        <v>877</v>
      </c>
      <c r="AA519" s="6" t="n">
        <v>0</v>
      </c>
      <c r="AB519" s="6" t="n">
        <v>8461.68</v>
      </c>
      <c r="AC519" s="6" t="n">
        <v>9042.85</v>
      </c>
      <c r="AD519" s="14" t="b">
        <f aca="false">FALSE()</f>
        <v>0</v>
      </c>
    </row>
    <row r="520" customFormat="false" ht="15" hidden="false" customHeight="false" outlineLevel="0" collapsed="false">
      <c r="A520" s="14" t="b">
        <f aca="false">TRUE()</f>
        <v>1</v>
      </c>
      <c r="B520" s="14" t="b">
        <f aca="false">FALSE()</f>
        <v>0</v>
      </c>
      <c r="C520" s="4" t="n">
        <v>3</v>
      </c>
      <c r="D520" s="4"/>
      <c r="E520" s="4"/>
      <c r="F520" s="4"/>
      <c r="G520" s="4" t="n">
        <v>3</v>
      </c>
      <c r="H520" s="14" t="b">
        <f aca="false">FALSE()</f>
        <v>0</v>
      </c>
      <c r="I520" s="14" t="b">
        <f aca="false">FALSE()</f>
        <v>0</v>
      </c>
      <c r="J520" s="4"/>
      <c r="K520" s="4" t="s">
        <v>2129</v>
      </c>
      <c r="L520" s="4" t="s">
        <v>2130</v>
      </c>
      <c r="M520" s="4" t="s">
        <v>2131</v>
      </c>
      <c r="N520" s="6" t="n">
        <v>24998</v>
      </c>
      <c r="O520" s="6" t="n">
        <v>68813</v>
      </c>
      <c r="P520" s="4" t="s">
        <v>46</v>
      </c>
      <c r="Q520" s="6" t="n">
        <v>340000</v>
      </c>
      <c r="R520" s="15" t="n">
        <v>45608</v>
      </c>
      <c r="S520" s="6" t="n">
        <v>323000</v>
      </c>
      <c r="T520" s="15" t="n">
        <v>45608</v>
      </c>
      <c r="U520" s="6"/>
      <c r="V520" s="15"/>
      <c r="W520" s="4" t="s">
        <v>47</v>
      </c>
      <c r="X520" s="4" t="s">
        <v>47</v>
      </c>
      <c r="Y520" s="4" t="s">
        <v>2132</v>
      </c>
      <c r="Z520" s="4" t="s">
        <v>877</v>
      </c>
      <c r="AA520" s="6" t="n">
        <v>0</v>
      </c>
      <c r="AB520" s="6" t="n">
        <v>5537.4</v>
      </c>
      <c r="AC520" s="6" t="n">
        <v>5921.17</v>
      </c>
      <c r="AD520" s="14" t="b">
        <f aca="false">FALSE()</f>
        <v>0</v>
      </c>
    </row>
    <row r="521" customFormat="false" ht="15" hidden="false" customHeight="false" outlineLevel="0" collapsed="false">
      <c r="A521" s="14" t="b">
        <f aca="false">TRUE()</f>
        <v>1</v>
      </c>
      <c r="B521" s="14" t="b">
        <f aca="false">FALSE()</f>
        <v>0</v>
      </c>
      <c r="C521" s="4" t="n">
        <v>2</v>
      </c>
      <c r="D521" s="4"/>
      <c r="E521" s="4"/>
      <c r="F521" s="4"/>
      <c r="G521" s="4"/>
      <c r="H521" s="14" t="b">
        <f aca="false">FALSE()</f>
        <v>0</v>
      </c>
      <c r="I521" s="14" t="b">
        <f aca="false">FALSE()</f>
        <v>0</v>
      </c>
      <c r="J521" s="4"/>
      <c r="K521" s="4" t="s">
        <v>2133</v>
      </c>
      <c r="L521" s="4" t="s">
        <v>2134</v>
      </c>
      <c r="M521" s="4" t="s">
        <v>2135</v>
      </c>
      <c r="N521" s="6" t="n">
        <v>19403</v>
      </c>
      <c r="O521" s="6" t="n">
        <v>69627</v>
      </c>
      <c r="P521" s="4" t="s">
        <v>46</v>
      </c>
      <c r="Q521" s="6" t="n">
        <v>284500</v>
      </c>
      <c r="R521" s="15" t="n">
        <v>45782</v>
      </c>
      <c r="S521" s="6"/>
      <c r="T521" s="15"/>
      <c r="U521" s="6"/>
      <c r="V521" s="15"/>
      <c r="W521" s="4" t="s">
        <v>47</v>
      </c>
      <c r="X521" s="4" t="s">
        <v>47</v>
      </c>
      <c r="Y521" s="4" t="s">
        <v>2136</v>
      </c>
      <c r="Z521" s="4" t="s">
        <v>877</v>
      </c>
      <c r="AA521" s="6" t="n">
        <v>0</v>
      </c>
      <c r="AB521" s="6" t="n">
        <v>5766.5</v>
      </c>
      <c r="AC521" s="6" t="n">
        <v>3023</v>
      </c>
      <c r="AD521" s="14" t="b">
        <f aca="false">TRUE()</f>
        <v>1</v>
      </c>
    </row>
    <row r="522" customFormat="false" ht="15" hidden="false" customHeight="false" outlineLevel="0" collapsed="false">
      <c r="A522" s="14" t="b">
        <f aca="false">TRUE()</f>
        <v>1</v>
      </c>
      <c r="B522" s="14" t="b">
        <f aca="false">FALSE()</f>
        <v>0</v>
      </c>
      <c r="C522" s="4" t="n">
        <v>3</v>
      </c>
      <c r="D522" s="4"/>
      <c r="E522" s="4"/>
      <c r="F522" s="4"/>
      <c r="G522" s="4" t="n">
        <v>3</v>
      </c>
      <c r="H522" s="14" t="b">
        <f aca="false">FALSE()</f>
        <v>0</v>
      </c>
      <c r="I522" s="14" t="b">
        <f aca="false">FALSE()</f>
        <v>0</v>
      </c>
      <c r="J522" s="4"/>
      <c r="K522" s="4" t="s">
        <v>2137</v>
      </c>
      <c r="L522" s="4" t="s">
        <v>2138</v>
      </c>
      <c r="M522" s="4" t="s">
        <v>2139</v>
      </c>
      <c r="N522" s="6" t="n">
        <v>84230</v>
      </c>
      <c r="O522" s="6" t="n">
        <v>221071</v>
      </c>
      <c r="P522" s="4" t="s">
        <v>46</v>
      </c>
      <c r="Q522" s="6" t="n">
        <v>525000</v>
      </c>
      <c r="R522" s="15" t="n">
        <v>37124</v>
      </c>
      <c r="S522" s="6" t="n">
        <v>398000</v>
      </c>
      <c r="T522" s="15" t="n">
        <v>44291</v>
      </c>
      <c r="U522" s="6"/>
      <c r="V522" s="15"/>
      <c r="W522" s="4" t="s">
        <v>47</v>
      </c>
      <c r="X522" s="4" t="s">
        <v>47</v>
      </c>
      <c r="Y522" s="4" t="s">
        <v>2140</v>
      </c>
      <c r="Z522" s="4" t="s">
        <v>1298</v>
      </c>
      <c r="AA522" s="6" t="n">
        <v>0</v>
      </c>
      <c r="AB522" s="6" t="n">
        <v>17917.16</v>
      </c>
      <c r="AC522" s="6" t="n">
        <v>19136.57</v>
      </c>
      <c r="AD522" s="14" t="b">
        <f aca="false">FALSE()</f>
        <v>0</v>
      </c>
    </row>
    <row r="523" customFormat="false" ht="15" hidden="false" customHeight="false" outlineLevel="0" collapsed="false">
      <c r="A523" s="14" t="b">
        <f aca="false">TRUE()</f>
        <v>1</v>
      </c>
      <c r="B523" s="14" t="b">
        <f aca="false">FALSE()</f>
        <v>0</v>
      </c>
      <c r="C523" s="4" t="n">
        <v>3</v>
      </c>
      <c r="D523" s="4"/>
      <c r="E523" s="4"/>
      <c r="F523" s="4"/>
      <c r="G523" s="4"/>
      <c r="H523" s="14" t="b">
        <f aca="false">FALSE()</f>
        <v>0</v>
      </c>
      <c r="I523" s="14" t="b">
        <f aca="false">FALSE()</f>
        <v>0</v>
      </c>
      <c r="J523" s="4"/>
      <c r="K523" s="4" t="s">
        <v>2141</v>
      </c>
      <c r="L523" s="4" t="s">
        <v>2142</v>
      </c>
      <c r="M523" s="4" t="s">
        <v>2143</v>
      </c>
      <c r="N523" s="6" t="n">
        <v>97661</v>
      </c>
      <c r="O523" s="6" t="n">
        <v>73341</v>
      </c>
      <c r="P523" s="4" t="s">
        <v>46</v>
      </c>
      <c r="Q523" s="6"/>
      <c r="R523" s="15"/>
      <c r="S523" s="6"/>
      <c r="T523" s="15"/>
      <c r="U523" s="6"/>
      <c r="V523" s="15"/>
      <c r="W523" s="4" t="s">
        <v>47</v>
      </c>
      <c r="X523" s="4" t="s">
        <v>47</v>
      </c>
      <c r="Y523" s="4" t="s">
        <v>2144</v>
      </c>
      <c r="Z523" s="4" t="s">
        <v>1298</v>
      </c>
      <c r="AA523" s="6" t="n">
        <v>0</v>
      </c>
      <c r="AB523" s="6" t="n">
        <v>9823.5</v>
      </c>
      <c r="AC523" s="6" t="n">
        <v>10496.59</v>
      </c>
      <c r="AD523" s="14" t="b">
        <f aca="false">FALSE()</f>
        <v>0</v>
      </c>
    </row>
    <row r="524" customFormat="false" ht="15" hidden="false" customHeight="false" outlineLevel="0" collapsed="false">
      <c r="A524" s="14" t="b">
        <f aca="false">TRUE()</f>
        <v>1</v>
      </c>
      <c r="B524" s="14" t="b">
        <f aca="false">FALSE()</f>
        <v>0</v>
      </c>
      <c r="C524" s="4" t="n">
        <v>2</v>
      </c>
      <c r="D524" s="4"/>
      <c r="E524" s="4"/>
      <c r="F524" s="4"/>
      <c r="G524" s="4"/>
      <c r="H524" s="14" t="b">
        <f aca="false">FALSE()</f>
        <v>0</v>
      </c>
      <c r="I524" s="14" t="b">
        <f aca="false">FALSE()</f>
        <v>0</v>
      </c>
      <c r="J524" s="4"/>
      <c r="K524" s="4" t="s">
        <v>2145</v>
      </c>
      <c r="L524" s="4" t="s">
        <v>2146</v>
      </c>
      <c r="M524" s="4" t="s">
        <v>2147</v>
      </c>
      <c r="N524" s="6" t="n">
        <v>7516</v>
      </c>
      <c r="O524" s="6" t="n">
        <v>67642</v>
      </c>
      <c r="P524" s="4" t="s">
        <v>46</v>
      </c>
      <c r="Q524" s="6" t="n">
        <v>185000</v>
      </c>
      <c r="R524" s="15" t="n">
        <v>39582</v>
      </c>
      <c r="S524" s="6"/>
      <c r="T524" s="15"/>
      <c r="U524" s="6"/>
      <c r="V524" s="15"/>
      <c r="W524" s="4" t="s">
        <v>47</v>
      </c>
      <c r="X524" s="4" t="s">
        <v>47</v>
      </c>
      <c r="Y524" s="4" t="s">
        <v>2148</v>
      </c>
      <c r="Z524" s="4" t="s">
        <v>1298</v>
      </c>
      <c r="AA524" s="6" t="n">
        <v>0</v>
      </c>
      <c r="AB524" s="6" t="n">
        <v>4047.34</v>
      </c>
      <c r="AC524" s="6" t="n">
        <v>2124.74</v>
      </c>
      <c r="AD524" s="14" t="b">
        <f aca="false">TRUE()</f>
        <v>1</v>
      </c>
    </row>
    <row r="525" customFormat="false" ht="15" hidden="false" customHeight="false" outlineLevel="0" collapsed="false">
      <c r="A525" s="14" t="b">
        <f aca="false">TRUE()</f>
        <v>1</v>
      </c>
      <c r="B525" s="14" t="b">
        <f aca="false">FALSE()</f>
        <v>0</v>
      </c>
      <c r="C525" s="4" t="n">
        <v>3</v>
      </c>
      <c r="D525" s="4"/>
      <c r="E525" s="4"/>
      <c r="F525" s="4"/>
      <c r="G525" s="4" t="n">
        <v>2</v>
      </c>
      <c r="H525" s="14" t="b">
        <f aca="false">TRUE()</f>
        <v>1</v>
      </c>
      <c r="I525" s="14" t="b">
        <f aca="false">FALSE()</f>
        <v>0</v>
      </c>
      <c r="J525" s="4"/>
      <c r="K525" s="4" t="s">
        <v>2149</v>
      </c>
      <c r="L525" s="4" t="s">
        <v>2150</v>
      </c>
      <c r="M525" s="4" t="s">
        <v>2151</v>
      </c>
      <c r="N525" s="6" t="n">
        <v>109275</v>
      </c>
      <c r="O525" s="6" t="n">
        <v>59769</v>
      </c>
      <c r="P525" s="4" t="s">
        <v>46</v>
      </c>
      <c r="Q525" s="6" t="n">
        <v>320000</v>
      </c>
      <c r="R525" s="15" t="n">
        <v>39728</v>
      </c>
      <c r="S525" s="6" t="n">
        <v>240000</v>
      </c>
      <c r="T525" s="15" t="n">
        <v>42160</v>
      </c>
      <c r="U525" s="6" t="n">
        <v>70000</v>
      </c>
      <c r="V525" s="15" t="n">
        <v>42873</v>
      </c>
      <c r="W525" s="4" t="s">
        <v>47</v>
      </c>
      <c r="X525" s="4" t="s">
        <v>58</v>
      </c>
      <c r="Y525" s="4" t="s">
        <v>2152</v>
      </c>
      <c r="Z525" s="4" t="s">
        <v>1298</v>
      </c>
      <c r="AA525" s="6" t="n">
        <v>0</v>
      </c>
      <c r="AB525" s="6" t="n">
        <v>9705.48</v>
      </c>
      <c r="AC525" s="6" t="n">
        <v>10370.6</v>
      </c>
      <c r="AD525" s="14" t="b">
        <f aca="false">FALSE()</f>
        <v>0</v>
      </c>
    </row>
    <row r="526" customFormat="false" ht="15" hidden="false" customHeight="false" outlineLevel="0" collapsed="false">
      <c r="A526" s="14" t="b">
        <f aca="false">TRUE()</f>
        <v>1</v>
      </c>
      <c r="B526" s="14" t="b">
        <f aca="false">FALSE()</f>
        <v>0</v>
      </c>
      <c r="C526" s="4" t="n">
        <v>2</v>
      </c>
      <c r="D526" s="4"/>
      <c r="E526" s="4"/>
      <c r="F526" s="4"/>
      <c r="G526" s="4"/>
      <c r="H526" s="14" t="b">
        <f aca="false">FALSE()</f>
        <v>0</v>
      </c>
      <c r="I526" s="14" t="b">
        <f aca="false">FALSE()</f>
        <v>0</v>
      </c>
      <c r="J526" s="4"/>
      <c r="K526" s="4" t="s">
        <v>2153</v>
      </c>
      <c r="L526" s="4" t="s">
        <v>2154</v>
      </c>
      <c r="M526" s="4" t="s">
        <v>2155</v>
      </c>
      <c r="N526" s="6" t="n">
        <v>85495</v>
      </c>
      <c r="O526" s="6" t="n">
        <v>77601</v>
      </c>
      <c r="P526" s="4" t="s">
        <v>46</v>
      </c>
      <c r="Q526" s="6" t="n">
        <v>350000</v>
      </c>
      <c r="R526" s="15" t="n">
        <v>44083</v>
      </c>
      <c r="S526" s="6"/>
      <c r="T526" s="15"/>
      <c r="U526" s="6"/>
      <c r="V526" s="15"/>
      <c r="W526" s="4" t="s">
        <v>47</v>
      </c>
      <c r="X526" s="4" t="s">
        <v>47</v>
      </c>
      <c r="Y526" s="4" t="s">
        <v>2156</v>
      </c>
      <c r="Z526" s="4" t="s">
        <v>1298</v>
      </c>
      <c r="AA526" s="6" t="n">
        <v>0</v>
      </c>
      <c r="AB526" s="6" t="n">
        <v>9347.04</v>
      </c>
      <c r="AC526" s="6" t="n">
        <v>4893.83</v>
      </c>
      <c r="AD526" s="14" t="b">
        <f aca="false">TRUE()</f>
        <v>1</v>
      </c>
    </row>
    <row r="527" customFormat="false" ht="15" hidden="false" customHeight="false" outlineLevel="0" collapsed="false">
      <c r="A527" s="14" t="b">
        <f aca="false">TRUE()</f>
        <v>1</v>
      </c>
      <c r="B527" s="14" t="b">
        <f aca="false">FALSE()</f>
        <v>0</v>
      </c>
      <c r="C527" s="4" t="n">
        <v>3</v>
      </c>
      <c r="D527" s="4"/>
      <c r="E527" s="4"/>
      <c r="F527" s="4"/>
      <c r="G527" s="4"/>
      <c r="H527" s="14" t="b">
        <f aca="false">FALSE()</f>
        <v>0</v>
      </c>
      <c r="I527" s="14" t="b">
        <f aca="false">FALSE()</f>
        <v>0</v>
      </c>
      <c r="J527" s="4"/>
      <c r="K527" s="4" t="s">
        <v>2157</v>
      </c>
      <c r="L527" s="4" t="s">
        <v>2158</v>
      </c>
      <c r="M527" s="4" t="s">
        <v>2159</v>
      </c>
      <c r="N527" s="6" t="n">
        <v>121236</v>
      </c>
      <c r="O527" s="6" t="n">
        <v>449008</v>
      </c>
      <c r="P527" s="4" t="s">
        <v>46</v>
      </c>
      <c r="Q527" s="6" t="n">
        <v>980000</v>
      </c>
      <c r="R527" s="15" t="n">
        <v>43391</v>
      </c>
      <c r="S527" s="6"/>
      <c r="T527" s="15"/>
      <c r="U527" s="6"/>
      <c r="V527" s="15"/>
      <c r="W527" s="4" t="s">
        <v>47</v>
      </c>
      <c r="X527" s="4" t="s">
        <v>47</v>
      </c>
      <c r="Y527" s="4" t="s">
        <v>2160</v>
      </c>
      <c r="Z527" s="4" t="s">
        <v>1298</v>
      </c>
      <c r="AA527" s="6" t="n">
        <v>0</v>
      </c>
      <c r="AB527" s="6" t="n">
        <v>33884.2</v>
      </c>
      <c r="AC527" s="6" t="n">
        <v>36181.38</v>
      </c>
      <c r="AD527" s="14" t="b">
        <f aca="false">FALSE()</f>
        <v>0</v>
      </c>
    </row>
    <row r="528" customFormat="false" ht="15" hidden="false" customHeight="false" outlineLevel="0" collapsed="false">
      <c r="A528" s="14" t="b">
        <f aca="false">TRUE()</f>
        <v>1</v>
      </c>
      <c r="B528" s="14" t="b">
        <f aca="false">FALSE()</f>
        <v>0</v>
      </c>
      <c r="C528" s="4" t="n">
        <v>3</v>
      </c>
      <c r="D528" s="4"/>
      <c r="E528" s="4"/>
      <c r="F528" s="4"/>
      <c r="G528" s="4"/>
      <c r="H528" s="14" t="b">
        <f aca="false">FALSE()</f>
        <v>0</v>
      </c>
      <c r="I528" s="14" t="b">
        <f aca="false">FALSE()</f>
        <v>0</v>
      </c>
      <c r="J528" s="4"/>
      <c r="K528" s="4" t="s">
        <v>2161</v>
      </c>
      <c r="L528" s="4" t="s">
        <v>2162</v>
      </c>
      <c r="M528" s="4" t="s">
        <v>2163</v>
      </c>
      <c r="N528" s="6" t="n">
        <v>88080</v>
      </c>
      <c r="O528" s="6" t="n">
        <v>81981</v>
      </c>
      <c r="P528" s="4" t="s">
        <v>46</v>
      </c>
      <c r="Q528" s="6"/>
      <c r="R528" s="15" t="n">
        <v>36098</v>
      </c>
      <c r="S528" s="6" t="n">
        <v>110000</v>
      </c>
      <c r="T528" s="15" t="n">
        <v>36203</v>
      </c>
      <c r="U528" s="6" t="n">
        <v>103000</v>
      </c>
      <c r="V528" s="15" t="n">
        <v>41393</v>
      </c>
      <c r="W528" s="4" t="s">
        <v>47</v>
      </c>
      <c r="X528" s="4" t="s">
        <v>58</v>
      </c>
      <c r="Y528" s="4" t="s">
        <v>2164</v>
      </c>
      <c r="Z528" s="4" t="s">
        <v>1298</v>
      </c>
      <c r="AA528" s="6" t="n">
        <v>0</v>
      </c>
      <c r="AB528" s="6" t="n">
        <v>9766.78</v>
      </c>
      <c r="AC528" s="6" t="n">
        <v>10436.04</v>
      </c>
      <c r="AD528" s="14" t="b">
        <f aca="false">FALSE()</f>
        <v>0</v>
      </c>
    </row>
    <row r="529" customFormat="false" ht="15" hidden="false" customHeight="false" outlineLevel="0" collapsed="false">
      <c r="A529" s="14" t="b">
        <f aca="false">TRUE()</f>
        <v>1</v>
      </c>
      <c r="B529" s="14" t="b">
        <f aca="false">FALSE()</f>
        <v>0</v>
      </c>
      <c r="C529" s="4" t="n">
        <v>2</v>
      </c>
      <c r="D529" s="4"/>
      <c r="E529" s="4"/>
      <c r="F529" s="4"/>
      <c r="G529" s="4"/>
      <c r="H529" s="14" t="b">
        <f aca="false">FALSE()</f>
        <v>0</v>
      </c>
      <c r="I529" s="14" t="b">
        <f aca="false">FALSE()</f>
        <v>0</v>
      </c>
      <c r="J529" s="4"/>
      <c r="K529" s="4" t="s">
        <v>2165</v>
      </c>
      <c r="L529" s="4" t="s">
        <v>2166</v>
      </c>
      <c r="M529" s="4" t="s">
        <v>2167</v>
      </c>
      <c r="N529" s="6" t="n">
        <v>11366</v>
      </c>
      <c r="O529" s="6" t="n">
        <v>102344</v>
      </c>
      <c r="P529" s="4" t="s">
        <v>46</v>
      </c>
      <c r="Q529" s="6" t="n">
        <v>404000</v>
      </c>
      <c r="R529" s="15" t="n">
        <v>45800</v>
      </c>
      <c r="S529" s="6"/>
      <c r="T529" s="15"/>
      <c r="U529" s="6"/>
      <c r="V529" s="15"/>
      <c r="W529" s="4" t="s">
        <v>47</v>
      </c>
      <c r="X529" s="4" t="s">
        <v>47</v>
      </c>
      <c r="Y529" s="4" t="s">
        <v>2168</v>
      </c>
      <c r="Z529" s="4" t="s">
        <v>1298</v>
      </c>
      <c r="AA529" s="6" t="n">
        <v>0</v>
      </c>
      <c r="AB529" s="6" t="n">
        <v>6370.74</v>
      </c>
      <c r="AC529" s="6" t="n">
        <v>3338.71</v>
      </c>
      <c r="AD529" s="14" t="b">
        <f aca="false">TRUE()</f>
        <v>1</v>
      </c>
    </row>
    <row r="530" customFormat="false" ht="15" hidden="false" customHeight="false" outlineLevel="0" collapsed="false">
      <c r="A530" s="14" t="b">
        <f aca="false">TRUE()</f>
        <v>1</v>
      </c>
      <c r="B530" s="14" t="b">
        <f aca="false">FALSE()</f>
        <v>0</v>
      </c>
      <c r="C530" s="4" t="n">
        <v>3</v>
      </c>
      <c r="D530" s="4"/>
      <c r="E530" s="4"/>
      <c r="F530" s="4"/>
      <c r="G530" s="4"/>
      <c r="H530" s="14" t="b">
        <f aca="false">FALSE()</f>
        <v>0</v>
      </c>
      <c r="I530" s="14" t="b">
        <f aca="false">FALSE()</f>
        <v>0</v>
      </c>
      <c r="J530" s="4"/>
      <c r="K530" s="4" t="s">
        <v>2169</v>
      </c>
      <c r="L530" s="4" t="s">
        <v>2170</v>
      </c>
      <c r="M530" s="4" t="s">
        <v>2171</v>
      </c>
      <c r="N530" s="6" t="n">
        <v>129184</v>
      </c>
      <c r="O530" s="6" t="n">
        <v>299245</v>
      </c>
      <c r="P530" s="4" t="s">
        <v>46</v>
      </c>
      <c r="Q530" s="6" t="n">
        <v>1375000</v>
      </c>
      <c r="R530" s="15" t="n">
        <v>45555</v>
      </c>
      <c r="S530" s="6" t="n">
        <v>1269500</v>
      </c>
      <c r="T530" s="15" t="n">
        <v>45555</v>
      </c>
      <c r="U530" s="6"/>
      <c r="V530" s="15"/>
      <c r="W530" s="4" t="s">
        <v>47</v>
      </c>
      <c r="X530" s="4" t="s">
        <v>47</v>
      </c>
      <c r="Y530" s="4" t="s">
        <v>2172</v>
      </c>
      <c r="Z530" s="4" t="s">
        <v>1298</v>
      </c>
      <c r="AA530" s="6" t="n">
        <v>0</v>
      </c>
      <c r="AB530" s="6" t="n">
        <v>25337.56</v>
      </c>
      <c r="AC530" s="6" t="n">
        <v>27057.85</v>
      </c>
      <c r="AD530" s="14" t="b">
        <f aca="false">FALSE()</f>
        <v>0</v>
      </c>
    </row>
    <row r="531" customFormat="false" ht="15" hidden="false" customHeight="false" outlineLevel="0" collapsed="false">
      <c r="A531" s="14" t="b">
        <f aca="false">TRUE()</f>
        <v>1</v>
      </c>
      <c r="B531" s="14" t="b">
        <f aca="false">FALSE()</f>
        <v>0</v>
      </c>
      <c r="C531" s="4" t="n">
        <v>2</v>
      </c>
      <c r="D531" s="4"/>
      <c r="E531" s="4"/>
      <c r="F531" s="4"/>
      <c r="G531" s="4"/>
      <c r="H531" s="14" t="b">
        <f aca="false">TRUE()</f>
        <v>1</v>
      </c>
      <c r="I531" s="14" t="b">
        <f aca="false">FALSE()</f>
        <v>0</v>
      </c>
      <c r="J531" s="4"/>
      <c r="K531" s="4" t="s">
        <v>2173</v>
      </c>
      <c r="L531" s="4" t="s">
        <v>2174</v>
      </c>
      <c r="M531" s="4" t="s">
        <v>2175</v>
      </c>
      <c r="N531" s="6" t="n">
        <v>3287</v>
      </c>
      <c r="O531" s="6" t="n">
        <v>29533</v>
      </c>
      <c r="P531" s="4" t="s">
        <v>46</v>
      </c>
      <c r="Q531" s="6" t="n">
        <v>111500</v>
      </c>
      <c r="R531" s="15" t="n">
        <v>45237</v>
      </c>
      <c r="S531" s="6"/>
      <c r="T531" s="15"/>
      <c r="U531" s="6"/>
      <c r="V531" s="15"/>
      <c r="W531" s="4" t="s">
        <v>47</v>
      </c>
      <c r="X531" s="4" t="s">
        <v>47</v>
      </c>
      <c r="Y531" s="4" t="s">
        <v>2176</v>
      </c>
      <c r="Z531" s="4" t="s">
        <v>1298</v>
      </c>
      <c r="AA531" s="6" t="n">
        <v>0</v>
      </c>
      <c r="AB531" s="6" t="n">
        <v>1495.8</v>
      </c>
      <c r="AC531" s="6" t="n">
        <v>791.56</v>
      </c>
      <c r="AD531" s="14" t="b">
        <f aca="false">TRUE()</f>
        <v>1</v>
      </c>
    </row>
    <row r="532" customFormat="false" ht="15" hidden="false" customHeight="false" outlineLevel="0" collapsed="false">
      <c r="A532" s="14" t="b">
        <f aca="false">TRUE()</f>
        <v>1</v>
      </c>
      <c r="B532" s="14" t="b">
        <f aca="false">FALSE()</f>
        <v>0</v>
      </c>
      <c r="C532" s="4" t="n">
        <v>2</v>
      </c>
      <c r="D532" s="4"/>
      <c r="E532" s="4"/>
      <c r="F532" s="4"/>
      <c r="G532" s="4"/>
      <c r="H532" s="14" t="b">
        <f aca="false">FALSE()</f>
        <v>0</v>
      </c>
      <c r="I532" s="14" t="b">
        <f aca="false">FALSE()</f>
        <v>0</v>
      </c>
      <c r="J532" s="4"/>
      <c r="K532" s="4" t="s">
        <v>2177</v>
      </c>
      <c r="L532" s="4" t="s">
        <v>2178</v>
      </c>
      <c r="M532" s="4" t="s">
        <v>2179</v>
      </c>
      <c r="N532" s="6" t="n">
        <v>14664</v>
      </c>
      <c r="O532" s="6" t="n">
        <v>90362</v>
      </c>
      <c r="P532" s="4" t="s">
        <v>46</v>
      </c>
      <c r="Q532" s="6" t="n">
        <v>128000</v>
      </c>
      <c r="R532" s="15" t="n">
        <v>40375</v>
      </c>
      <c r="S532" s="6" t="n">
        <v>100000</v>
      </c>
      <c r="T532" s="15" t="n">
        <v>41765</v>
      </c>
      <c r="U532" s="6"/>
      <c r="V532" s="15"/>
      <c r="W532" s="4" t="s">
        <v>47</v>
      </c>
      <c r="X532" s="4" t="s">
        <v>58</v>
      </c>
      <c r="Y532" s="4" t="s">
        <v>2180</v>
      </c>
      <c r="Z532" s="4" t="s">
        <v>2181</v>
      </c>
      <c r="AA532" s="6" t="n">
        <v>0</v>
      </c>
      <c r="AB532" s="6" t="n">
        <v>5879.28</v>
      </c>
      <c r="AC532" s="6" t="n">
        <v>3081.92</v>
      </c>
      <c r="AD532" s="14" t="b">
        <f aca="false">TRUE()</f>
        <v>1</v>
      </c>
    </row>
    <row r="533" customFormat="false" ht="15" hidden="false" customHeight="false" outlineLevel="0" collapsed="false">
      <c r="A533" s="14" t="b">
        <f aca="false">TRUE()</f>
        <v>1</v>
      </c>
      <c r="B533" s="14" t="b">
        <f aca="false">FALSE()</f>
        <v>0</v>
      </c>
      <c r="C533" s="4" t="n">
        <v>2</v>
      </c>
      <c r="D533" s="4"/>
      <c r="E533" s="4"/>
      <c r="F533" s="4"/>
      <c r="G533" s="4"/>
      <c r="H533" s="14" t="b">
        <f aca="false">FALSE()</f>
        <v>0</v>
      </c>
      <c r="I533" s="14" t="b">
        <f aca="false">FALSE()</f>
        <v>0</v>
      </c>
      <c r="J533" s="4"/>
      <c r="K533" s="4" t="s">
        <v>2182</v>
      </c>
      <c r="L533" s="4" t="s">
        <v>2183</v>
      </c>
      <c r="M533" s="4" t="s">
        <v>2184</v>
      </c>
      <c r="N533" s="6" t="n">
        <v>13301</v>
      </c>
      <c r="O533" s="6" t="n">
        <v>65565</v>
      </c>
      <c r="P533" s="4" t="s">
        <v>46</v>
      </c>
      <c r="Q533" s="6" t="n">
        <v>335000</v>
      </c>
      <c r="R533" s="15" t="n">
        <v>45734</v>
      </c>
      <c r="S533" s="6"/>
      <c r="T533" s="15"/>
      <c r="U533" s="6"/>
      <c r="V533" s="15"/>
      <c r="W533" s="4" t="s">
        <v>47</v>
      </c>
      <c r="X533" s="4" t="s">
        <v>58</v>
      </c>
      <c r="Y533" s="4" t="s">
        <v>2185</v>
      </c>
      <c r="Z533" s="4" t="s">
        <v>2181</v>
      </c>
      <c r="AA533" s="6" t="n">
        <v>0</v>
      </c>
      <c r="AB533" s="6" t="n">
        <v>5356.14</v>
      </c>
      <c r="AC533" s="6" t="n">
        <v>2808.58</v>
      </c>
      <c r="AD533" s="14" t="b">
        <f aca="false">TRUE()</f>
        <v>1</v>
      </c>
    </row>
    <row r="534" customFormat="false" ht="15" hidden="false" customHeight="false" outlineLevel="0" collapsed="false">
      <c r="A534" s="14" t="b">
        <f aca="false">TRUE()</f>
        <v>1</v>
      </c>
      <c r="B534" s="14" t="b">
        <f aca="false">FALSE()</f>
        <v>0</v>
      </c>
      <c r="C534" s="4" t="n">
        <v>2</v>
      </c>
      <c r="D534" s="4"/>
      <c r="E534" s="4"/>
      <c r="F534" s="4"/>
      <c r="G534" s="4"/>
      <c r="H534" s="14" t="b">
        <f aca="false">FALSE()</f>
        <v>0</v>
      </c>
      <c r="I534" s="14" t="b">
        <f aca="false">FALSE()</f>
        <v>0</v>
      </c>
      <c r="J534" s="4"/>
      <c r="K534" s="4" t="s">
        <v>2186</v>
      </c>
      <c r="L534" s="4" t="s">
        <v>2187</v>
      </c>
      <c r="M534" s="4" t="s">
        <v>2188</v>
      </c>
      <c r="N534" s="6" t="n">
        <v>11776</v>
      </c>
      <c r="O534" s="6" t="n">
        <v>36238</v>
      </c>
      <c r="P534" s="4" t="s">
        <v>46</v>
      </c>
      <c r="Q534" s="6" t="n">
        <v>215500</v>
      </c>
      <c r="R534" s="15" t="n">
        <v>39182</v>
      </c>
      <c r="S534" s="6" t="n">
        <v>215500</v>
      </c>
      <c r="T534" s="15" t="n">
        <v>39182</v>
      </c>
      <c r="U534" s="6"/>
      <c r="V534" s="15"/>
      <c r="W534" s="4" t="s">
        <v>47</v>
      </c>
      <c r="X534" s="4" t="s">
        <v>58</v>
      </c>
      <c r="Y534" s="4" t="s">
        <v>2189</v>
      </c>
      <c r="Z534" s="4" t="s">
        <v>2181</v>
      </c>
      <c r="AA534" s="6" t="n">
        <v>0</v>
      </c>
      <c r="AB534" s="6" t="n">
        <v>3024.32</v>
      </c>
      <c r="AC534" s="6" t="n">
        <v>1590.21</v>
      </c>
      <c r="AD534" s="14" t="b">
        <f aca="false">TRUE()</f>
        <v>1</v>
      </c>
    </row>
    <row r="535" customFormat="false" ht="15" hidden="false" customHeight="false" outlineLevel="0" collapsed="false">
      <c r="A535" s="14" t="b">
        <f aca="false">TRUE()</f>
        <v>1</v>
      </c>
      <c r="B535" s="14" t="b">
        <f aca="false">FALSE()</f>
        <v>0</v>
      </c>
      <c r="C535" s="4" t="n">
        <v>2</v>
      </c>
      <c r="D535" s="4"/>
      <c r="E535" s="4"/>
      <c r="F535" s="4"/>
      <c r="G535" s="4"/>
      <c r="H535" s="14" t="b">
        <f aca="false">FALSE()</f>
        <v>0</v>
      </c>
      <c r="I535" s="14" t="b">
        <f aca="false">FALSE()</f>
        <v>0</v>
      </c>
      <c r="J535" s="4"/>
      <c r="K535" s="4" t="s">
        <v>2190</v>
      </c>
      <c r="L535" s="4" t="s">
        <v>2191</v>
      </c>
      <c r="M535" s="4" t="s">
        <v>2192</v>
      </c>
      <c r="N535" s="6" t="n">
        <v>39341</v>
      </c>
      <c r="O535" s="6" t="n">
        <v>74368</v>
      </c>
      <c r="P535" s="4" t="s">
        <v>46</v>
      </c>
      <c r="Q535" s="6"/>
      <c r="R535" s="15"/>
      <c r="S535" s="6"/>
      <c r="T535" s="15"/>
      <c r="U535" s="6"/>
      <c r="V535" s="15"/>
      <c r="W535" s="4"/>
      <c r="X535" s="4"/>
      <c r="Y535" s="4" t="s">
        <v>2193</v>
      </c>
      <c r="Z535" s="4" t="s">
        <v>2181</v>
      </c>
      <c r="AA535" s="6" t="n">
        <v>0</v>
      </c>
      <c r="AB535" s="6" t="n">
        <v>5920.68</v>
      </c>
      <c r="AC535" s="6" t="n">
        <v>6330.33</v>
      </c>
      <c r="AD535" s="14" t="b">
        <f aca="false">FALSE()</f>
        <v>0</v>
      </c>
    </row>
    <row r="536" customFormat="false" ht="15" hidden="false" customHeight="false" outlineLevel="0" collapsed="false">
      <c r="A536" s="14" t="b">
        <f aca="false">TRUE()</f>
        <v>1</v>
      </c>
      <c r="B536" s="14" t="b">
        <f aca="false">FALSE()</f>
        <v>0</v>
      </c>
      <c r="C536" s="4" t="n">
        <v>2</v>
      </c>
      <c r="D536" s="4"/>
      <c r="E536" s="4"/>
      <c r="F536" s="4"/>
      <c r="G536" s="4" t="n">
        <v>3</v>
      </c>
      <c r="H536" s="14" t="b">
        <f aca="false">TRUE()</f>
        <v>1</v>
      </c>
      <c r="I536" s="14" t="b">
        <f aca="false">FALSE()</f>
        <v>0</v>
      </c>
      <c r="J536" s="4"/>
      <c r="K536" s="4" t="s">
        <v>2194</v>
      </c>
      <c r="L536" s="4" t="s">
        <v>2195</v>
      </c>
      <c r="M536" s="4" t="s">
        <v>2196</v>
      </c>
      <c r="N536" s="6" t="n">
        <v>12469</v>
      </c>
      <c r="O536" s="6" t="n">
        <v>71178</v>
      </c>
      <c r="P536" s="4" t="s">
        <v>46</v>
      </c>
      <c r="Q536" s="6" t="n">
        <v>110000</v>
      </c>
      <c r="R536" s="15" t="n">
        <v>35076</v>
      </c>
      <c r="S536" s="6"/>
      <c r="T536" s="15"/>
      <c r="U536" s="6"/>
      <c r="V536" s="15"/>
      <c r="W536" s="4" t="s">
        <v>47</v>
      </c>
      <c r="X536" s="4" t="s">
        <v>47</v>
      </c>
      <c r="Y536" s="4" t="s">
        <v>2197</v>
      </c>
      <c r="Z536" s="4" t="s">
        <v>2181</v>
      </c>
      <c r="AA536" s="6" t="n">
        <v>0</v>
      </c>
      <c r="AB536" s="6" t="n">
        <v>5112.82</v>
      </c>
      <c r="AC536" s="6" t="n">
        <v>5467.94</v>
      </c>
      <c r="AD536" s="14" t="b">
        <f aca="false">FALSE()</f>
        <v>0</v>
      </c>
    </row>
    <row r="537" customFormat="false" ht="15" hidden="false" customHeight="false" outlineLevel="0" collapsed="false">
      <c r="A537" s="14" t="b">
        <f aca="false">TRUE()</f>
        <v>1</v>
      </c>
      <c r="B537" s="14" t="b">
        <f aca="false">FALSE()</f>
        <v>0</v>
      </c>
      <c r="C537" s="4" t="n">
        <v>2</v>
      </c>
      <c r="D537" s="4"/>
      <c r="E537" s="4"/>
      <c r="F537" s="4"/>
      <c r="G537" s="4"/>
      <c r="H537" s="14" t="b">
        <f aca="false">FALSE()</f>
        <v>0</v>
      </c>
      <c r="I537" s="14" t="b">
        <f aca="false">FALSE()</f>
        <v>0</v>
      </c>
      <c r="J537" s="4"/>
      <c r="K537" s="4" t="s">
        <v>2198</v>
      </c>
      <c r="L537" s="4" t="s">
        <v>2199</v>
      </c>
      <c r="M537" s="4" t="s">
        <v>2200</v>
      </c>
      <c r="N537" s="6" t="n">
        <v>13107</v>
      </c>
      <c r="O537" s="6" t="n">
        <v>47571</v>
      </c>
      <c r="P537" s="4" t="s">
        <v>46</v>
      </c>
      <c r="Q537" s="6" t="n">
        <v>80000</v>
      </c>
      <c r="R537" s="15" t="n">
        <v>41192</v>
      </c>
      <c r="S537" s="6"/>
      <c r="T537" s="15"/>
      <c r="U537" s="6"/>
      <c r="V537" s="15"/>
      <c r="W537" s="4" t="s">
        <v>47</v>
      </c>
      <c r="X537" s="4" t="s">
        <v>47</v>
      </c>
      <c r="Y537" s="4" t="s">
        <v>2201</v>
      </c>
      <c r="Z537" s="4" t="s">
        <v>2181</v>
      </c>
      <c r="AA537" s="6" t="n">
        <v>0</v>
      </c>
      <c r="AB537" s="6" t="n">
        <v>3981.46</v>
      </c>
      <c r="AC537" s="6" t="n">
        <v>4260.21</v>
      </c>
      <c r="AD537" s="14" t="b">
        <f aca="false">FALSE()</f>
        <v>0</v>
      </c>
    </row>
    <row r="538" customFormat="false" ht="15" hidden="false" customHeight="false" outlineLevel="0" collapsed="false">
      <c r="A538" s="14" t="b">
        <f aca="false">TRUE()</f>
        <v>1</v>
      </c>
      <c r="B538" s="14" t="b">
        <f aca="false">FALSE()</f>
        <v>0</v>
      </c>
      <c r="C538" s="4" t="n">
        <v>2</v>
      </c>
      <c r="D538" s="4"/>
      <c r="E538" s="4"/>
      <c r="F538" s="4"/>
      <c r="G538" s="4" t="n">
        <v>3</v>
      </c>
      <c r="H538" s="14" t="b">
        <f aca="false">FALSE()</f>
        <v>0</v>
      </c>
      <c r="I538" s="14" t="b">
        <f aca="false">FALSE()</f>
        <v>0</v>
      </c>
      <c r="J538" s="4"/>
      <c r="K538" s="4" t="s">
        <v>2202</v>
      </c>
      <c r="L538" s="4" t="s">
        <v>2203</v>
      </c>
      <c r="M538" s="4" t="s">
        <v>2204</v>
      </c>
      <c r="N538" s="6" t="n">
        <v>48706</v>
      </c>
      <c r="O538" s="6" t="n">
        <v>60548</v>
      </c>
      <c r="P538" s="4" t="s">
        <v>46</v>
      </c>
      <c r="Q538" s="6"/>
      <c r="R538" s="15"/>
      <c r="S538" s="6"/>
      <c r="T538" s="15"/>
      <c r="U538" s="6"/>
      <c r="V538" s="15"/>
      <c r="W538" s="4" t="s">
        <v>47</v>
      </c>
      <c r="X538" s="4" t="s">
        <v>58</v>
      </c>
      <c r="Y538" s="4" t="s">
        <v>2205</v>
      </c>
      <c r="Z538" s="4" t="s">
        <v>1298</v>
      </c>
      <c r="AA538" s="6" t="n">
        <v>0</v>
      </c>
      <c r="AB538" s="6" t="n">
        <v>6644.08</v>
      </c>
      <c r="AC538" s="6" t="n">
        <v>7102.55</v>
      </c>
      <c r="AD538" s="14" t="b">
        <f aca="false">FALSE()</f>
        <v>0</v>
      </c>
    </row>
    <row r="539" customFormat="false" ht="15" hidden="false" customHeight="false" outlineLevel="0" collapsed="false">
      <c r="A539" s="14" t="b">
        <f aca="false">TRUE()</f>
        <v>1</v>
      </c>
      <c r="B539" s="14" t="b">
        <f aca="false">FALSE()</f>
        <v>0</v>
      </c>
      <c r="C539" s="4" t="n">
        <v>3</v>
      </c>
      <c r="D539" s="4"/>
      <c r="E539" s="4"/>
      <c r="F539" s="4"/>
      <c r="G539" s="4"/>
      <c r="H539" s="14" t="b">
        <f aca="false">FALSE()</f>
        <v>0</v>
      </c>
      <c r="I539" s="14" t="b">
        <f aca="false">FALSE()</f>
        <v>0</v>
      </c>
      <c r="J539" s="4"/>
      <c r="K539" s="4" t="s">
        <v>2206</v>
      </c>
      <c r="L539" s="4" t="s">
        <v>2207</v>
      </c>
      <c r="M539" s="4" t="s">
        <v>2208</v>
      </c>
      <c r="N539" s="6" t="n">
        <v>14393</v>
      </c>
      <c r="O539" s="6" t="n">
        <v>100678</v>
      </c>
      <c r="P539" s="4" t="s">
        <v>46</v>
      </c>
      <c r="Q539" s="6" t="n">
        <v>127500</v>
      </c>
      <c r="R539" s="15" t="n">
        <v>35927</v>
      </c>
      <c r="S539" s="6" t="n">
        <v>166000</v>
      </c>
      <c r="T539" s="15" t="n">
        <v>44179</v>
      </c>
      <c r="U539" s="6" t="n">
        <v>40000</v>
      </c>
      <c r="V539" s="15" t="n">
        <v>44414</v>
      </c>
      <c r="W539" s="4" t="s">
        <v>47</v>
      </c>
      <c r="X539" s="4" t="s">
        <v>58</v>
      </c>
      <c r="Y539" s="4" t="s">
        <v>2209</v>
      </c>
      <c r="Z539" s="4" t="s">
        <v>2181</v>
      </c>
      <c r="AA539" s="6" t="n">
        <v>0</v>
      </c>
      <c r="AB539" s="6" t="n">
        <v>8092.54</v>
      </c>
      <c r="AC539" s="6" t="n">
        <v>8648.78</v>
      </c>
      <c r="AD539" s="14" t="b">
        <f aca="false">FALSE()</f>
        <v>0</v>
      </c>
    </row>
    <row r="540" customFormat="false" ht="15" hidden="false" customHeight="false" outlineLevel="0" collapsed="false">
      <c r="A540" s="14" t="b">
        <f aca="false">TRUE()</f>
        <v>1</v>
      </c>
      <c r="B540" s="14" t="b">
        <f aca="false">FALSE()</f>
        <v>0</v>
      </c>
      <c r="C540" s="4" t="n">
        <v>2</v>
      </c>
      <c r="D540" s="4"/>
      <c r="E540" s="4"/>
      <c r="F540" s="4"/>
      <c r="G540" s="4"/>
      <c r="H540" s="14" t="b">
        <f aca="false">FALSE()</f>
        <v>0</v>
      </c>
      <c r="I540" s="14" t="b">
        <f aca="false">FALSE()</f>
        <v>0</v>
      </c>
      <c r="J540" s="4"/>
      <c r="K540" s="4" t="s">
        <v>2210</v>
      </c>
      <c r="L540" s="4" t="s">
        <v>2211</v>
      </c>
      <c r="M540" s="4" t="s">
        <v>2212</v>
      </c>
      <c r="N540" s="6" t="n">
        <v>12533</v>
      </c>
      <c r="O540" s="6" t="n">
        <v>76715</v>
      </c>
      <c r="P540" s="4" t="s">
        <v>46</v>
      </c>
      <c r="Q540" s="6"/>
      <c r="R540" s="15"/>
      <c r="S540" s="6"/>
      <c r="T540" s="15"/>
      <c r="U540" s="6"/>
      <c r="V540" s="15"/>
      <c r="W540" s="4" t="s">
        <v>58</v>
      </c>
      <c r="X540" s="4" t="s">
        <v>47</v>
      </c>
      <c r="Y540" s="4" t="s">
        <v>2213</v>
      </c>
      <c r="Z540" s="4" t="s">
        <v>2181</v>
      </c>
      <c r="AA540" s="6" t="n">
        <v>0</v>
      </c>
      <c r="AB540" s="6" t="n">
        <v>6140.8</v>
      </c>
      <c r="AC540" s="6" t="n">
        <v>3218.57</v>
      </c>
      <c r="AD540" s="14" t="b">
        <f aca="false">TRUE()</f>
        <v>1</v>
      </c>
    </row>
    <row r="541" customFormat="false" ht="15" hidden="false" customHeight="false" outlineLevel="0" collapsed="false">
      <c r="A541" s="14" t="b">
        <f aca="false">TRUE()</f>
        <v>1</v>
      </c>
      <c r="B541" s="14" t="b">
        <f aca="false">FALSE()</f>
        <v>0</v>
      </c>
      <c r="C541" s="4" t="n">
        <v>2</v>
      </c>
      <c r="D541" s="4"/>
      <c r="E541" s="4"/>
      <c r="F541" s="4"/>
      <c r="G541" s="4" t="n">
        <v>3</v>
      </c>
      <c r="H541" s="14" t="b">
        <f aca="false">FALSE()</f>
        <v>0</v>
      </c>
      <c r="I541" s="14" t="b">
        <f aca="false">FALSE()</f>
        <v>0</v>
      </c>
      <c r="J541" s="4"/>
      <c r="K541" s="4" t="s">
        <v>2214</v>
      </c>
      <c r="L541" s="4" t="s">
        <v>2215</v>
      </c>
      <c r="M541" s="4" t="s">
        <v>2216</v>
      </c>
      <c r="N541" s="6" t="n">
        <v>14794</v>
      </c>
      <c r="O541" s="6" t="n">
        <v>60158</v>
      </c>
      <c r="P541" s="4" t="s">
        <v>46</v>
      </c>
      <c r="Q541" s="6"/>
      <c r="R541" s="15"/>
      <c r="S541" s="6"/>
      <c r="T541" s="15"/>
      <c r="U541" s="6"/>
      <c r="V541" s="15"/>
      <c r="W541" s="4" t="s">
        <v>47</v>
      </c>
      <c r="X541" s="4" t="s">
        <v>47</v>
      </c>
      <c r="Y541" s="4" t="s">
        <v>2217</v>
      </c>
      <c r="Z541" s="4" t="s">
        <v>2181</v>
      </c>
      <c r="AA541" s="6" t="n">
        <v>0</v>
      </c>
      <c r="AB541" s="6" t="n">
        <v>4455.64</v>
      </c>
      <c r="AC541" s="6" t="n">
        <v>2338.07</v>
      </c>
      <c r="AD541" s="14" t="b">
        <f aca="false">TRUE()</f>
        <v>1</v>
      </c>
    </row>
    <row r="542" customFormat="false" ht="15" hidden="false" customHeight="false" outlineLevel="0" collapsed="false">
      <c r="A542" s="14" t="b">
        <f aca="false">TRUE()</f>
        <v>1</v>
      </c>
      <c r="B542" s="14" t="b">
        <f aca="false">FALSE()</f>
        <v>0</v>
      </c>
      <c r="C542" s="4" t="n">
        <v>2</v>
      </c>
      <c r="D542" s="4"/>
      <c r="E542" s="4"/>
      <c r="F542" s="4"/>
      <c r="G542" s="4"/>
      <c r="H542" s="14" t="b">
        <f aca="false">FALSE()</f>
        <v>0</v>
      </c>
      <c r="I542" s="14" t="b">
        <f aca="false">FALSE()</f>
        <v>0</v>
      </c>
      <c r="J542" s="4"/>
      <c r="K542" s="4" t="s">
        <v>2218</v>
      </c>
      <c r="L542" s="4" t="s">
        <v>2219</v>
      </c>
      <c r="M542" s="4" t="s">
        <v>2220</v>
      </c>
      <c r="N542" s="6" t="n">
        <v>10814</v>
      </c>
      <c r="O542" s="6" t="n">
        <v>68258</v>
      </c>
      <c r="P542" s="4" t="s">
        <v>46</v>
      </c>
      <c r="Q542" s="6"/>
      <c r="R542" s="15" t="n">
        <v>45882</v>
      </c>
      <c r="S542" s="6" t="n">
        <v>250000</v>
      </c>
      <c r="T542" s="15" t="n">
        <v>45882</v>
      </c>
      <c r="U542" s="6" t="n">
        <v>55000</v>
      </c>
      <c r="V542" s="15" t="n">
        <v>45882</v>
      </c>
      <c r="W542" s="4" t="s">
        <v>47</v>
      </c>
      <c r="X542" s="4" t="s">
        <v>58</v>
      </c>
      <c r="Y542" s="4" t="s">
        <v>2221</v>
      </c>
      <c r="Z542" s="4" t="s">
        <v>2181</v>
      </c>
      <c r="AA542" s="6" t="n">
        <v>0</v>
      </c>
      <c r="AB542" s="6" t="n">
        <v>2353.6</v>
      </c>
      <c r="AC542" s="6" t="n">
        <v>1239.76</v>
      </c>
      <c r="AD542" s="14" t="b">
        <f aca="false">TRUE()</f>
        <v>1</v>
      </c>
    </row>
    <row r="543" customFormat="false" ht="15" hidden="false" customHeight="false" outlineLevel="0" collapsed="false">
      <c r="A543" s="14" t="b">
        <f aca="false">TRUE()</f>
        <v>1</v>
      </c>
      <c r="B543" s="14" t="b">
        <f aca="false">FALSE()</f>
        <v>0</v>
      </c>
      <c r="C543" s="4" t="n">
        <v>2</v>
      </c>
      <c r="D543" s="4"/>
      <c r="E543" s="4"/>
      <c r="F543" s="4"/>
      <c r="G543" s="4"/>
      <c r="H543" s="14" t="b">
        <f aca="false">FALSE()</f>
        <v>0</v>
      </c>
      <c r="I543" s="14" t="b">
        <f aca="false">FALSE()</f>
        <v>0</v>
      </c>
      <c r="J543" s="4"/>
      <c r="K543" s="4" t="s">
        <v>722</v>
      </c>
      <c r="L543" s="4" t="s">
        <v>2222</v>
      </c>
      <c r="M543" s="4" t="s">
        <v>2223</v>
      </c>
      <c r="N543" s="6" t="n">
        <v>10825</v>
      </c>
      <c r="O543" s="6" t="n">
        <v>100419</v>
      </c>
      <c r="P543" s="4" t="s">
        <v>46</v>
      </c>
      <c r="Q543" s="6"/>
      <c r="R543" s="15"/>
      <c r="S543" s="6" t="n">
        <v>279200</v>
      </c>
      <c r="T543" s="15" t="n">
        <v>44586</v>
      </c>
      <c r="U543" s="6" t="n">
        <v>277500</v>
      </c>
      <c r="V543" s="15" t="n">
        <v>41001</v>
      </c>
      <c r="W543" s="4" t="s">
        <v>58</v>
      </c>
      <c r="X543" s="4" t="s">
        <v>47</v>
      </c>
      <c r="Y543" s="4" t="s">
        <v>2224</v>
      </c>
      <c r="Z543" s="4" t="s">
        <v>2181</v>
      </c>
      <c r="AA543" s="6" t="n">
        <v>0</v>
      </c>
      <c r="AB543" s="6" t="n">
        <v>7803.3</v>
      </c>
      <c r="AC543" s="6" t="n">
        <v>4087.22</v>
      </c>
      <c r="AD543" s="14" t="b">
        <f aca="false">TRUE()</f>
        <v>1</v>
      </c>
    </row>
    <row r="544" customFormat="false" ht="15" hidden="false" customHeight="false" outlineLevel="0" collapsed="false">
      <c r="A544" s="14" t="b">
        <f aca="false">TRUE()</f>
        <v>1</v>
      </c>
      <c r="B544" s="14" t="b">
        <f aca="false">FALSE()</f>
        <v>0</v>
      </c>
      <c r="C544" s="4" t="n">
        <v>2</v>
      </c>
      <c r="D544" s="4"/>
      <c r="E544" s="4"/>
      <c r="F544" s="4"/>
      <c r="G544" s="4" t="n">
        <v>2</v>
      </c>
      <c r="H544" s="14" t="b">
        <f aca="false">FALSE()</f>
        <v>0</v>
      </c>
      <c r="I544" s="14" t="b">
        <f aca="false">FALSE()</f>
        <v>0</v>
      </c>
      <c r="J544" s="4"/>
      <c r="K544" s="4" t="s">
        <v>2225</v>
      </c>
      <c r="L544" s="4" t="s">
        <v>2226</v>
      </c>
      <c r="M544" s="4" t="s">
        <v>2227</v>
      </c>
      <c r="N544" s="6" t="n">
        <v>15421</v>
      </c>
      <c r="O544" s="6" t="n">
        <v>84955</v>
      </c>
      <c r="P544" s="4" t="s">
        <v>46</v>
      </c>
      <c r="Q544" s="6" t="n">
        <v>145000</v>
      </c>
      <c r="R544" s="15" t="n">
        <v>41551</v>
      </c>
      <c r="S544" s="6"/>
      <c r="T544" s="15"/>
      <c r="U544" s="6"/>
      <c r="V544" s="15"/>
      <c r="W544" s="4" t="s">
        <v>58</v>
      </c>
      <c r="X544" s="4" t="s">
        <v>47</v>
      </c>
      <c r="Y544" s="4" t="s">
        <v>2228</v>
      </c>
      <c r="Z544" s="4" t="s">
        <v>2181</v>
      </c>
      <c r="AA544" s="6" t="n">
        <v>0</v>
      </c>
      <c r="AB544" s="6" t="n">
        <v>6981.88</v>
      </c>
      <c r="AC544" s="6" t="n">
        <v>7463.15</v>
      </c>
      <c r="AD544" s="14" t="b">
        <f aca="false">FALSE()</f>
        <v>0</v>
      </c>
    </row>
    <row r="545" customFormat="false" ht="15" hidden="false" customHeight="false" outlineLevel="0" collapsed="false">
      <c r="A545" s="14" t="b">
        <f aca="false">TRUE()</f>
        <v>1</v>
      </c>
      <c r="B545" s="14" t="b">
        <f aca="false">FALSE()</f>
        <v>0</v>
      </c>
      <c r="C545" s="4" t="n">
        <v>2</v>
      </c>
      <c r="D545" s="4"/>
      <c r="E545" s="4"/>
      <c r="F545" s="4"/>
      <c r="G545" s="4"/>
      <c r="H545" s="14" t="b">
        <f aca="false">FALSE()</f>
        <v>0</v>
      </c>
      <c r="I545" s="14" t="b">
        <f aca="false">FALSE()</f>
        <v>0</v>
      </c>
      <c r="J545" s="4"/>
      <c r="K545" s="4" t="s">
        <v>2229</v>
      </c>
      <c r="L545" s="4" t="s">
        <v>2230</v>
      </c>
      <c r="M545" s="4" t="s">
        <v>2231</v>
      </c>
      <c r="N545" s="6" t="n">
        <v>15140</v>
      </c>
      <c r="O545" s="6" t="n">
        <v>109146</v>
      </c>
      <c r="P545" s="4" t="s">
        <v>46</v>
      </c>
      <c r="Q545" s="6" t="n">
        <v>375000</v>
      </c>
      <c r="R545" s="15" t="n">
        <v>45337</v>
      </c>
      <c r="S545" s="6"/>
      <c r="T545" s="15"/>
      <c r="U545" s="6"/>
      <c r="V545" s="15"/>
      <c r="W545" s="4" t="s">
        <v>47</v>
      </c>
      <c r="X545" s="4" t="s">
        <v>47</v>
      </c>
      <c r="Y545" s="4" t="s">
        <v>2232</v>
      </c>
      <c r="Z545" s="4" t="s">
        <v>2181</v>
      </c>
      <c r="AA545" s="6" t="n">
        <v>0</v>
      </c>
      <c r="AB545" s="6" t="n">
        <v>8789.02</v>
      </c>
      <c r="AC545" s="6" t="n">
        <v>9392.28</v>
      </c>
      <c r="AD545" s="14" t="b">
        <f aca="false">FALSE()</f>
        <v>0</v>
      </c>
    </row>
    <row r="546" customFormat="false" ht="15" hidden="false" customHeight="false" outlineLevel="0" collapsed="false">
      <c r="A546" s="14" t="b">
        <f aca="false">TRUE()</f>
        <v>1</v>
      </c>
      <c r="B546" s="14" t="b">
        <f aca="false">FALSE()</f>
        <v>0</v>
      </c>
      <c r="C546" s="4" t="n">
        <v>2</v>
      </c>
      <c r="D546" s="4"/>
      <c r="E546" s="4"/>
      <c r="F546" s="4"/>
      <c r="G546" s="4"/>
      <c r="H546" s="14" t="b">
        <f aca="false">FALSE()</f>
        <v>0</v>
      </c>
      <c r="I546" s="14" t="b">
        <f aca="false">FALSE()</f>
        <v>0</v>
      </c>
      <c r="J546" s="4"/>
      <c r="K546" s="4" t="s">
        <v>2233</v>
      </c>
      <c r="L546" s="4" t="s">
        <v>2234</v>
      </c>
      <c r="M546" s="4" t="s">
        <v>2235</v>
      </c>
      <c r="N546" s="6" t="n">
        <v>30171</v>
      </c>
      <c r="O546" s="6" t="n">
        <v>73254</v>
      </c>
      <c r="P546" s="4" t="s">
        <v>46</v>
      </c>
      <c r="Q546" s="6" t="n">
        <v>435000</v>
      </c>
      <c r="R546" s="15" t="n">
        <v>44826</v>
      </c>
      <c r="S546" s="6" t="n">
        <v>348000</v>
      </c>
      <c r="T546" s="15" t="n">
        <v>44826</v>
      </c>
      <c r="U546" s="6"/>
      <c r="V546" s="15"/>
      <c r="W546" s="4" t="s">
        <v>47</v>
      </c>
      <c r="X546" s="4" t="s">
        <v>47</v>
      </c>
      <c r="Y546" s="4" t="s">
        <v>2236</v>
      </c>
      <c r="Z546" s="4" t="s">
        <v>2181</v>
      </c>
      <c r="AA546" s="6" t="n">
        <v>0</v>
      </c>
      <c r="AB546" s="6" t="n">
        <v>7816.96</v>
      </c>
      <c r="AC546" s="6" t="n">
        <v>4094.36</v>
      </c>
      <c r="AD546" s="14" t="b">
        <f aca="false">TRUE()</f>
        <v>1</v>
      </c>
    </row>
    <row r="547" customFormat="false" ht="15" hidden="false" customHeight="false" outlineLevel="0" collapsed="false">
      <c r="A547" s="14" t="b">
        <f aca="false">TRUE()</f>
        <v>1</v>
      </c>
      <c r="B547" s="14" t="b">
        <f aca="false">FALSE()</f>
        <v>0</v>
      </c>
      <c r="C547" s="4" t="n">
        <v>2</v>
      </c>
      <c r="D547" s="4"/>
      <c r="E547" s="4"/>
      <c r="F547" s="4"/>
      <c r="G547" s="4" t="n">
        <v>3</v>
      </c>
      <c r="H547" s="14" t="b">
        <f aca="false">FALSE()</f>
        <v>0</v>
      </c>
      <c r="I547" s="14" t="b">
        <f aca="false">FALSE()</f>
        <v>0</v>
      </c>
      <c r="J547" s="4"/>
      <c r="K547" s="4" t="s">
        <v>2237</v>
      </c>
      <c r="L547" s="4" t="s">
        <v>2238</v>
      </c>
      <c r="M547" s="4" t="s">
        <v>2239</v>
      </c>
      <c r="N547" s="6" t="n">
        <v>16697</v>
      </c>
      <c r="O547" s="6" t="n">
        <v>125194</v>
      </c>
      <c r="P547" s="4" t="s">
        <v>46</v>
      </c>
      <c r="Q547" s="6"/>
      <c r="R547" s="15" t="n">
        <v>41141</v>
      </c>
      <c r="S547" s="6"/>
      <c r="T547" s="15"/>
      <c r="U547" s="6"/>
      <c r="V547" s="15"/>
      <c r="W547" s="4" t="s">
        <v>58</v>
      </c>
      <c r="X547" s="4" t="s">
        <v>58</v>
      </c>
      <c r="Y547" s="4" t="s">
        <v>2240</v>
      </c>
      <c r="Z547" s="4" t="s">
        <v>2181</v>
      </c>
      <c r="AA547" s="6" t="n">
        <v>0</v>
      </c>
      <c r="AB547" s="6" t="n">
        <v>10119.62</v>
      </c>
      <c r="AC547" s="6" t="n">
        <v>5297.5</v>
      </c>
      <c r="AD547" s="14" t="b">
        <f aca="false">TRUE()</f>
        <v>1</v>
      </c>
    </row>
    <row r="548" customFormat="false" ht="15" hidden="false" customHeight="false" outlineLevel="0" collapsed="false">
      <c r="A548" s="14" t="b">
        <f aca="false">TRUE()</f>
        <v>1</v>
      </c>
      <c r="B548" s="14" t="b">
        <f aca="false">FALSE()</f>
        <v>0</v>
      </c>
      <c r="C548" s="4" t="n">
        <v>2</v>
      </c>
      <c r="D548" s="4"/>
      <c r="E548" s="4"/>
      <c r="F548" s="4"/>
      <c r="G548" s="4"/>
      <c r="H548" s="14" t="b">
        <f aca="false">TRUE()</f>
        <v>1</v>
      </c>
      <c r="I548" s="14" t="b">
        <f aca="false">FALSE()</f>
        <v>0</v>
      </c>
      <c r="J548" s="4"/>
      <c r="K548" s="4" t="s">
        <v>2241</v>
      </c>
      <c r="L548" s="4" t="s">
        <v>2242</v>
      </c>
      <c r="M548" s="4" t="s">
        <v>2243</v>
      </c>
      <c r="N548" s="6" t="n">
        <v>12058</v>
      </c>
      <c r="O548" s="6" t="n">
        <v>79158</v>
      </c>
      <c r="P548" s="4" t="s">
        <v>46</v>
      </c>
      <c r="Q548" s="6"/>
      <c r="R548" s="15" t="n">
        <v>43886</v>
      </c>
      <c r="S548" s="6"/>
      <c r="T548" s="15"/>
      <c r="U548" s="6"/>
      <c r="V548" s="15"/>
      <c r="W548" s="4" t="s">
        <v>58</v>
      </c>
      <c r="X548" s="4" t="s">
        <v>58</v>
      </c>
      <c r="Y548" s="4" t="s">
        <v>2244</v>
      </c>
      <c r="Z548" s="4" t="s">
        <v>2181</v>
      </c>
      <c r="AA548" s="6" t="n">
        <v>0</v>
      </c>
      <c r="AB548" s="6" t="n">
        <v>6289.54</v>
      </c>
      <c r="AC548" s="6" t="n">
        <v>6724.08</v>
      </c>
      <c r="AD548" s="14" t="b">
        <f aca="false">FALSE()</f>
        <v>0</v>
      </c>
    </row>
    <row r="549" customFormat="false" ht="15" hidden="false" customHeight="false" outlineLevel="0" collapsed="false">
      <c r="A549" s="14" t="b">
        <f aca="false">TRUE()</f>
        <v>1</v>
      </c>
      <c r="B549" s="14" t="b">
        <f aca="false">FALSE()</f>
        <v>0</v>
      </c>
      <c r="C549" s="4" t="n">
        <v>3</v>
      </c>
      <c r="D549" s="4"/>
      <c r="E549" s="4"/>
      <c r="F549" s="4"/>
      <c r="G549" s="4" t="n">
        <v>2</v>
      </c>
      <c r="H549" s="14" t="b">
        <f aca="false">TRUE()</f>
        <v>1</v>
      </c>
      <c r="I549" s="14" t="b">
        <f aca="false">FALSE()</f>
        <v>0</v>
      </c>
      <c r="J549" s="4"/>
      <c r="K549" s="4" t="s">
        <v>2245</v>
      </c>
      <c r="L549" s="4" t="s">
        <v>2246</v>
      </c>
      <c r="M549" s="4" t="s">
        <v>2247</v>
      </c>
      <c r="N549" s="6" t="n">
        <v>34475</v>
      </c>
      <c r="O549" s="6" t="n">
        <v>78985</v>
      </c>
      <c r="P549" s="4" t="s">
        <v>46</v>
      </c>
      <c r="Q549" s="6" t="n">
        <v>218000</v>
      </c>
      <c r="R549" s="15" t="n">
        <v>37561</v>
      </c>
      <c r="S549" s="6" t="n">
        <v>130000</v>
      </c>
      <c r="T549" s="15" t="n">
        <v>41674</v>
      </c>
      <c r="U549" s="6"/>
      <c r="V549" s="15"/>
      <c r="W549" s="4" t="s">
        <v>58</v>
      </c>
      <c r="X549" s="4" t="s">
        <v>58</v>
      </c>
      <c r="Y549" s="4" t="s">
        <v>2248</v>
      </c>
      <c r="Z549" s="4" t="s">
        <v>910</v>
      </c>
      <c r="AA549" s="6" t="n">
        <v>0</v>
      </c>
      <c r="AB549" s="6" t="n">
        <v>8193.72</v>
      </c>
      <c r="AC549" s="6" t="n">
        <v>8756.8</v>
      </c>
      <c r="AD549" s="14" t="b">
        <f aca="false">FALSE()</f>
        <v>0</v>
      </c>
    </row>
    <row r="550" customFormat="false" ht="15" hidden="false" customHeight="false" outlineLevel="0" collapsed="false">
      <c r="A550" s="14" t="b">
        <f aca="false">TRUE()</f>
        <v>1</v>
      </c>
      <c r="B550" s="14" t="b">
        <f aca="false">FALSE()</f>
        <v>0</v>
      </c>
      <c r="C550" s="4" t="n">
        <v>2</v>
      </c>
      <c r="D550" s="4"/>
      <c r="E550" s="4"/>
      <c r="F550" s="4"/>
      <c r="G550" s="4"/>
      <c r="H550" s="14" t="b">
        <f aca="false">FALSE()</f>
        <v>0</v>
      </c>
      <c r="I550" s="14" t="b">
        <f aca="false">FALSE()</f>
        <v>0</v>
      </c>
      <c r="J550" s="4"/>
      <c r="K550" s="4" t="s">
        <v>2249</v>
      </c>
      <c r="L550" s="4" t="s">
        <v>2250</v>
      </c>
      <c r="M550" s="4" t="s">
        <v>2251</v>
      </c>
      <c r="N550" s="6" t="n">
        <v>4639</v>
      </c>
      <c r="O550" s="6" t="n">
        <v>41731</v>
      </c>
      <c r="P550" s="4" t="s">
        <v>46</v>
      </c>
      <c r="Q550" s="6"/>
      <c r="R550" s="15" t="n">
        <v>45621</v>
      </c>
      <c r="S550" s="6"/>
      <c r="T550" s="15"/>
      <c r="U550" s="6"/>
      <c r="V550" s="15"/>
      <c r="W550" s="4" t="s">
        <v>58</v>
      </c>
      <c r="X550" s="4" t="s">
        <v>47</v>
      </c>
      <c r="Y550" s="4" t="s">
        <v>2252</v>
      </c>
      <c r="Z550" s="4" t="s">
        <v>2181</v>
      </c>
      <c r="AA550" s="6" t="n">
        <v>0</v>
      </c>
      <c r="AB550" s="6" t="n">
        <v>3668.18</v>
      </c>
      <c r="AC550" s="6" t="n">
        <v>3925.78</v>
      </c>
      <c r="AD550" s="14" t="b">
        <f aca="false">FALSE()</f>
        <v>0</v>
      </c>
    </row>
    <row r="551" customFormat="false" ht="15" hidden="false" customHeight="false" outlineLevel="0" collapsed="false">
      <c r="A551" s="14" t="b">
        <f aca="false">TRUE()</f>
        <v>1</v>
      </c>
      <c r="B551" s="14" t="b">
        <f aca="false">FALSE()</f>
        <v>0</v>
      </c>
      <c r="C551" s="4" t="n">
        <v>2</v>
      </c>
      <c r="D551" s="4"/>
      <c r="E551" s="4"/>
      <c r="F551" s="4"/>
      <c r="G551" s="4"/>
      <c r="H551" s="14" t="b">
        <f aca="false">FALSE()</f>
        <v>0</v>
      </c>
      <c r="I551" s="14" t="b">
        <f aca="false">FALSE()</f>
        <v>0</v>
      </c>
      <c r="J551" s="4"/>
      <c r="K551" s="4" t="s">
        <v>2249</v>
      </c>
      <c r="L551" s="4" t="s">
        <v>2253</v>
      </c>
      <c r="M551" s="4" t="s">
        <v>2254</v>
      </c>
      <c r="N551" s="6" t="n">
        <v>4639</v>
      </c>
      <c r="O551" s="6" t="n">
        <v>41731</v>
      </c>
      <c r="P551" s="4" t="s">
        <v>46</v>
      </c>
      <c r="Q551" s="6"/>
      <c r="R551" s="15" t="n">
        <v>45621</v>
      </c>
      <c r="S551" s="6"/>
      <c r="T551" s="15"/>
      <c r="U551" s="6"/>
      <c r="V551" s="15"/>
      <c r="W551" s="4" t="s">
        <v>58</v>
      </c>
      <c r="X551" s="4" t="s">
        <v>47</v>
      </c>
      <c r="Y551" s="4" t="s">
        <v>2255</v>
      </c>
      <c r="Z551" s="4" t="s">
        <v>2181</v>
      </c>
      <c r="AA551" s="6" t="n">
        <v>0</v>
      </c>
      <c r="AB551" s="6" t="n">
        <v>3668.2</v>
      </c>
      <c r="AC551" s="6" t="n">
        <v>3925.8</v>
      </c>
      <c r="AD551" s="14" t="b">
        <f aca="false">FALSE()</f>
        <v>0</v>
      </c>
    </row>
    <row r="552" customFormat="false" ht="15" hidden="false" customHeight="false" outlineLevel="0" collapsed="false">
      <c r="A552" s="14" t="b">
        <f aca="false">TRUE()</f>
        <v>1</v>
      </c>
      <c r="B552" s="14" t="b">
        <f aca="false">FALSE()</f>
        <v>0</v>
      </c>
      <c r="C552" s="4" t="n">
        <v>2</v>
      </c>
      <c r="D552" s="4"/>
      <c r="E552" s="4"/>
      <c r="F552" s="4"/>
      <c r="G552" s="4"/>
      <c r="H552" s="14" t="b">
        <f aca="false">FALSE()</f>
        <v>0</v>
      </c>
      <c r="I552" s="14" t="b">
        <f aca="false">FALSE()</f>
        <v>0</v>
      </c>
      <c r="J552" s="4"/>
      <c r="K552" s="4" t="s">
        <v>2256</v>
      </c>
      <c r="L552" s="4" t="s">
        <v>2257</v>
      </c>
      <c r="M552" s="4" t="s">
        <v>2258</v>
      </c>
      <c r="N552" s="6" t="n">
        <v>4639</v>
      </c>
      <c r="O552" s="6" t="n">
        <v>41731</v>
      </c>
      <c r="P552" s="4" t="s">
        <v>46</v>
      </c>
      <c r="Q552" s="6"/>
      <c r="R552" s="15" t="n">
        <v>45621</v>
      </c>
      <c r="S552" s="6"/>
      <c r="T552" s="15"/>
      <c r="U552" s="6"/>
      <c r="V552" s="15"/>
      <c r="W552" s="4" t="s">
        <v>47</v>
      </c>
      <c r="X552" s="4" t="s">
        <v>58</v>
      </c>
      <c r="Y552" s="4" t="s">
        <v>2259</v>
      </c>
      <c r="Z552" s="4" t="s">
        <v>2181</v>
      </c>
      <c r="AA552" s="6" t="n">
        <v>0</v>
      </c>
      <c r="AB552" s="6" t="n">
        <v>3668.2</v>
      </c>
      <c r="AC552" s="6" t="n">
        <v>3925.8</v>
      </c>
      <c r="AD552" s="14" t="b">
        <f aca="false">FALSE()</f>
        <v>0</v>
      </c>
    </row>
    <row r="553" customFormat="false" ht="15" hidden="false" customHeight="false" outlineLevel="0" collapsed="false">
      <c r="A553" s="14" t="b">
        <f aca="false">TRUE()</f>
        <v>1</v>
      </c>
      <c r="B553" s="14" t="b">
        <f aca="false">FALSE()</f>
        <v>0</v>
      </c>
      <c r="C553" s="4" t="n">
        <v>2</v>
      </c>
      <c r="D553" s="4"/>
      <c r="E553" s="4"/>
      <c r="F553" s="4"/>
      <c r="G553" s="4"/>
      <c r="H553" s="14" t="b">
        <f aca="false">FALSE()</f>
        <v>0</v>
      </c>
      <c r="I553" s="14" t="b">
        <f aca="false">FALSE()</f>
        <v>0</v>
      </c>
      <c r="J553" s="4"/>
      <c r="K553" s="4" t="s">
        <v>2249</v>
      </c>
      <c r="L553" s="4" t="s">
        <v>2260</v>
      </c>
      <c r="M553" s="4" t="s">
        <v>2261</v>
      </c>
      <c r="N553" s="6" t="n">
        <v>4639</v>
      </c>
      <c r="O553" s="6" t="n">
        <v>41731</v>
      </c>
      <c r="P553" s="4" t="s">
        <v>46</v>
      </c>
      <c r="Q553" s="6"/>
      <c r="R553" s="15" t="n">
        <v>45621</v>
      </c>
      <c r="S553" s="6"/>
      <c r="T553" s="15"/>
      <c r="U553" s="6"/>
      <c r="V553" s="15"/>
      <c r="W553" s="4" t="s">
        <v>47</v>
      </c>
      <c r="X553" s="4" t="s">
        <v>58</v>
      </c>
      <c r="Y553" s="4" t="s">
        <v>2262</v>
      </c>
      <c r="Z553" s="4" t="s">
        <v>2181</v>
      </c>
      <c r="AA553" s="6" t="n">
        <v>0</v>
      </c>
      <c r="AB553" s="6" t="n">
        <v>3668.2</v>
      </c>
      <c r="AC553" s="6" t="n">
        <v>3925.8</v>
      </c>
      <c r="AD553" s="14" t="b">
        <f aca="false">FALSE()</f>
        <v>0</v>
      </c>
    </row>
    <row r="554" customFormat="false" ht="15" hidden="false" customHeight="false" outlineLevel="0" collapsed="false">
      <c r="A554" s="14" t="b">
        <f aca="false">TRUE()</f>
        <v>1</v>
      </c>
      <c r="B554" s="14" t="b">
        <f aca="false">FALSE()</f>
        <v>0</v>
      </c>
      <c r="C554" s="4" t="n">
        <v>2</v>
      </c>
      <c r="D554" s="4"/>
      <c r="E554" s="4"/>
      <c r="F554" s="4"/>
      <c r="G554" s="4"/>
      <c r="H554" s="14" t="b">
        <f aca="false">TRUE()</f>
        <v>1</v>
      </c>
      <c r="I554" s="14" t="b">
        <f aca="false">FALSE()</f>
        <v>0</v>
      </c>
      <c r="J554" s="4"/>
      <c r="K554" s="4" t="s">
        <v>2263</v>
      </c>
      <c r="L554" s="4" t="s">
        <v>2264</v>
      </c>
      <c r="M554" s="4" t="s">
        <v>2265</v>
      </c>
      <c r="N554" s="6" t="n">
        <v>21531</v>
      </c>
      <c r="O554" s="6" t="n">
        <v>136851</v>
      </c>
      <c r="P554" s="4" t="s">
        <v>46</v>
      </c>
      <c r="Q554" s="6" t="n">
        <v>155000</v>
      </c>
      <c r="R554" s="15" t="n">
        <v>41341</v>
      </c>
      <c r="S554" s="6" t="n">
        <v>60000</v>
      </c>
      <c r="T554" s="15" t="n">
        <v>41610</v>
      </c>
      <c r="U554" s="6"/>
      <c r="V554" s="15"/>
      <c r="W554" s="4" t="s">
        <v>47</v>
      </c>
      <c r="X554" s="4" t="s">
        <v>58</v>
      </c>
      <c r="Y554" s="4" t="s">
        <v>2266</v>
      </c>
      <c r="Z554" s="4" t="s">
        <v>910</v>
      </c>
      <c r="AA554" s="6" t="n">
        <v>0</v>
      </c>
      <c r="AB554" s="6" t="n">
        <v>11073.84</v>
      </c>
      <c r="AC554" s="6" t="n">
        <v>5796.08</v>
      </c>
      <c r="AD554" s="14" t="b">
        <f aca="false">TRUE()</f>
        <v>1</v>
      </c>
    </row>
    <row r="555" customFormat="false" ht="15" hidden="false" customHeight="false" outlineLevel="0" collapsed="false">
      <c r="A555" s="14" t="b">
        <f aca="false">TRUE()</f>
        <v>1</v>
      </c>
      <c r="B555" s="14" t="b">
        <f aca="false">FALSE()</f>
        <v>0</v>
      </c>
      <c r="C555" s="4" t="n">
        <v>2</v>
      </c>
      <c r="D555" s="4"/>
      <c r="E555" s="4"/>
      <c r="F555" s="4"/>
      <c r="G555" s="4"/>
      <c r="H555" s="14" t="b">
        <f aca="false">FALSE()</f>
        <v>0</v>
      </c>
      <c r="I555" s="14" t="b">
        <f aca="false">FALSE()</f>
        <v>0</v>
      </c>
      <c r="J555" s="4"/>
      <c r="K555" s="4" t="s">
        <v>2267</v>
      </c>
      <c r="L555" s="4" t="s">
        <v>2268</v>
      </c>
      <c r="M555" s="4" t="s">
        <v>2269</v>
      </c>
      <c r="N555" s="6" t="n">
        <v>22677</v>
      </c>
      <c r="O555" s="6" t="n">
        <v>72908</v>
      </c>
      <c r="P555" s="4" t="s">
        <v>46</v>
      </c>
      <c r="Q555" s="6" t="n">
        <v>225000</v>
      </c>
      <c r="R555" s="15" t="n">
        <v>45789</v>
      </c>
      <c r="S555" s="6" t="n">
        <v>282500</v>
      </c>
      <c r="T555" s="15" t="n">
        <v>45789</v>
      </c>
      <c r="U555" s="6"/>
      <c r="V555" s="15"/>
      <c r="W555" s="4" t="s">
        <v>58</v>
      </c>
      <c r="X555" s="4" t="s">
        <v>47</v>
      </c>
      <c r="Y555" s="4" t="s">
        <v>2270</v>
      </c>
      <c r="Z555" s="4" t="s">
        <v>910</v>
      </c>
      <c r="AA555" s="6" t="n">
        <v>0</v>
      </c>
      <c r="AB555" s="6" t="n">
        <v>6027.98</v>
      </c>
      <c r="AC555" s="6" t="n">
        <v>3159.62</v>
      </c>
      <c r="AD555" s="14" t="b">
        <f aca="false">TRUE()</f>
        <v>1</v>
      </c>
    </row>
    <row r="556" customFormat="false" ht="15" hidden="false" customHeight="false" outlineLevel="0" collapsed="false">
      <c r="A556" s="14" t="b">
        <f aca="false">TRUE()</f>
        <v>1</v>
      </c>
      <c r="B556" s="14" t="b">
        <f aca="false">FALSE()</f>
        <v>0</v>
      </c>
      <c r="C556" s="4" t="n">
        <v>2</v>
      </c>
      <c r="D556" s="4"/>
      <c r="E556" s="4"/>
      <c r="F556" s="4"/>
      <c r="G556" s="4" t="n">
        <v>3</v>
      </c>
      <c r="H556" s="14" t="b">
        <f aca="false">FALSE()</f>
        <v>0</v>
      </c>
      <c r="I556" s="14" t="b">
        <f aca="false">FALSE()</f>
        <v>0</v>
      </c>
      <c r="J556" s="4"/>
      <c r="K556" s="4" t="s">
        <v>2271</v>
      </c>
      <c r="L556" s="4" t="s">
        <v>2272</v>
      </c>
      <c r="M556" s="4" t="s">
        <v>2273</v>
      </c>
      <c r="N556" s="6" t="n">
        <v>37319</v>
      </c>
      <c r="O556" s="6" t="n">
        <v>63143</v>
      </c>
      <c r="P556" s="4" t="s">
        <v>46</v>
      </c>
      <c r="Q556" s="6" t="n">
        <v>174000</v>
      </c>
      <c r="R556" s="15" t="n">
        <v>45343</v>
      </c>
      <c r="S556" s="6"/>
      <c r="T556" s="15"/>
      <c r="U556" s="6"/>
      <c r="V556" s="15"/>
      <c r="W556" s="4" t="s">
        <v>47</v>
      </c>
      <c r="X556" s="4" t="s">
        <v>47</v>
      </c>
      <c r="Y556" s="4" t="s">
        <v>2274</v>
      </c>
      <c r="Z556" s="4" t="s">
        <v>910</v>
      </c>
      <c r="AA556" s="6" t="n">
        <v>0</v>
      </c>
      <c r="AB556" s="6" t="n">
        <v>6808.74</v>
      </c>
      <c r="AC556" s="6" t="n">
        <v>7278.33</v>
      </c>
      <c r="AD556" s="14" t="b">
        <f aca="false">FALSE()</f>
        <v>0</v>
      </c>
    </row>
    <row r="557" customFormat="false" ht="15" hidden="false" customHeight="false" outlineLevel="0" collapsed="false">
      <c r="A557" s="14" t="b">
        <f aca="false">TRUE()</f>
        <v>1</v>
      </c>
      <c r="B557" s="14" t="b">
        <f aca="false">FALSE()</f>
        <v>0</v>
      </c>
      <c r="C557" s="4" t="n">
        <v>2</v>
      </c>
      <c r="D557" s="4"/>
      <c r="E557" s="4"/>
      <c r="F557" s="4"/>
      <c r="G557" s="4"/>
      <c r="H557" s="14" t="b">
        <f aca="false">FALSE()</f>
        <v>0</v>
      </c>
      <c r="I557" s="14" t="b">
        <f aca="false">FALSE()</f>
        <v>0</v>
      </c>
      <c r="J557" s="4"/>
      <c r="K557" s="4" t="s">
        <v>2275</v>
      </c>
      <c r="L557" s="4" t="s">
        <v>2276</v>
      </c>
      <c r="M557" s="4" t="s">
        <v>2277</v>
      </c>
      <c r="N557" s="6" t="n">
        <v>8208</v>
      </c>
      <c r="O557" s="6" t="n">
        <v>73892</v>
      </c>
      <c r="P557" s="4" t="s">
        <v>46</v>
      </c>
      <c r="Q557" s="6" t="n">
        <v>320000</v>
      </c>
      <c r="R557" s="15" t="n">
        <v>45379</v>
      </c>
      <c r="S557" s="6"/>
      <c r="T557" s="15"/>
      <c r="U557" s="6"/>
      <c r="V557" s="15"/>
      <c r="W557" s="4" t="s">
        <v>47</v>
      </c>
      <c r="X557" s="4" t="s">
        <v>47</v>
      </c>
      <c r="Y557" s="4" t="s">
        <v>2278</v>
      </c>
      <c r="Z557" s="4" t="s">
        <v>910</v>
      </c>
      <c r="AA557" s="6" t="n">
        <v>0</v>
      </c>
      <c r="AB557" s="6" t="n">
        <v>6045.68</v>
      </c>
      <c r="AC557" s="6" t="n">
        <v>6463.77</v>
      </c>
      <c r="AD557" s="14" t="b">
        <f aca="false">FALSE()</f>
        <v>0</v>
      </c>
    </row>
    <row r="558" customFormat="false" ht="15" hidden="false" customHeight="false" outlineLevel="0" collapsed="false">
      <c r="A558" s="14" t="b">
        <f aca="false">TRUE()</f>
        <v>1</v>
      </c>
      <c r="B558" s="14" t="b">
        <f aca="false">FALSE()</f>
        <v>0</v>
      </c>
      <c r="C558" s="4" t="n">
        <v>3</v>
      </c>
      <c r="D558" s="4"/>
      <c r="E558" s="4"/>
      <c r="F558" s="4"/>
      <c r="G558" s="4"/>
      <c r="H558" s="14" t="b">
        <f aca="false">FALSE()</f>
        <v>0</v>
      </c>
      <c r="I558" s="14" t="b">
        <f aca="false">FALSE()</f>
        <v>0</v>
      </c>
      <c r="J558" s="4"/>
      <c r="K558" s="4" t="s">
        <v>2279</v>
      </c>
      <c r="L558" s="4" t="s">
        <v>2280</v>
      </c>
      <c r="M558" s="4" t="s">
        <v>2281</v>
      </c>
      <c r="N558" s="6" t="n">
        <v>41234</v>
      </c>
      <c r="O558" s="6" t="n">
        <v>81732</v>
      </c>
      <c r="P558" s="4" t="s">
        <v>46</v>
      </c>
      <c r="Q558" s="6" t="n">
        <v>60000</v>
      </c>
      <c r="R558" s="15" t="n">
        <v>38124</v>
      </c>
      <c r="S558" s="6" t="n">
        <v>165000</v>
      </c>
      <c r="T558" s="15" t="n">
        <v>38124</v>
      </c>
      <c r="U558" s="6" t="n">
        <v>76000</v>
      </c>
      <c r="V558" s="15" t="n">
        <v>39013</v>
      </c>
      <c r="W558" s="4" t="s">
        <v>47</v>
      </c>
      <c r="X558" s="4" t="s">
        <v>47</v>
      </c>
      <c r="Y558" s="4" t="s">
        <v>2282</v>
      </c>
      <c r="Z558" s="4" t="s">
        <v>910</v>
      </c>
      <c r="AA558" s="6" t="n">
        <v>0</v>
      </c>
      <c r="AB558" s="6" t="n">
        <v>8310.74</v>
      </c>
      <c r="AC558" s="6" t="n">
        <v>8881.71</v>
      </c>
      <c r="AD558" s="14" t="b">
        <f aca="false">FALSE()</f>
        <v>0</v>
      </c>
    </row>
    <row r="559" customFormat="false" ht="15" hidden="false" customHeight="false" outlineLevel="0" collapsed="false">
      <c r="A559" s="14" t="b">
        <f aca="false">TRUE()</f>
        <v>1</v>
      </c>
      <c r="B559" s="14" t="b">
        <f aca="false">FALSE()</f>
        <v>0</v>
      </c>
      <c r="C559" s="4" t="n">
        <v>2</v>
      </c>
      <c r="D559" s="4"/>
      <c r="E559" s="4"/>
      <c r="F559" s="4"/>
      <c r="G559" s="4"/>
      <c r="H559" s="14" t="b">
        <f aca="false">FALSE()</f>
        <v>0</v>
      </c>
      <c r="I559" s="14" t="b">
        <f aca="false">FALSE()</f>
        <v>0</v>
      </c>
      <c r="J559" s="4"/>
      <c r="K559" s="4" t="s">
        <v>2283</v>
      </c>
      <c r="L559" s="4" t="s">
        <v>2284</v>
      </c>
      <c r="M559" s="4" t="s">
        <v>2285</v>
      </c>
      <c r="N559" s="6" t="n">
        <v>39990</v>
      </c>
      <c r="O559" s="6" t="n">
        <v>77807</v>
      </c>
      <c r="P559" s="4" t="s">
        <v>46</v>
      </c>
      <c r="Q559" s="6"/>
      <c r="R559" s="15"/>
      <c r="S559" s="6"/>
      <c r="T559" s="15"/>
      <c r="U559" s="6"/>
      <c r="V559" s="15"/>
      <c r="W559" s="4" t="s">
        <v>47</v>
      </c>
      <c r="X559" s="4" t="s">
        <v>47</v>
      </c>
      <c r="Y559" s="4" t="s">
        <v>2286</v>
      </c>
      <c r="Z559" s="4" t="s">
        <v>910</v>
      </c>
      <c r="AA559" s="6" t="n">
        <v>0</v>
      </c>
      <c r="AB559" s="6" t="n">
        <v>8530.68</v>
      </c>
      <c r="AC559" s="6" t="n">
        <v>4467.28</v>
      </c>
      <c r="AD559" s="14" t="b">
        <f aca="false">TRUE()</f>
        <v>1</v>
      </c>
    </row>
    <row r="560" customFormat="false" ht="15" hidden="false" customHeight="false" outlineLevel="0" collapsed="false">
      <c r="A560" s="14" t="b">
        <f aca="false">TRUE()</f>
        <v>1</v>
      </c>
      <c r="B560" s="14" t="b">
        <f aca="false">FALSE()</f>
        <v>0</v>
      </c>
      <c r="C560" s="4" t="n">
        <v>2</v>
      </c>
      <c r="D560" s="4"/>
      <c r="E560" s="4"/>
      <c r="F560" s="4"/>
      <c r="G560" s="4"/>
      <c r="H560" s="14" t="b">
        <f aca="false">FALSE()</f>
        <v>0</v>
      </c>
      <c r="I560" s="14" t="b">
        <f aca="false">FALSE()</f>
        <v>0</v>
      </c>
      <c r="J560" s="4"/>
      <c r="K560" s="4" t="s">
        <v>2287</v>
      </c>
      <c r="L560" s="4" t="s">
        <v>2288</v>
      </c>
      <c r="M560" s="4" t="s">
        <v>2289</v>
      </c>
      <c r="N560" s="6" t="n">
        <v>22212</v>
      </c>
      <c r="O560" s="6" t="n">
        <v>89724</v>
      </c>
      <c r="P560" s="4" t="s">
        <v>46</v>
      </c>
      <c r="Q560" s="6" t="n">
        <v>405000</v>
      </c>
      <c r="R560" s="15" t="n">
        <v>45142</v>
      </c>
      <c r="S560" s="6" t="n">
        <v>303750</v>
      </c>
      <c r="T560" s="15" t="n">
        <v>45142</v>
      </c>
      <c r="U560" s="6"/>
      <c r="V560" s="15"/>
      <c r="W560" s="4" t="s">
        <v>47</v>
      </c>
      <c r="X560" s="4" t="s">
        <v>47</v>
      </c>
      <c r="Y560" s="4" t="s">
        <v>2290</v>
      </c>
      <c r="Z560" s="4" t="s">
        <v>910</v>
      </c>
      <c r="AA560" s="6" t="n">
        <v>0</v>
      </c>
      <c r="AB560" s="6" t="n">
        <v>8075.32</v>
      </c>
      <c r="AC560" s="6" t="n">
        <v>4229.35</v>
      </c>
      <c r="AD560" s="14" t="b">
        <f aca="false">TRUE()</f>
        <v>1</v>
      </c>
    </row>
    <row r="561" customFormat="false" ht="15" hidden="false" customHeight="false" outlineLevel="0" collapsed="false">
      <c r="A561" s="14" t="b">
        <f aca="false">TRUE()</f>
        <v>1</v>
      </c>
      <c r="B561" s="14" t="b">
        <f aca="false">FALSE()</f>
        <v>0</v>
      </c>
      <c r="C561" s="4" t="n">
        <v>3</v>
      </c>
      <c r="D561" s="4"/>
      <c r="E561" s="4"/>
      <c r="F561" s="4"/>
      <c r="G561" s="4" t="n">
        <v>3</v>
      </c>
      <c r="H561" s="14" t="b">
        <f aca="false">FALSE()</f>
        <v>0</v>
      </c>
      <c r="I561" s="14" t="b">
        <f aca="false">FALSE()</f>
        <v>0</v>
      </c>
      <c r="J561" s="4"/>
      <c r="K561" s="4" t="s">
        <v>2291</v>
      </c>
      <c r="L561" s="4" t="s">
        <v>2292</v>
      </c>
      <c r="M561" s="4" t="s">
        <v>2293</v>
      </c>
      <c r="N561" s="6" t="n">
        <v>40877</v>
      </c>
      <c r="O561" s="6" t="n">
        <v>146173</v>
      </c>
      <c r="P561" s="4" t="s">
        <v>46</v>
      </c>
      <c r="Q561" s="6" t="n">
        <v>790000</v>
      </c>
      <c r="R561" s="15" t="n">
        <v>45385</v>
      </c>
      <c r="S561" s="6"/>
      <c r="T561" s="15"/>
      <c r="U561" s="6"/>
      <c r="V561" s="15"/>
      <c r="W561" s="4" t="s">
        <v>47</v>
      </c>
      <c r="X561" s="4" t="s">
        <v>47</v>
      </c>
      <c r="Y561" s="4" t="s">
        <v>2294</v>
      </c>
      <c r="Z561" s="4" t="s">
        <v>910</v>
      </c>
      <c r="AA561" s="6" t="n">
        <v>0</v>
      </c>
      <c r="AB561" s="6" t="n">
        <v>14532.88</v>
      </c>
      <c r="AC561" s="6" t="n">
        <v>15523.85</v>
      </c>
      <c r="AD561" s="14" t="b">
        <f aca="false">FALSE()</f>
        <v>0</v>
      </c>
    </row>
    <row r="562" customFormat="false" ht="15" hidden="false" customHeight="false" outlineLevel="0" collapsed="false">
      <c r="A562" s="14" t="b">
        <f aca="false">TRUE()</f>
        <v>1</v>
      </c>
      <c r="B562" s="14" t="b">
        <f aca="false">FALSE()</f>
        <v>0</v>
      </c>
      <c r="C562" s="4" t="n">
        <v>2</v>
      </c>
      <c r="D562" s="4"/>
      <c r="E562" s="4"/>
      <c r="F562" s="4"/>
      <c r="G562" s="4"/>
      <c r="H562" s="14" t="b">
        <f aca="false">FALSE()</f>
        <v>0</v>
      </c>
      <c r="I562" s="14" t="b">
        <f aca="false">FALSE()</f>
        <v>0</v>
      </c>
      <c r="J562" s="4"/>
      <c r="K562" s="4" t="s">
        <v>2295</v>
      </c>
      <c r="L562" s="4" t="s">
        <v>2296</v>
      </c>
      <c r="M562" s="4" t="s">
        <v>2297</v>
      </c>
      <c r="N562" s="6" t="n">
        <v>23715</v>
      </c>
      <c r="O562" s="6" t="n">
        <v>73470</v>
      </c>
      <c r="P562" s="4" t="s">
        <v>46</v>
      </c>
      <c r="Q562" s="6" t="n">
        <v>350000</v>
      </c>
      <c r="R562" s="15" t="n">
        <v>45278</v>
      </c>
      <c r="S562" s="6"/>
      <c r="T562" s="15"/>
      <c r="U562" s="6"/>
      <c r="V562" s="15"/>
      <c r="W562" s="4" t="s">
        <v>47</v>
      </c>
      <c r="X562" s="4" t="s">
        <v>47</v>
      </c>
      <c r="Y562" s="4" t="s">
        <v>2298</v>
      </c>
      <c r="Z562" s="4" t="s">
        <v>910</v>
      </c>
      <c r="AA562" s="6" t="n">
        <v>0</v>
      </c>
      <c r="AB562" s="6" t="n">
        <v>6929.22</v>
      </c>
      <c r="AC562" s="6" t="n">
        <v>7406.94</v>
      </c>
      <c r="AD562" s="14" t="b">
        <f aca="false">FALSE()</f>
        <v>0</v>
      </c>
    </row>
    <row r="563" customFormat="false" ht="15" hidden="false" customHeight="false" outlineLevel="0" collapsed="false">
      <c r="A563" s="14" t="b">
        <f aca="false">TRUE()</f>
        <v>1</v>
      </c>
      <c r="B563" s="14" t="b">
        <f aca="false">FALSE()</f>
        <v>0</v>
      </c>
      <c r="C563" s="4" t="n">
        <v>2</v>
      </c>
      <c r="D563" s="4"/>
      <c r="E563" s="4"/>
      <c r="F563" s="4"/>
      <c r="G563" s="4" t="n">
        <v>2</v>
      </c>
      <c r="H563" s="14" t="b">
        <f aca="false">FALSE()</f>
        <v>0</v>
      </c>
      <c r="I563" s="14" t="b">
        <f aca="false">FALSE()</f>
        <v>0</v>
      </c>
      <c r="J563" s="4"/>
      <c r="K563" s="4" t="s">
        <v>2299</v>
      </c>
      <c r="L563" s="4" t="s">
        <v>2300</v>
      </c>
      <c r="M563" s="4" t="s">
        <v>2301</v>
      </c>
      <c r="N563" s="6" t="n">
        <v>5180</v>
      </c>
      <c r="O563" s="6" t="n">
        <v>46619</v>
      </c>
      <c r="P563" s="4" t="s">
        <v>46</v>
      </c>
      <c r="Q563" s="6" t="n">
        <v>131000</v>
      </c>
      <c r="R563" s="15" t="n">
        <v>37824</v>
      </c>
      <c r="S563" s="6"/>
      <c r="T563" s="15"/>
      <c r="U563" s="6"/>
      <c r="V563" s="15"/>
      <c r="W563" s="4" t="s">
        <v>47</v>
      </c>
      <c r="X563" s="4" t="s">
        <v>58</v>
      </c>
      <c r="Y563" s="4" t="s">
        <v>2302</v>
      </c>
      <c r="Z563" s="4" t="s">
        <v>910</v>
      </c>
      <c r="AA563" s="6" t="n">
        <v>0</v>
      </c>
      <c r="AB563" s="6" t="n">
        <v>3402.96</v>
      </c>
      <c r="AC563" s="6" t="n">
        <v>3642.66</v>
      </c>
      <c r="AD563" s="14" t="b">
        <f aca="false">FALSE()</f>
        <v>0</v>
      </c>
    </row>
    <row r="564" customFormat="false" ht="15" hidden="false" customHeight="false" outlineLevel="0" collapsed="false">
      <c r="A564" s="14" t="b">
        <f aca="false">TRUE()</f>
        <v>1</v>
      </c>
      <c r="B564" s="14" t="b">
        <f aca="false">FALSE()</f>
        <v>0</v>
      </c>
      <c r="C564" s="4" t="n">
        <v>2</v>
      </c>
      <c r="D564" s="4"/>
      <c r="E564" s="4"/>
      <c r="F564" s="4"/>
      <c r="G564" s="4"/>
      <c r="H564" s="14" t="b">
        <f aca="false">FALSE()</f>
        <v>0</v>
      </c>
      <c r="I564" s="14" t="b">
        <f aca="false">FALSE()</f>
        <v>0</v>
      </c>
      <c r="J564" s="4"/>
      <c r="K564" s="4" t="s">
        <v>2303</v>
      </c>
      <c r="L564" s="4" t="s">
        <v>2304</v>
      </c>
      <c r="M564" s="4" t="s">
        <v>2305</v>
      </c>
      <c r="N564" s="6" t="n">
        <v>5180</v>
      </c>
      <c r="O564" s="6" t="n">
        <v>46619</v>
      </c>
      <c r="P564" s="4" t="s">
        <v>46</v>
      </c>
      <c r="Q564" s="6" t="n">
        <v>133000</v>
      </c>
      <c r="R564" s="15" t="n">
        <v>44879</v>
      </c>
      <c r="S564" s="6"/>
      <c r="T564" s="15"/>
      <c r="U564" s="6"/>
      <c r="V564" s="15"/>
      <c r="W564" s="4" t="s">
        <v>47</v>
      </c>
      <c r="X564" s="4" t="s">
        <v>47</v>
      </c>
      <c r="Y564" s="4" t="s">
        <v>2306</v>
      </c>
      <c r="Z564" s="4" t="s">
        <v>910</v>
      </c>
      <c r="AA564" s="6" t="n">
        <v>0</v>
      </c>
      <c r="AB564" s="6" t="n">
        <v>4024.52</v>
      </c>
      <c r="AC564" s="6" t="n">
        <v>4306.17</v>
      </c>
      <c r="AD564" s="14" t="b">
        <f aca="false">FALSE()</f>
        <v>0</v>
      </c>
    </row>
    <row r="565" customFormat="false" ht="15" hidden="false" customHeight="false" outlineLevel="0" collapsed="false">
      <c r="A565" s="14" t="b">
        <f aca="false">TRUE()</f>
        <v>1</v>
      </c>
      <c r="B565" s="14" t="b">
        <f aca="false">FALSE()</f>
        <v>0</v>
      </c>
      <c r="C565" s="4" t="n">
        <v>2</v>
      </c>
      <c r="D565" s="4"/>
      <c r="E565" s="4"/>
      <c r="F565" s="4"/>
      <c r="G565" s="4"/>
      <c r="H565" s="14" t="b">
        <f aca="false">FALSE()</f>
        <v>0</v>
      </c>
      <c r="I565" s="14" t="b">
        <f aca="false">FALSE()</f>
        <v>0</v>
      </c>
      <c r="J565" s="4"/>
      <c r="K565" s="4" t="s">
        <v>2307</v>
      </c>
      <c r="L565" s="4" t="s">
        <v>2308</v>
      </c>
      <c r="M565" s="4" t="s">
        <v>2309</v>
      </c>
      <c r="N565" s="6" t="n">
        <v>3114</v>
      </c>
      <c r="O565" s="6" t="n">
        <v>28073</v>
      </c>
      <c r="P565" s="4" t="s">
        <v>46</v>
      </c>
      <c r="Q565" s="6" t="n">
        <v>110000</v>
      </c>
      <c r="R565" s="15" t="n">
        <v>45475</v>
      </c>
      <c r="S565" s="6" t="n">
        <v>115000</v>
      </c>
      <c r="T565" s="15" t="n">
        <v>45475</v>
      </c>
      <c r="U565" s="6"/>
      <c r="V565" s="15"/>
      <c r="W565" s="4" t="s">
        <v>47</v>
      </c>
      <c r="X565" s="4" t="s">
        <v>47</v>
      </c>
      <c r="Y565" s="4" t="s">
        <v>2310</v>
      </c>
      <c r="Z565" s="4" t="s">
        <v>910</v>
      </c>
      <c r="AA565" s="6" t="n">
        <v>0</v>
      </c>
      <c r="AB565" s="6" t="n">
        <v>2423.08</v>
      </c>
      <c r="AC565" s="6" t="n">
        <v>1276.06</v>
      </c>
      <c r="AD565" s="14" t="b">
        <f aca="false">TRUE()</f>
        <v>1</v>
      </c>
    </row>
    <row r="566" customFormat="false" ht="15" hidden="false" customHeight="false" outlineLevel="0" collapsed="false">
      <c r="A566" s="14" t="b">
        <f aca="false">TRUE()</f>
        <v>1</v>
      </c>
      <c r="B566" s="14" t="b">
        <f aca="false">FALSE()</f>
        <v>0</v>
      </c>
      <c r="C566" s="4" t="n">
        <v>2</v>
      </c>
      <c r="D566" s="4"/>
      <c r="E566" s="4"/>
      <c r="F566" s="4"/>
      <c r="G566" s="4"/>
      <c r="H566" s="14" t="b">
        <f aca="false">FALSE()</f>
        <v>0</v>
      </c>
      <c r="I566" s="14" t="b">
        <f aca="false">FALSE()</f>
        <v>0</v>
      </c>
      <c r="J566" s="4"/>
      <c r="K566" s="4" t="s">
        <v>2311</v>
      </c>
      <c r="L566" s="4" t="s">
        <v>2312</v>
      </c>
      <c r="M566" s="4" t="s">
        <v>2313</v>
      </c>
      <c r="N566" s="6" t="n">
        <v>21520</v>
      </c>
      <c r="O566" s="6" t="n">
        <v>55725</v>
      </c>
      <c r="P566" s="4" t="s">
        <v>46</v>
      </c>
      <c r="Q566" s="6"/>
      <c r="R566" s="15" t="n">
        <v>45469</v>
      </c>
      <c r="S566" s="6"/>
      <c r="T566" s="15"/>
      <c r="U566" s="6"/>
      <c r="V566" s="15"/>
      <c r="W566" s="4" t="s">
        <v>47</v>
      </c>
      <c r="X566" s="4" t="s">
        <v>47</v>
      </c>
      <c r="Y566" s="4" t="s">
        <v>2314</v>
      </c>
      <c r="Z566" s="4" t="s">
        <v>910</v>
      </c>
      <c r="AA566" s="6" t="n">
        <v>0</v>
      </c>
      <c r="AB566" s="6" t="n">
        <v>5099.08</v>
      </c>
      <c r="AC566" s="6" t="n">
        <v>2674.27</v>
      </c>
      <c r="AD566" s="14" t="b">
        <f aca="false">TRUE()</f>
        <v>1</v>
      </c>
    </row>
    <row r="567" customFormat="false" ht="15" hidden="false" customHeight="false" outlineLevel="0" collapsed="false">
      <c r="A567" s="14" t="b">
        <f aca="false">TRUE()</f>
        <v>1</v>
      </c>
      <c r="B567" s="14" t="b">
        <f aca="false">FALSE()</f>
        <v>0</v>
      </c>
      <c r="C567" s="4" t="n">
        <v>2</v>
      </c>
      <c r="D567" s="4"/>
      <c r="E567" s="4"/>
      <c r="F567" s="4"/>
      <c r="G567" s="4"/>
      <c r="H567" s="14" t="b">
        <f aca="false">FALSE()</f>
        <v>0</v>
      </c>
      <c r="I567" s="14" t="b">
        <f aca="false">FALSE()</f>
        <v>0</v>
      </c>
      <c r="J567" s="4"/>
      <c r="K567" s="4" t="s">
        <v>2315</v>
      </c>
      <c r="L567" s="4" t="s">
        <v>2316</v>
      </c>
      <c r="M567" s="4" t="s">
        <v>2317</v>
      </c>
      <c r="N567" s="6" t="n">
        <v>23607</v>
      </c>
      <c r="O567" s="6" t="n">
        <v>125183</v>
      </c>
      <c r="P567" s="4" t="s">
        <v>46</v>
      </c>
      <c r="Q567" s="6" t="n">
        <v>255000</v>
      </c>
      <c r="R567" s="15" t="n">
        <v>44063</v>
      </c>
      <c r="S567" s="6"/>
      <c r="T567" s="15"/>
      <c r="U567" s="6"/>
      <c r="V567" s="15"/>
      <c r="W567" s="4" t="s">
        <v>47</v>
      </c>
      <c r="X567" s="4" t="s">
        <v>47</v>
      </c>
      <c r="Y567" s="4" t="s">
        <v>2318</v>
      </c>
      <c r="Z567" s="4" t="s">
        <v>910</v>
      </c>
      <c r="AA567" s="6" t="n">
        <v>0</v>
      </c>
      <c r="AB567" s="6" t="n">
        <v>10938.7</v>
      </c>
      <c r="AC567" s="6" t="n">
        <v>5725.47</v>
      </c>
      <c r="AD567" s="14" t="b">
        <f aca="false">TRUE()</f>
        <v>1</v>
      </c>
    </row>
    <row r="568" customFormat="false" ht="15" hidden="false" customHeight="false" outlineLevel="0" collapsed="false">
      <c r="A568" s="14" t="b">
        <f aca="false">TRUE()</f>
        <v>1</v>
      </c>
      <c r="B568" s="14" t="b">
        <f aca="false">FALSE()</f>
        <v>0</v>
      </c>
      <c r="C568" s="4" t="n">
        <v>2</v>
      </c>
      <c r="D568" s="4"/>
      <c r="E568" s="4"/>
      <c r="F568" s="4"/>
      <c r="G568" s="4" t="n">
        <v>3</v>
      </c>
      <c r="H568" s="14" t="b">
        <f aca="false">FALSE()</f>
        <v>0</v>
      </c>
      <c r="I568" s="14" t="b">
        <f aca="false">FALSE()</f>
        <v>0</v>
      </c>
      <c r="J568" s="4"/>
      <c r="K568" s="4" t="s">
        <v>2319</v>
      </c>
      <c r="L568" s="4" t="s">
        <v>2320</v>
      </c>
      <c r="M568" s="4" t="s">
        <v>2321</v>
      </c>
      <c r="N568" s="6" t="n">
        <v>41980</v>
      </c>
      <c r="O568" s="6" t="n">
        <v>49874</v>
      </c>
      <c r="P568" s="4" t="s">
        <v>46</v>
      </c>
      <c r="Q568" s="6" t="n">
        <v>210000</v>
      </c>
      <c r="R568" s="15" t="n">
        <v>45685</v>
      </c>
      <c r="S568" s="6"/>
      <c r="T568" s="15"/>
      <c r="U568" s="6"/>
      <c r="V568" s="15"/>
      <c r="W568" s="4" t="s">
        <v>47</v>
      </c>
      <c r="X568" s="4" t="s">
        <v>47</v>
      </c>
      <c r="Y568" s="4" t="s">
        <v>2322</v>
      </c>
      <c r="Z568" s="4" t="s">
        <v>910</v>
      </c>
      <c r="AA568" s="6" t="n">
        <v>0</v>
      </c>
      <c r="AB568" s="6" t="n">
        <v>6174.86</v>
      </c>
      <c r="AC568" s="6" t="n">
        <v>6601.66</v>
      </c>
      <c r="AD568" s="14" t="b">
        <f aca="false">FALSE()</f>
        <v>0</v>
      </c>
    </row>
    <row r="569" customFormat="false" ht="15" hidden="false" customHeight="false" outlineLevel="0" collapsed="false">
      <c r="A569" s="14" t="b">
        <f aca="false">TRUE()</f>
        <v>1</v>
      </c>
      <c r="B569" s="14" t="b">
        <f aca="false">FALSE()</f>
        <v>0</v>
      </c>
      <c r="C569" s="4" t="n">
        <v>3</v>
      </c>
      <c r="D569" s="4"/>
      <c r="E569" s="4"/>
      <c r="F569" s="4"/>
      <c r="G569" s="4"/>
      <c r="H569" s="14" t="b">
        <f aca="false">FALSE()</f>
        <v>0</v>
      </c>
      <c r="I569" s="14" t="b">
        <f aca="false">FALSE()</f>
        <v>0</v>
      </c>
      <c r="J569" s="4"/>
      <c r="K569" s="4" t="s">
        <v>2323</v>
      </c>
      <c r="L569" s="4" t="s">
        <v>2324</v>
      </c>
      <c r="M569" s="4" t="s">
        <v>2325</v>
      </c>
      <c r="N569" s="6" t="n">
        <v>23596</v>
      </c>
      <c r="O569" s="6" t="n">
        <v>65565</v>
      </c>
      <c r="P569" s="4" t="s">
        <v>46</v>
      </c>
      <c r="Q569" s="6" t="n">
        <v>333000</v>
      </c>
      <c r="R569" s="15" t="n">
        <v>45489</v>
      </c>
      <c r="S569" s="6" t="n">
        <v>283050</v>
      </c>
      <c r="T569" s="15" t="n">
        <v>45489</v>
      </c>
      <c r="U569" s="6"/>
      <c r="V569" s="15"/>
      <c r="W569" s="4" t="s">
        <v>58</v>
      </c>
      <c r="X569" s="4" t="s">
        <v>47</v>
      </c>
      <c r="Y569" s="4" t="s">
        <v>2326</v>
      </c>
      <c r="Z569" s="4" t="s">
        <v>910</v>
      </c>
      <c r="AA569" s="6" t="n">
        <v>0</v>
      </c>
      <c r="AB569" s="6" t="n">
        <v>5387.44</v>
      </c>
      <c r="AC569" s="6" t="n">
        <v>5761.09</v>
      </c>
      <c r="AD569" s="14" t="b">
        <f aca="false">FALSE()</f>
        <v>0</v>
      </c>
    </row>
    <row r="570" customFormat="false" ht="15" hidden="false" customHeight="false" outlineLevel="0" collapsed="false">
      <c r="A570" s="14" t="b">
        <f aca="false">TRUE()</f>
        <v>1</v>
      </c>
      <c r="B570" s="14" t="b">
        <f aca="false">FALSE()</f>
        <v>0</v>
      </c>
      <c r="C570" s="4" t="n">
        <v>2</v>
      </c>
      <c r="D570" s="4"/>
      <c r="E570" s="4"/>
      <c r="F570" s="4"/>
      <c r="G570" s="4"/>
      <c r="H570" s="14" t="b">
        <f aca="false">FALSE()</f>
        <v>0</v>
      </c>
      <c r="I570" s="14" t="b">
        <f aca="false">FALSE()</f>
        <v>0</v>
      </c>
      <c r="J570" s="4"/>
      <c r="K570" s="4" t="s">
        <v>2327</v>
      </c>
      <c r="L570" s="4" t="s">
        <v>2328</v>
      </c>
      <c r="M570" s="4" t="s">
        <v>2329</v>
      </c>
      <c r="N570" s="6" t="n">
        <v>41050</v>
      </c>
      <c r="O570" s="6" t="n">
        <v>68507</v>
      </c>
      <c r="P570" s="4" t="s">
        <v>46</v>
      </c>
      <c r="Q570" s="6" t="n">
        <v>222500</v>
      </c>
      <c r="R570" s="15" t="n">
        <v>43915</v>
      </c>
      <c r="S570" s="6" t="n">
        <v>230000</v>
      </c>
      <c r="T570" s="15" t="n">
        <v>45833</v>
      </c>
      <c r="U570" s="6"/>
      <c r="V570" s="15"/>
      <c r="W570" s="4" t="s">
        <v>47</v>
      </c>
      <c r="X570" s="4" t="s">
        <v>58</v>
      </c>
      <c r="Y570" s="4" t="s">
        <v>2330</v>
      </c>
      <c r="Z570" s="4" t="s">
        <v>910</v>
      </c>
      <c r="AA570" s="6" t="n">
        <v>0</v>
      </c>
      <c r="AB570" s="6" t="n">
        <v>7478.44</v>
      </c>
      <c r="AC570" s="6" t="n">
        <v>3917.48</v>
      </c>
      <c r="AD570" s="14" t="b">
        <f aca="false">TRUE()</f>
        <v>1</v>
      </c>
    </row>
    <row r="571" customFormat="false" ht="15" hidden="false" customHeight="false" outlineLevel="0" collapsed="false">
      <c r="A571" s="14" t="b">
        <f aca="false">TRUE()</f>
        <v>1</v>
      </c>
      <c r="B571" s="14" t="b">
        <f aca="false">FALSE()</f>
        <v>0</v>
      </c>
      <c r="C571" s="4" t="n">
        <v>3</v>
      </c>
      <c r="D571" s="4"/>
      <c r="E571" s="4"/>
      <c r="F571" s="4"/>
      <c r="G571" s="4"/>
      <c r="H571" s="14" t="b">
        <f aca="false">TRUE()</f>
        <v>1</v>
      </c>
      <c r="I571" s="14" t="b">
        <f aca="false">FALSE()</f>
        <v>0</v>
      </c>
      <c r="J571" s="4"/>
      <c r="K571" s="4" t="s">
        <v>2331</v>
      </c>
      <c r="L571" s="4" t="s">
        <v>2332</v>
      </c>
      <c r="M571" s="4" t="s">
        <v>2333</v>
      </c>
      <c r="N571" s="6" t="n">
        <v>31512</v>
      </c>
      <c r="O571" s="6" t="n">
        <v>139717</v>
      </c>
      <c r="P571" s="4" t="s">
        <v>46</v>
      </c>
      <c r="Q571" s="6" t="n">
        <v>265000</v>
      </c>
      <c r="R571" s="15" t="n">
        <v>38252</v>
      </c>
      <c r="S571" s="6" t="n">
        <v>250000</v>
      </c>
      <c r="T571" s="15" t="n">
        <v>39927</v>
      </c>
      <c r="U571" s="6"/>
      <c r="V571" s="15"/>
      <c r="W571" s="4" t="s">
        <v>47</v>
      </c>
      <c r="X571" s="4" t="s">
        <v>58</v>
      </c>
      <c r="Y571" s="4" t="s">
        <v>2334</v>
      </c>
      <c r="Z571" s="4" t="s">
        <v>910</v>
      </c>
      <c r="AA571" s="6" t="n">
        <v>0</v>
      </c>
      <c r="AB571" s="6" t="n">
        <v>12019.86</v>
      </c>
      <c r="AC571" s="6" t="n">
        <v>12841.2</v>
      </c>
      <c r="AD571" s="14" t="b">
        <f aca="false">FALSE()</f>
        <v>0</v>
      </c>
    </row>
    <row r="572" customFormat="false" ht="15" hidden="false" customHeight="false" outlineLevel="0" collapsed="false">
      <c r="A572" s="14" t="b">
        <f aca="false">TRUE()</f>
        <v>1</v>
      </c>
      <c r="B572" s="14" t="b">
        <f aca="false">FALSE()</f>
        <v>0</v>
      </c>
      <c r="C572" s="4" t="n">
        <v>2</v>
      </c>
      <c r="D572" s="4"/>
      <c r="E572" s="4"/>
      <c r="F572" s="4"/>
      <c r="G572" s="4" t="n">
        <v>2</v>
      </c>
      <c r="H572" s="14" t="b">
        <f aca="false">FALSE()</f>
        <v>0</v>
      </c>
      <c r="I572" s="14" t="b">
        <f aca="false">FALSE()</f>
        <v>0</v>
      </c>
      <c r="J572" s="4"/>
      <c r="K572" s="4" t="s">
        <v>2335</v>
      </c>
      <c r="L572" s="4" t="s">
        <v>2336</v>
      </c>
      <c r="M572" s="4" t="s">
        <v>2337</v>
      </c>
      <c r="N572" s="6" t="n">
        <v>16762</v>
      </c>
      <c r="O572" s="6" t="n">
        <v>49669</v>
      </c>
      <c r="P572" s="4" t="s">
        <v>46</v>
      </c>
      <c r="Q572" s="6" t="n">
        <v>165000</v>
      </c>
      <c r="R572" s="15" t="n">
        <v>38163</v>
      </c>
      <c r="S572" s="6"/>
      <c r="T572" s="15"/>
      <c r="U572" s="6"/>
      <c r="V572" s="15"/>
      <c r="W572" s="4" t="s">
        <v>47</v>
      </c>
      <c r="X572" s="4" t="s">
        <v>58</v>
      </c>
      <c r="Y572" s="4" t="s">
        <v>2338</v>
      </c>
      <c r="Z572" s="4" t="s">
        <v>910</v>
      </c>
      <c r="AA572" s="6" t="n">
        <v>0</v>
      </c>
      <c r="AB572" s="6" t="n">
        <v>4302.74</v>
      </c>
      <c r="AC572" s="6" t="n">
        <v>2258.18</v>
      </c>
      <c r="AD572" s="14" t="b">
        <f aca="false">TRUE()</f>
        <v>1</v>
      </c>
    </row>
    <row r="573" customFormat="false" ht="15" hidden="false" customHeight="false" outlineLevel="0" collapsed="false">
      <c r="A573" s="14" t="b">
        <f aca="false">TRUE()</f>
        <v>1</v>
      </c>
      <c r="B573" s="14" t="b">
        <f aca="false">FALSE()</f>
        <v>0</v>
      </c>
      <c r="C573" s="4" t="n">
        <v>2</v>
      </c>
      <c r="D573" s="4"/>
      <c r="E573" s="4"/>
      <c r="F573" s="4"/>
      <c r="G573" s="4"/>
      <c r="H573" s="14" t="b">
        <f aca="false">FALSE()</f>
        <v>0</v>
      </c>
      <c r="I573" s="14" t="b">
        <f aca="false">FALSE()</f>
        <v>0</v>
      </c>
      <c r="J573" s="4"/>
      <c r="K573" s="4" t="s">
        <v>2339</v>
      </c>
      <c r="L573" s="4" t="s">
        <v>2340</v>
      </c>
      <c r="M573" s="4" t="s">
        <v>2341</v>
      </c>
      <c r="N573" s="6" t="n">
        <v>25748</v>
      </c>
      <c r="O573" s="6" t="n">
        <v>92860</v>
      </c>
      <c r="P573" s="4" t="s">
        <v>46</v>
      </c>
      <c r="Q573" s="6" t="n">
        <v>159000</v>
      </c>
      <c r="R573" s="15" t="n">
        <v>34478</v>
      </c>
      <c r="S573" s="6"/>
      <c r="T573" s="15"/>
      <c r="U573" s="6"/>
      <c r="V573" s="15"/>
      <c r="W573" s="4" t="s">
        <v>47</v>
      </c>
      <c r="X573" s="4" t="s">
        <v>47</v>
      </c>
      <c r="Y573" s="4" t="s">
        <v>2342</v>
      </c>
      <c r="Z573" s="4" t="s">
        <v>910</v>
      </c>
      <c r="AA573" s="6" t="n">
        <v>0</v>
      </c>
      <c r="AB573" s="6" t="n">
        <v>7555.86</v>
      </c>
      <c r="AC573" s="6" t="n">
        <v>8075.88</v>
      </c>
      <c r="AD573" s="14" t="b">
        <f aca="false">FALSE()</f>
        <v>0</v>
      </c>
    </row>
    <row r="574" customFormat="false" ht="15" hidden="false" customHeight="false" outlineLevel="0" collapsed="false">
      <c r="A574" s="14" t="b">
        <f aca="false">TRUE()</f>
        <v>1</v>
      </c>
      <c r="B574" s="14" t="b">
        <f aca="false">FALSE()</f>
        <v>0</v>
      </c>
      <c r="C574" s="4" t="n">
        <v>2</v>
      </c>
      <c r="D574" s="4"/>
      <c r="E574" s="4"/>
      <c r="F574" s="4"/>
      <c r="G574" s="4"/>
      <c r="H574" s="14" t="b">
        <f aca="false">TRUE()</f>
        <v>1</v>
      </c>
      <c r="I574" s="14" t="b">
        <f aca="false">FALSE()</f>
        <v>0</v>
      </c>
      <c r="J574" s="4"/>
      <c r="K574" s="4" t="s">
        <v>2343</v>
      </c>
      <c r="L574" s="4" t="s">
        <v>2344</v>
      </c>
      <c r="M574" s="4" t="s">
        <v>2345</v>
      </c>
      <c r="N574" s="6" t="n">
        <v>24126</v>
      </c>
      <c r="O574" s="6" t="n">
        <v>73146</v>
      </c>
      <c r="P574" s="4" t="s">
        <v>46</v>
      </c>
      <c r="Q574" s="6"/>
      <c r="R574" s="15" t="n">
        <v>40630</v>
      </c>
      <c r="S574" s="6"/>
      <c r="T574" s="15"/>
      <c r="U574" s="6"/>
      <c r="V574" s="15"/>
      <c r="W574" s="4" t="s">
        <v>47</v>
      </c>
      <c r="X574" s="4" t="s">
        <v>58</v>
      </c>
      <c r="Y574" s="4" t="s">
        <v>2346</v>
      </c>
      <c r="Z574" s="4" t="s">
        <v>910</v>
      </c>
      <c r="AA574" s="6" t="n">
        <v>0</v>
      </c>
      <c r="AB574" s="6" t="n">
        <v>6573.82</v>
      </c>
      <c r="AC574" s="6" t="n">
        <v>7027.55</v>
      </c>
      <c r="AD574" s="14" t="b">
        <f aca="false">FALSE()</f>
        <v>0</v>
      </c>
    </row>
    <row r="575" customFormat="false" ht="15" hidden="false" customHeight="false" outlineLevel="0" collapsed="false">
      <c r="A575" s="14" t="b">
        <f aca="false">TRUE()</f>
        <v>1</v>
      </c>
      <c r="B575" s="14" t="b">
        <f aca="false">FALSE()</f>
        <v>0</v>
      </c>
      <c r="C575" s="4" t="n">
        <v>2</v>
      </c>
      <c r="D575" s="4"/>
      <c r="E575" s="4"/>
      <c r="F575" s="4"/>
      <c r="G575" s="4"/>
      <c r="H575" s="14" t="b">
        <f aca="false">FALSE()</f>
        <v>0</v>
      </c>
      <c r="I575" s="14" t="b">
        <f aca="false">FALSE()</f>
        <v>0</v>
      </c>
      <c r="J575" s="4"/>
      <c r="K575" s="4" t="s">
        <v>2347</v>
      </c>
      <c r="L575" s="4" t="s">
        <v>2348</v>
      </c>
      <c r="M575" s="4" t="s">
        <v>2349</v>
      </c>
      <c r="N575" s="6" t="n">
        <v>32572</v>
      </c>
      <c r="O575" s="6" t="n">
        <v>37114</v>
      </c>
      <c r="P575" s="4" t="s">
        <v>46</v>
      </c>
      <c r="Q575" s="6"/>
      <c r="R575" s="15" t="n">
        <v>45581</v>
      </c>
      <c r="S575" s="6"/>
      <c r="T575" s="15"/>
      <c r="U575" s="6"/>
      <c r="V575" s="15"/>
      <c r="W575" s="4" t="s">
        <v>47</v>
      </c>
      <c r="X575" s="4" t="s">
        <v>47</v>
      </c>
      <c r="Y575" s="4" t="s">
        <v>2350</v>
      </c>
      <c r="Z575" s="4" t="s">
        <v>2181</v>
      </c>
      <c r="AA575" s="6" t="n">
        <v>0</v>
      </c>
      <c r="AB575" s="6" t="n">
        <v>4662.3</v>
      </c>
      <c r="AC575" s="6" t="n">
        <v>4987</v>
      </c>
      <c r="AD575" s="14" t="b">
        <f aca="false">FALSE()</f>
        <v>0</v>
      </c>
    </row>
    <row r="576" customFormat="false" ht="15" hidden="false" customHeight="false" outlineLevel="0" collapsed="false">
      <c r="A576" s="14" t="b">
        <f aca="false">TRUE()</f>
        <v>1</v>
      </c>
      <c r="B576" s="14" t="b">
        <f aca="false">FALSE()</f>
        <v>0</v>
      </c>
      <c r="C576" s="4" t="n">
        <v>3</v>
      </c>
      <c r="D576" s="4"/>
      <c r="E576" s="4"/>
      <c r="F576" s="4"/>
      <c r="G576" s="4"/>
      <c r="H576" s="14" t="b">
        <f aca="false">TRUE()</f>
        <v>1</v>
      </c>
      <c r="I576" s="14" t="b">
        <f aca="false">FALSE()</f>
        <v>0</v>
      </c>
      <c r="J576" s="4"/>
      <c r="K576" s="4" t="s">
        <v>2351</v>
      </c>
      <c r="L576" s="4" t="s">
        <v>2352</v>
      </c>
      <c r="M576" s="4" t="s">
        <v>2353</v>
      </c>
      <c r="N576" s="6" t="n">
        <v>39850</v>
      </c>
      <c r="O576" s="6" t="n">
        <v>114131</v>
      </c>
      <c r="P576" s="4" t="s">
        <v>46</v>
      </c>
      <c r="Q576" s="6" t="n">
        <v>365000</v>
      </c>
      <c r="R576" s="15" t="n">
        <v>44515</v>
      </c>
      <c r="S576" s="6" t="n">
        <v>292000</v>
      </c>
      <c r="T576" s="15" t="n">
        <v>44515</v>
      </c>
      <c r="U576" s="6"/>
      <c r="V576" s="15"/>
      <c r="W576" s="4" t="s">
        <v>47</v>
      </c>
      <c r="X576" s="4" t="s">
        <v>47</v>
      </c>
      <c r="Y576" s="4" t="s">
        <v>2354</v>
      </c>
      <c r="Z576" s="4" t="s">
        <v>2181</v>
      </c>
      <c r="AA576" s="6" t="n">
        <v>0</v>
      </c>
      <c r="AB576" s="6" t="n">
        <v>11638.04</v>
      </c>
      <c r="AC576" s="6" t="n">
        <v>12433.61</v>
      </c>
      <c r="AD576" s="14" t="b">
        <f aca="false">FALSE()</f>
        <v>0</v>
      </c>
    </row>
    <row r="577" customFormat="false" ht="15" hidden="false" customHeight="false" outlineLevel="0" collapsed="false">
      <c r="A577" s="14" t="b">
        <f aca="false">TRUE()</f>
        <v>1</v>
      </c>
      <c r="B577" s="14" t="b">
        <f aca="false">FALSE()</f>
        <v>0</v>
      </c>
      <c r="C577" s="4" t="n">
        <v>3</v>
      </c>
      <c r="D577" s="4"/>
      <c r="E577" s="4"/>
      <c r="F577" s="4"/>
      <c r="G577" s="4" t="n">
        <v>3</v>
      </c>
      <c r="H577" s="14" t="b">
        <f aca="false">TRUE()</f>
        <v>1</v>
      </c>
      <c r="I577" s="14" t="b">
        <f aca="false">FALSE()</f>
        <v>0</v>
      </c>
      <c r="J577" s="4"/>
      <c r="K577" s="4" t="s">
        <v>2355</v>
      </c>
      <c r="L577" s="4" t="s">
        <v>2356</v>
      </c>
      <c r="M577" s="4" t="s">
        <v>2357</v>
      </c>
      <c r="N577" s="6" t="n">
        <v>39439</v>
      </c>
      <c r="O577" s="6" t="n">
        <v>99035</v>
      </c>
      <c r="P577" s="4" t="s">
        <v>46</v>
      </c>
      <c r="Q577" s="6" t="n">
        <v>375000</v>
      </c>
      <c r="R577" s="15" t="n">
        <v>43424</v>
      </c>
      <c r="S577" s="6" t="n">
        <v>300000</v>
      </c>
      <c r="T577" s="15" t="n">
        <v>44123</v>
      </c>
      <c r="U577" s="6"/>
      <c r="V577" s="15"/>
      <c r="W577" s="4" t="s">
        <v>47</v>
      </c>
      <c r="X577" s="4" t="s">
        <v>47</v>
      </c>
      <c r="Y577" s="4" t="s">
        <v>2358</v>
      </c>
      <c r="Z577" s="4" t="s">
        <v>2181</v>
      </c>
      <c r="AA577" s="6" t="n">
        <v>0</v>
      </c>
      <c r="AB577" s="6" t="n">
        <v>9861.36</v>
      </c>
      <c r="AC577" s="6" t="n">
        <v>10537</v>
      </c>
      <c r="AD577" s="14" t="b">
        <f aca="false">FALSE()</f>
        <v>0</v>
      </c>
    </row>
    <row r="578" customFormat="false" ht="15" hidden="false" customHeight="false" outlineLevel="0" collapsed="false">
      <c r="A578" s="14" t="b">
        <f aca="false">TRUE()</f>
        <v>1</v>
      </c>
      <c r="B578" s="14" t="b">
        <f aca="false">FALSE()</f>
        <v>0</v>
      </c>
      <c r="C578" s="4" t="n">
        <v>2</v>
      </c>
      <c r="D578" s="4"/>
      <c r="E578" s="4"/>
      <c r="F578" s="4"/>
      <c r="G578" s="4"/>
      <c r="H578" s="14" t="b">
        <f aca="false">FALSE()</f>
        <v>0</v>
      </c>
      <c r="I578" s="14" t="b">
        <f aca="false">FALSE()</f>
        <v>0</v>
      </c>
      <c r="J578" s="4"/>
      <c r="K578" s="4" t="s">
        <v>2359</v>
      </c>
      <c r="L578" s="4" t="s">
        <v>2360</v>
      </c>
      <c r="M578" s="4" t="s">
        <v>2361</v>
      </c>
      <c r="N578" s="6" t="n">
        <v>32572</v>
      </c>
      <c r="O578" s="6" t="n">
        <v>112941</v>
      </c>
      <c r="P578" s="4" t="s">
        <v>46</v>
      </c>
      <c r="Q578" s="6"/>
      <c r="R578" s="15"/>
      <c r="S578" s="6"/>
      <c r="T578" s="15"/>
      <c r="U578" s="6"/>
      <c r="V578" s="15"/>
      <c r="W578" s="4" t="s">
        <v>47</v>
      </c>
      <c r="X578" s="4" t="s">
        <v>47</v>
      </c>
      <c r="Y578" s="4" t="s">
        <v>2362</v>
      </c>
      <c r="Z578" s="4" t="s">
        <v>2181</v>
      </c>
      <c r="AA578" s="6" t="n">
        <v>0</v>
      </c>
      <c r="AB578" s="6" t="n">
        <v>8503.84</v>
      </c>
      <c r="AC578" s="6" t="n">
        <v>9087.85</v>
      </c>
      <c r="AD578" s="14" t="b">
        <f aca="false">FALSE()</f>
        <v>0</v>
      </c>
    </row>
    <row r="579" customFormat="false" ht="15" hidden="false" customHeight="false" outlineLevel="0" collapsed="false">
      <c r="A579" s="14" t="b">
        <f aca="false">TRUE()</f>
        <v>1</v>
      </c>
      <c r="B579" s="14" t="b">
        <f aca="false">FALSE()</f>
        <v>0</v>
      </c>
      <c r="C579" s="4" t="n">
        <v>2</v>
      </c>
      <c r="D579" s="4"/>
      <c r="E579" s="4"/>
      <c r="F579" s="4"/>
      <c r="G579" s="4"/>
      <c r="H579" s="14" t="b">
        <f aca="false">FALSE()</f>
        <v>0</v>
      </c>
      <c r="I579" s="14" t="b">
        <f aca="false">FALSE()</f>
        <v>0</v>
      </c>
      <c r="J579" s="4"/>
      <c r="K579" s="4" t="s">
        <v>2363</v>
      </c>
      <c r="L579" s="4" t="s">
        <v>2364</v>
      </c>
      <c r="M579" s="4" t="s">
        <v>2365</v>
      </c>
      <c r="N579" s="6" t="n">
        <v>58925</v>
      </c>
      <c r="O579" s="6" t="n">
        <v>57790</v>
      </c>
      <c r="P579" s="4" t="s">
        <v>46</v>
      </c>
      <c r="Q579" s="6" t="n">
        <v>245500</v>
      </c>
      <c r="R579" s="15" t="n">
        <v>42270</v>
      </c>
      <c r="S579" s="6"/>
      <c r="T579" s="15"/>
      <c r="U579" s="6"/>
      <c r="V579" s="15"/>
      <c r="W579" s="4" t="s">
        <v>47</v>
      </c>
      <c r="X579" s="4" t="s">
        <v>58</v>
      </c>
      <c r="Y579" s="4" t="s">
        <v>2366</v>
      </c>
      <c r="Z579" s="4" t="s">
        <v>2181</v>
      </c>
      <c r="AA579" s="6" t="n">
        <v>0</v>
      </c>
      <c r="AB579" s="6" t="n">
        <v>8216.8</v>
      </c>
      <c r="AC579" s="6" t="n">
        <v>8781.44</v>
      </c>
      <c r="AD579" s="14" t="b">
        <f aca="false">FALSE()</f>
        <v>0</v>
      </c>
    </row>
    <row r="580" customFormat="false" ht="15" hidden="false" customHeight="false" outlineLevel="0" collapsed="false">
      <c r="A580" s="14" t="b">
        <f aca="false">TRUE()</f>
        <v>1</v>
      </c>
      <c r="B580" s="14" t="b">
        <f aca="false">FALSE()</f>
        <v>0</v>
      </c>
      <c r="C580" s="4" t="n">
        <v>3</v>
      </c>
      <c r="D580" s="4"/>
      <c r="E580" s="4"/>
      <c r="F580" s="4"/>
      <c r="G580" s="4"/>
      <c r="H580" s="14" t="b">
        <f aca="false">FALSE()</f>
        <v>0</v>
      </c>
      <c r="I580" s="14" t="b">
        <f aca="false">FALSE()</f>
        <v>0</v>
      </c>
      <c r="J580" s="4"/>
      <c r="K580" s="4" t="s">
        <v>2367</v>
      </c>
      <c r="L580" s="4" t="s">
        <v>2368</v>
      </c>
      <c r="M580" s="4" t="s">
        <v>2369</v>
      </c>
      <c r="N580" s="6" t="n">
        <v>30842</v>
      </c>
      <c r="O580" s="6" t="n">
        <v>68993</v>
      </c>
      <c r="P580" s="4" t="s">
        <v>46</v>
      </c>
      <c r="Q580" s="6" t="n">
        <v>190000</v>
      </c>
      <c r="R580" s="15" t="n">
        <v>45580</v>
      </c>
      <c r="S580" s="6" t="n">
        <v>268400</v>
      </c>
      <c r="T580" s="15" t="n">
        <v>45580</v>
      </c>
      <c r="U580" s="6"/>
      <c r="V580" s="15"/>
      <c r="W580" s="4" t="s">
        <v>58</v>
      </c>
      <c r="X580" s="4" t="s">
        <v>47</v>
      </c>
      <c r="Y580" s="4" t="s">
        <v>2370</v>
      </c>
      <c r="Z580" s="4" t="s">
        <v>2181</v>
      </c>
      <c r="AA580" s="6" t="n">
        <v>0</v>
      </c>
      <c r="AB580" s="6" t="n">
        <v>7545.64</v>
      </c>
      <c r="AC580" s="6" t="n">
        <v>8064.97</v>
      </c>
      <c r="AD580" s="14" t="b">
        <f aca="false">FALSE()</f>
        <v>0</v>
      </c>
    </row>
    <row r="581" customFormat="false" ht="15" hidden="false" customHeight="false" outlineLevel="0" collapsed="false">
      <c r="A581" s="14" t="b">
        <f aca="false">TRUE()</f>
        <v>1</v>
      </c>
      <c r="B581" s="14" t="b">
        <f aca="false">FALSE()</f>
        <v>0</v>
      </c>
      <c r="C581" s="4" t="n">
        <v>2</v>
      </c>
      <c r="D581" s="4"/>
      <c r="E581" s="4"/>
      <c r="F581" s="4"/>
      <c r="G581" s="4"/>
      <c r="H581" s="14" t="b">
        <f aca="false">FALSE()</f>
        <v>0</v>
      </c>
      <c r="I581" s="14" t="b">
        <f aca="false">FALSE()</f>
        <v>0</v>
      </c>
      <c r="J581" s="4"/>
      <c r="K581" s="4" t="s">
        <v>2371</v>
      </c>
      <c r="L581" s="4" t="s">
        <v>2372</v>
      </c>
      <c r="M581" s="4" t="s">
        <v>2373</v>
      </c>
      <c r="N581" s="6" t="n">
        <v>92124</v>
      </c>
      <c r="O581" s="6" t="n">
        <v>68939</v>
      </c>
      <c r="P581" s="4" t="s">
        <v>46</v>
      </c>
      <c r="Q581" s="6"/>
      <c r="R581" s="15"/>
      <c r="S581" s="6"/>
      <c r="T581" s="15"/>
      <c r="U581" s="6"/>
      <c r="V581" s="15"/>
      <c r="W581" s="4" t="s">
        <v>47</v>
      </c>
      <c r="X581" s="4" t="s">
        <v>47</v>
      </c>
      <c r="Y581" s="4" t="s">
        <v>2374</v>
      </c>
      <c r="Z581" s="4" t="s">
        <v>1298</v>
      </c>
      <c r="AA581" s="6" t="n">
        <v>0</v>
      </c>
      <c r="AB581" s="6" t="n">
        <v>8742.36</v>
      </c>
      <c r="AC581" s="6" t="n">
        <v>9342.47</v>
      </c>
      <c r="AD581" s="14" t="b">
        <f aca="false">FALSE()</f>
        <v>0</v>
      </c>
    </row>
    <row r="582" customFormat="false" ht="15" hidden="false" customHeight="false" outlineLevel="0" collapsed="false">
      <c r="A582" s="14" t="b">
        <f aca="false">TRUE()</f>
        <v>1</v>
      </c>
      <c r="B582" s="14" t="b">
        <f aca="false">FALSE()</f>
        <v>0</v>
      </c>
      <c r="C582" s="4" t="n">
        <v>2</v>
      </c>
      <c r="D582" s="4"/>
      <c r="E582" s="4"/>
      <c r="F582" s="4"/>
      <c r="G582" s="4"/>
      <c r="H582" s="14" t="b">
        <f aca="false">FALSE()</f>
        <v>0</v>
      </c>
      <c r="I582" s="14" t="b">
        <f aca="false">FALSE()</f>
        <v>0</v>
      </c>
      <c r="J582" s="4"/>
      <c r="K582" s="4" t="s">
        <v>2375</v>
      </c>
      <c r="L582" s="4" t="s">
        <v>2376</v>
      </c>
      <c r="M582" s="4" t="s">
        <v>2377</v>
      </c>
      <c r="N582" s="6" t="n">
        <v>83863</v>
      </c>
      <c r="O582" s="6" t="n">
        <v>315196</v>
      </c>
      <c r="P582" s="4" t="s">
        <v>46</v>
      </c>
      <c r="Q582" s="6" t="n">
        <v>1060000</v>
      </c>
      <c r="R582" s="15" t="n">
        <v>44238</v>
      </c>
      <c r="S582" s="6" t="n">
        <v>848000</v>
      </c>
      <c r="T582" s="15" t="n">
        <v>44238</v>
      </c>
      <c r="U582" s="6"/>
      <c r="V582" s="15"/>
      <c r="W582" s="4" t="s">
        <v>47</v>
      </c>
      <c r="X582" s="4" t="s">
        <v>47</v>
      </c>
      <c r="Y582" s="4" t="s">
        <v>2378</v>
      </c>
      <c r="Z582" s="4" t="s">
        <v>1298</v>
      </c>
      <c r="AA582" s="6" t="n">
        <v>0</v>
      </c>
      <c r="AB582" s="6" t="n">
        <v>23567.58</v>
      </c>
      <c r="AC582" s="6" t="n">
        <v>12324.06</v>
      </c>
      <c r="AD582" s="14" t="b">
        <f aca="false">TRUE()</f>
        <v>1</v>
      </c>
    </row>
    <row r="583" customFormat="false" ht="15" hidden="false" customHeight="false" outlineLevel="0" collapsed="false">
      <c r="A583" s="14" t="b">
        <f aca="false">TRUE()</f>
        <v>1</v>
      </c>
      <c r="B583" s="14" t="b">
        <f aca="false">FALSE()</f>
        <v>0</v>
      </c>
      <c r="C583" s="4" t="n">
        <v>2</v>
      </c>
      <c r="D583" s="4"/>
      <c r="E583" s="4"/>
      <c r="F583" s="4"/>
      <c r="G583" s="4"/>
      <c r="H583" s="14" t="b">
        <f aca="false">FALSE()</f>
        <v>0</v>
      </c>
      <c r="I583" s="14" t="b">
        <f aca="false">FALSE()</f>
        <v>0</v>
      </c>
      <c r="J583" s="4"/>
      <c r="K583" s="4" t="s">
        <v>2379</v>
      </c>
      <c r="L583" s="4" t="s">
        <v>2380</v>
      </c>
      <c r="M583" s="4" t="s">
        <v>2381</v>
      </c>
      <c r="N583" s="6" t="n">
        <v>75741</v>
      </c>
      <c r="O583" s="6" t="n">
        <v>63619</v>
      </c>
      <c r="P583" s="4" t="s">
        <v>46</v>
      </c>
      <c r="Q583" s="6" t="n">
        <v>250000</v>
      </c>
      <c r="R583" s="15" t="n">
        <v>42214</v>
      </c>
      <c r="S583" s="6"/>
      <c r="T583" s="15"/>
      <c r="U583" s="6"/>
      <c r="V583" s="15"/>
      <c r="W583" s="4" t="s">
        <v>47</v>
      </c>
      <c r="X583" s="4" t="s">
        <v>47</v>
      </c>
      <c r="Y583" s="4" t="s">
        <v>2382</v>
      </c>
      <c r="Z583" s="4" t="s">
        <v>1298</v>
      </c>
      <c r="AA583" s="6" t="n">
        <v>0</v>
      </c>
      <c r="AB583" s="6" t="n">
        <v>7916.56</v>
      </c>
      <c r="AC583" s="6" t="n">
        <v>4146.4</v>
      </c>
      <c r="AD583" s="14" t="b">
        <f aca="false">TRUE()</f>
        <v>1</v>
      </c>
    </row>
    <row r="584" customFormat="false" ht="15" hidden="false" customHeight="false" outlineLevel="0" collapsed="false">
      <c r="A584" s="14" t="b">
        <f aca="false">TRUE()</f>
        <v>1</v>
      </c>
      <c r="B584" s="14" t="b">
        <f aca="false">FALSE()</f>
        <v>0</v>
      </c>
      <c r="C584" s="4" t="n">
        <v>2</v>
      </c>
      <c r="D584" s="4"/>
      <c r="E584" s="4"/>
      <c r="F584" s="4"/>
      <c r="G584" s="4"/>
      <c r="H584" s="14" t="b">
        <f aca="false">FALSE()</f>
        <v>0</v>
      </c>
      <c r="I584" s="14" t="b">
        <f aca="false">FALSE()</f>
        <v>0</v>
      </c>
      <c r="J584" s="4"/>
      <c r="K584" s="4" t="s">
        <v>2383</v>
      </c>
      <c r="L584" s="4" t="s">
        <v>2384</v>
      </c>
      <c r="M584" s="4" t="s">
        <v>2385</v>
      </c>
      <c r="N584" s="6" t="n">
        <v>62602</v>
      </c>
      <c r="O584" s="6" t="n">
        <v>110562</v>
      </c>
      <c r="P584" s="4" t="s">
        <v>46</v>
      </c>
      <c r="Q584" s="6"/>
      <c r="R584" s="15" t="n">
        <v>44788</v>
      </c>
      <c r="S584" s="6" t="n">
        <v>386250</v>
      </c>
      <c r="T584" s="15" t="n">
        <v>44788</v>
      </c>
      <c r="U584" s="6"/>
      <c r="V584" s="15"/>
      <c r="W584" s="4" t="s">
        <v>47</v>
      </c>
      <c r="X584" s="4" t="s">
        <v>47</v>
      </c>
      <c r="Y584" s="4" t="s">
        <v>2386</v>
      </c>
      <c r="Z584" s="4" t="s">
        <v>1298</v>
      </c>
      <c r="AA584" s="6" t="n">
        <v>0</v>
      </c>
      <c r="AB584" s="6" t="n">
        <v>9953.78</v>
      </c>
      <c r="AC584" s="6" t="n">
        <v>5210.85</v>
      </c>
      <c r="AD584" s="14" t="b">
        <f aca="false">TRUE()</f>
        <v>1</v>
      </c>
    </row>
    <row r="585" customFormat="false" ht="15" hidden="false" customHeight="false" outlineLevel="0" collapsed="false">
      <c r="A585" s="14" t="b">
        <f aca="false">TRUE()</f>
        <v>1</v>
      </c>
      <c r="B585" s="14" t="b">
        <f aca="false">FALSE()</f>
        <v>0</v>
      </c>
      <c r="C585" s="4" t="n">
        <v>3</v>
      </c>
      <c r="D585" s="4"/>
      <c r="E585" s="4"/>
      <c r="F585" s="4"/>
      <c r="G585" s="4" t="n">
        <v>3</v>
      </c>
      <c r="H585" s="14" t="b">
        <f aca="false">TRUE()</f>
        <v>1</v>
      </c>
      <c r="I585" s="14" t="b">
        <f aca="false">FALSE()</f>
        <v>0</v>
      </c>
      <c r="J585" s="4"/>
      <c r="K585" s="4" t="s">
        <v>2387</v>
      </c>
      <c r="L585" s="4" t="s">
        <v>2388</v>
      </c>
      <c r="M585" s="4" t="s">
        <v>2389</v>
      </c>
      <c r="N585" s="6" t="n">
        <v>133520</v>
      </c>
      <c r="O585" s="6" t="n">
        <v>107967</v>
      </c>
      <c r="P585" s="4" t="s">
        <v>46</v>
      </c>
      <c r="Q585" s="6" t="n">
        <v>295000</v>
      </c>
      <c r="R585" s="15" t="n">
        <v>35454</v>
      </c>
      <c r="S585" s="6"/>
      <c r="T585" s="15"/>
      <c r="U585" s="6"/>
      <c r="V585" s="15"/>
      <c r="W585" s="4" t="s">
        <v>47</v>
      </c>
      <c r="X585" s="4" t="s">
        <v>47</v>
      </c>
      <c r="Y585" s="4" t="s">
        <v>2390</v>
      </c>
      <c r="Z585" s="4" t="s">
        <v>1298</v>
      </c>
      <c r="AA585" s="6" t="n">
        <v>0</v>
      </c>
      <c r="AB585" s="6" t="n">
        <v>13589.2</v>
      </c>
      <c r="AC585" s="6" t="n">
        <v>14516.47</v>
      </c>
      <c r="AD585" s="14" t="b">
        <f aca="false">FALSE()</f>
        <v>0</v>
      </c>
    </row>
    <row r="586" customFormat="false" ht="15" hidden="false" customHeight="false" outlineLevel="0" collapsed="false">
      <c r="A586" s="14" t="b">
        <f aca="false">TRUE()</f>
        <v>1</v>
      </c>
      <c r="B586" s="14" t="b">
        <f aca="false">FALSE()</f>
        <v>0</v>
      </c>
      <c r="C586" s="4" t="n">
        <v>3</v>
      </c>
      <c r="D586" s="4"/>
      <c r="E586" s="4"/>
      <c r="F586" s="4"/>
      <c r="G586" s="4" t="n">
        <v>3</v>
      </c>
      <c r="H586" s="14" t="b">
        <f aca="false">TRUE()</f>
        <v>1</v>
      </c>
      <c r="I586" s="14" t="b">
        <f aca="false">FALSE()</f>
        <v>0</v>
      </c>
      <c r="J586" s="4"/>
      <c r="K586" s="4" t="s">
        <v>2391</v>
      </c>
      <c r="L586" s="4" t="s">
        <v>2392</v>
      </c>
      <c r="M586" s="4" t="s">
        <v>2393</v>
      </c>
      <c r="N586" s="6" t="n">
        <v>110973</v>
      </c>
      <c r="O586" s="6" t="n">
        <v>345388</v>
      </c>
      <c r="P586" s="4" t="s">
        <v>46</v>
      </c>
      <c r="Q586" s="6" t="n">
        <v>393500</v>
      </c>
      <c r="R586" s="15" t="n">
        <v>37824</v>
      </c>
      <c r="S586" s="6" t="n">
        <v>4500</v>
      </c>
      <c r="T586" s="15" t="n">
        <v>41564</v>
      </c>
      <c r="U586" s="6"/>
      <c r="V586" s="15"/>
      <c r="W586" s="4" t="s">
        <v>58</v>
      </c>
      <c r="X586" s="4" t="s">
        <v>47</v>
      </c>
      <c r="Y586" s="4" t="s">
        <v>2394</v>
      </c>
      <c r="Z586" s="4" t="s">
        <v>1298</v>
      </c>
      <c r="AA586" s="6" t="n">
        <v>0</v>
      </c>
      <c r="AB586" s="6" t="n">
        <v>27503.06</v>
      </c>
      <c r="AC586" s="6" t="n">
        <v>29369.52</v>
      </c>
      <c r="AD586" s="14" t="b">
        <f aca="false">FALSE()</f>
        <v>0</v>
      </c>
    </row>
    <row r="587" customFormat="false" ht="15" hidden="false" customHeight="false" outlineLevel="0" collapsed="false">
      <c r="A587" s="14" t="b">
        <f aca="false">TRUE()</f>
        <v>1</v>
      </c>
      <c r="B587" s="14" t="b">
        <f aca="false">FALSE()</f>
        <v>0</v>
      </c>
      <c r="C587" s="4" t="n">
        <v>2</v>
      </c>
      <c r="D587" s="4"/>
      <c r="E587" s="4"/>
      <c r="F587" s="4"/>
      <c r="G587" s="4" t="n">
        <v>3</v>
      </c>
      <c r="H587" s="14" t="b">
        <f aca="false">TRUE()</f>
        <v>1</v>
      </c>
      <c r="I587" s="14" t="b">
        <f aca="false">FALSE()</f>
        <v>0</v>
      </c>
      <c r="J587" s="4"/>
      <c r="K587" s="4" t="s">
        <v>2395</v>
      </c>
      <c r="L587" s="4" t="s">
        <v>2396</v>
      </c>
      <c r="M587" s="4" t="s">
        <v>2397</v>
      </c>
      <c r="N587" s="6" t="n">
        <v>105685</v>
      </c>
      <c r="O587" s="6" t="n">
        <v>143945</v>
      </c>
      <c r="P587" s="4" t="s">
        <v>46</v>
      </c>
      <c r="Q587" s="6" t="n">
        <v>765000</v>
      </c>
      <c r="R587" s="15" t="n">
        <v>39310</v>
      </c>
      <c r="S587" s="6" t="n">
        <v>298958</v>
      </c>
      <c r="T587" s="15" t="n">
        <v>42209</v>
      </c>
      <c r="U587" s="6"/>
      <c r="V587" s="15"/>
      <c r="W587" s="4" t="s">
        <v>47</v>
      </c>
      <c r="X587" s="4" t="s">
        <v>47</v>
      </c>
      <c r="Y587" s="4" t="s">
        <v>2398</v>
      </c>
      <c r="Z587" s="4" t="s">
        <v>1298</v>
      </c>
      <c r="AA587" s="6" t="n">
        <v>0</v>
      </c>
      <c r="AB587" s="6" t="n">
        <v>14562.08</v>
      </c>
      <c r="AC587" s="6" t="n">
        <v>7618.69</v>
      </c>
      <c r="AD587" s="14" t="b">
        <f aca="false">TRUE()</f>
        <v>1</v>
      </c>
    </row>
    <row r="588" customFormat="false" ht="15" hidden="false" customHeight="false" outlineLevel="0" collapsed="false">
      <c r="A588" s="14" t="b">
        <f aca="false">TRUE()</f>
        <v>1</v>
      </c>
      <c r="B588" s="14" t="b">
        <f aca="false">FALSE()</f>
        <v>0</v>
      </c>
      <c r="C588" s="4" t="n">
        <v>3</v>
      </c>
      <c r="D588" s="4"/>
      <c r="E588" s="4"/>
      <c r="F588" s="4"/>
      <c r="G588" s="4"/>
      <c r="H588" s="14" t="b">
        <f aca="false">FALSE()</f>
        <v>0</v>
      </c>
      <c r="I588" s="14" t="b">
        <f aca="false">FALSE()</f>
        <v>0</v>
      </c>
      <c r="J588" s="4"/>
      <c r="K588" s="4" t="s">
        <v>2399</v>
      </c>
      <c r="L588" s="4" t="s">
        <v>2400</v>
      </c>
      <c r="M588" s="4" t="s">
        <v>2401</v>
      </c>
      <c r="N588" s="6" t="n">
        <v>84555</v>
      </c>
      <c r="O588" s="6" t="n">
        <v>112239</v>
      </c>
      <c r="P588" s="4" t="s">
        <v>46</v>
      </c>
      <c r="Q588" s="6"/>
      <c r="R588" s="15"/>
      <c r="S588" s="6"/>
      <c r="T588" s="15"/>
      <c r="U588" s="6"/>
      <c r="V588" s="15"/>
      <c r="W588" s="4" t="s">
        <v>47</v>
      </c>
      <c r="X588" s="4" t="s">
        <v>47</v>
      </c>
      <c r="Y588" s="4" t="s">
        <v>2402</v>
      </c>
      <c r="Z588" s="4" t="s">
        <v>1298</v>
      </c>
      <c r="AA588" s="6" t="n">
        <v>0</v>
      </c>
      <c r="AB588" s="6" t="n">
        <v>11377.88</v>
      </c>
      <c r="AC588" s="6" t="n">
        <v>12155.88</v>
      </c>
      <c r="AD588" s="14" t="b">
        <f aca="false">FALSE()</f>
        <v>0</v>
      </c>
    </row>
    <row r="589" customFormat="false" ht="15" hidden="false" customHeight="false" outlineLevel="0" collapsed="false">
      <c r="A589" s="14" t="b">
        <f aca="false">TRUE()</f>
        <v>1</v>
      </c>
      <c r="B589" s="14" t="b">
        <f aca="false">FALSE()</f>
        <v>0</v>
      </c>
      <c r="C589" s="4" t="n">
        <v>3</v>
      </c>
      <c r="D589" s="4"/>
      <c r="E589" s="4"/>
      <c r="F589" s="4"/>
      <c r="G589" s="4" t="n">
        <v>3</v>
      </c>
      <c r="H589" s="14" t="b">
        <f aca="false">FALSE()</f>
        <v>0</v>
      </c>
      <c r="I589" s="14" t="b">
        <f aca="false">FALSE()</f>
        <v>0</v>
      </c>
      <c r="J589" s="4"/>
      <c r="K589" s="4" t="s">
        <v>2403</v>
      </c>
      <c r="L589" s="4" t="s">
        <v>2404</v>
      </c>
      <c r="M589" s="4" t="s">
        <v>2405</v>
      </c>
      <c r="N589" s="6" t="n">
        <v>138809</v>
      </c>
      <c r="O589" s="6" t="n">
        <v>184130</v>
      </c>
      <c r="P589" s="4" t="s">
        <v>46</v>
      </c>
      <c r="Q589" s="6" t="n">
        <v>560000</v>
      </c>
      <c r="R589" s="15" t="n">
        <v>41054</v>
      </c>
      <c r="S589" s="6" t="n">
        <v>548250</v>
      </c>
      <c r="T589" s="15" t="n">
        <v>44285</v>
      </c>
      <c r="U589" s="6" t="n">
        <v>65000</v>
      </c>
      <c r="V589" s="15" t="n">
        <v>44400</v>
      </c>
      <c r="W589" s="4" t="s">
        <v>47</v>
      </c>
      <c r="X589" s="4" t="s">
        <v>47</v>
      </c>
      <c r="Y589" s="4" t="s">
        <v>2406</v>
      </c>
      <c r="Z589" s="4" t="s">
        <v>1298</v>
      </c>
      <c r="AA589" s="6" t="n">
        <v>0</v>
      </c>
      <c r="AB589" s="6" t="n">
        <v>18980.12</v>
      </c>
      <c r="AC589" s="6" t="n">
        <v>20271.28</v>
      </c>
      <c r="AD589" s="14" t="b">
        <f aca="false">FALSE()</f>
        <v>0</v>
      </c>
    </row>
    <row r="590" customFormat="false" ht="15" hidden="false" customHeight="false" outlineLevel="0" collapsed="false">
      <c r="A590" s="14" t="b">
        <f aca="false">TRUE()</f>
        <v>1</v>
      </c>
      <c r="B590" s="14" t="b">
        <f aca="false">FALSE()</f>
        <v>0</v>
      </c>
      <c r="C590" s="4" t="n">
        <v>3</v>
      </c>
      <c r="D590" s="4"/>
      <c r="E590" s="4"/>
      <c r="F590" s="4"/>
      <c r="G590" s="4"/>
      <c r="H590" s="14" t="b">
        <f aca="false">FALSE()</f>
        <v>0</v>
      </c>
      <c r="I590" s="14" t="b">
        <f aca="false">FALSE()</f>
        <v>0</v>
      </c>
      <c r="J590" s="4"/>
      <c r="K590" s="4" t="s">
        <v>2407</v>
      </c>
      <c r="L590" s="4" t="s">
        <v>2408</v>
      </c>
      <c r="M590" s="4" t="s">
        <v>2409</v>
      </c>
      <c r="N590" s="6" t="n">
        <v>105685</v>
      </c>
      <c r="O590" s="6" t="n">
        <v>30647</v>
      </c>
      <c r="P590" s="4" t="s">
        <v>46</v>
      </c>
      <c r="Q590" s="6" t="n">
        <v>147000</v>
      </c>
      <c r="R590" s="15" t="n">
        <v>35216</v>
      </c>
      <c r="S590" s="6" t="n">
        <v>100000</v>
      </c>
      <c r="T590" s="15" t="n">
        <v>39301</v>
      </c>
      <c r="U590" s="6"/>
      <c r="V590" s="15"/>
      <c r="W590" s="4" t="s">
        <v>47</v>
      </c>
      <c r="X590" s="4" t="s">
        <v>58</v>
      </c>
      <c r="Y590" s="4" t="s">
        <v>2410</v>
      </c>
      <c r="Z590" s="4" t="s">
        <v>1298</v>
      </c>
      <c r="AA590" s="6" t="n">
        <v>0</v>
      </c>
      <c r="AB590" s="6" t="n">
        <v>7734.06</v>
      </c>
      <c r="AC590" s="6" t="n">
        <v>8266.11</v>
      </c>
      <c r="AD590" s="14" t="b">
        <f aca="false">FALSE()</f>
        <v>0</v>
      </c>
    </row>
    <row r="591" customFormat="false" ht="15" hidden="false" customHeight="false" outlineLevel="0" collapsed="false">
      <c r="A591" s="14" t="b">
        <f aca="false">TRUE()</f>
        <v>1</v>
      </c>
      <c r="B591" s="14" t="b">
        <f aca="false">FALSE()</f>
        <v>0</v>
      </c>
      <c r="C591" s="4" t="n">
        <v>2</v>
      </c>
      <c r="D591" s="4"/>
      <c r="E591" s="4"/>
      <c r="F591" s="4"/>
      <c r="G591" s="4"/>
      <c r="H591" s="14" t="b">
        <f aca="false">FALSE()</f>
        <v>0</v>
      </c>
      <c r="I591" s="14" t="b">
        <f aca="false">FALSE()</f>
        <v>0</v>
      </c>
      <c r="J591" s="4"/>
      <c r="K591" s="4" t="s">
        <v>2411</v>
      </c>
      <c r="L591" s="4" t="s">
        <v>2412</v>
      </c>
      <c r="M591" s="4" t="s">
        <v>2413</v>
      </c>
      <c r="N591" s="6" t="n">
        <v>102171</v>
      </c>
      <c r="O591" s="6" t="n">
        <v>36822</v>
      </c>
      <c r="P591" s="4" t="s">
        <v>46</v>
      </c>
      <c r="Q591" s="6"/>
      <c r="R591" s="15"/>
      <c r="S591" s="6"/>
      <c r="T591" s="15"/>
      <c r="U591" s="6"/>
      <c r="V591" s="15"/>
      <c r="W591" s="4" t="s">
        <v>47</v>
      </c>
      <c r="X591" s="4" t="s">
        <v>47</v>
      </c>
      <c r="Y591" s="4" t="s">
        <v>2414</v>
      </c>
      <c r="Z591" s="4" t="s">
        <v>1298</v>
      </c>
      <c r="AA591" s="6" t="n">
        <v>0</v>
      </c>
      <c r="AB591" s="6" t="n">
        <v>7412.3</v>
      </c>
      <c r="AC591" s="6" t="n">
        <v>3882.93</v>
      </c>
      <c r="AD591" s="14" t="b">
        <f aca="false">TRUE()</f>
        <v>1</v>
      </c>
    </row>
    <row r="592" customFormat="false" ht="15" hidden="false" customHeight="false" outlineLevel="0" collapsed="false">
      <c r="A592" s="14" t="b">
        <f aca="false">TRUE()</f>
        <v>1</v>
      </c>
      <c r="B592" s="14" t="b">
        <f aca="false">FALSE()</f>
        <v>0</v>
      </c>
      <c r="C592" s="4" t="n">
        <v>2</v>
      </c>
      <c r="D592" s="4"/>
      <c r="E592" s="4"/>
      <c r="F592" s="4"/>
      <c r="G592" s="4"/>
      <c r="H592" s="14" t="b">
        <f aca="false">FALSE()</f>
        <v>0</v>
      </c>
      <c r="I592" s="14" t="b">
        <f aca="false">FALSE()</f>
        <v>0</v>
      </c>
      <c r="J592" s="4"/>
      <c r="K592" s="4" t="s">
        <v>2415</v>
      </c>
      <c r="L592" s="4" t="s">
        <v>2416</v>
      </c>
      <c r="M592" s="4" t="s">
        <v>2417</v>
      </c>
      <c r="N592" s="6" t="n">
        <v>5277</v>
      </c>
      <c r="O592" s="6" t="n">
        <v>47538</v>
      </c>
      <c r="P592" s="4" t="s">
        <v>46</v>
      </c>
      <c r="Q592" s="6" t="n">
        <v>148000</v>
      </c>
      <c r="R592" s="15" t="n">
        <v>44288</v>
      </c>
      <c r="S592" s="6" t="n">
        <v>111000</v>
      </c>
      <c r="T592" s="15" t="n">
        <v>44288</v>
      </c>
      <c r="U592" s="6"/>
      <c r="V592" s="15"/>
      <c r="W592" s="4" t="s">
        <v>47</v>
      </c>
      <c r="X592" s="4" t="s">
        <v>47</v>
      </c>
      <c r="Y592" s="4" t="s">
        <v>2418</v>
      </c>
      <c r="Z592" s="4" t="s">
        <v>1298</v>
      </c>
      <c r="AA592" s="6" t="n">
        <v>0</v>
      </c>
      <c r="AB592" s="6" t="n">
        <v>3182.94</v>
      </c>
      <c r="AC592" s="6" t="n">
        <v>1673.09</v>
      </c>
      <c r="AD592" s="14" t="b">
        <f aca="false">TRUE()</f>
        <v>1</v>
      </c>
    </row>
    <row r="593" customFormat="false" ht="15" hidden="false" customHeight="false" outlineLevel="0" collapsed="false">
      <c r="A593" s="14" t="b">
        <f aca="false">TRUE()</f>
        <v>1</v>
      </c>
      <c r="B593" s="14" t="b">
        <f aca="false">FALSE()</f>
        <v>0</v>
      </c>
      <c r="C593" s="4" t="n">
        <v>2</v>
      </c>
      <c r="D593" s="4"/>
      <c r="E593" s="4"/>
      <c r="F593" s="4"/>
      <c r="G593" s="4"/>
      <c r="H593" s="14" t="b">
        <f aca="false">FALSE()</f>
        <v>0</v>
      </c>
      <c r="I593" s="14" t="b">
        <f aca="false">FALSE()</f>
        <v>0</v>
      </c>
      <c r="J593" s="4"/>
      <c r="K593" s="4" t="s">
        <v>2419</v>
      </c>
      <c r="L593" s="4" t="s">
        <v>2420</v>
      </c>
      <c r="M593" s="4" t="s">
        <v>2421</v>
      </c>
      <c r="N593" s="6" t="n">
        <v>82197</v>
      </c>
      <c r="O593" s="6" t="n">
        <v>86631</v>
      </c>
      <c r="P593" s="4" t="s">
        <v>46</v>
      </c>
      <c r="Q593" s="6"/>
      <c r="R593" s="15"/>
      <c r="S593" s="6" t="n">
        <v>150000</v>
      </c>
      <c r="T593" s="15" t="n">
        <v>45219</v>
      </c>
      <c r="U593" s="6"/>
      <c r="V593" s="15"/>
      <c r="W593" s="4" t="s">
        <v>47</v>
      </c>
      <c r="X593" s="4" t="s">
        <v>47</v>
      </c>
      <c r="Y593" s="4" t="s">
        <v>2422</v>
      </c>
      <c r="Z593" s="4" t="s">
        <v>1298</v>
      </c>
      <c r="AA593" s="6" t="n">
        <v>0</v>
      </c>
      <c r="AB593" s="6" t="n">
        <v>9210.34</v>
      </c>
      <c r="AC593" s="6" t="n">
        <v>4822.4</v>
      </c>
      <c r="AD593" s="14" t="b">
        <f aca="false">TRUE()</f>
        <v>1</v>
      </c>
    </row>
    <row r="594" customFormat="false" ht="15" hidden="false" customHeight="false" outlineLevel="0" collapsed="false">
      <c r="A594" s="14" t="b">
        <f aca="false">TRUE()</f>
        <v>1</v>
      </c>
      <c r="B594" s="14" t="b">
        <f aca="false">FALSE()</f>
        <v>0</v>
      </c>
      <c r="C594" s="4" t="n">
        <v>3</v>
      </c>
      <c r="D594" s="4"/>
      <c r="E594" s="4"/>
      <c r="F594" s="4"/>
      <c r="G594" s="4"/>
      <c r="H594" s="14" t="b">
        <f aca="false">FALSE()</f>
        <v>0</v>
      </c>
      <c r="I594" s="14" t="b">
        <f aca="false">FALSE()</f>
        <v>0</v>
      </c>
      <c r="J594" s="4"/>
      <c r="K594" s="4" t="s">
        <v>2423</v>
      </c>
      <c r="L594" s="4" t="s">
        <v>2424</v>
      </c>
      <c r="M594" s="4" t="s">
        <v>2425</v>
      </c>
      <c r="N594" s="6" t="n">
        <v>132709</v>
      </c>
      <c r="O594" s="6" t="n">
        <v>433112</v>
      </c>
      <c r="P594" s="4" t="s">
        <v>46</v>
      </c>
      <c r="Q594" s="6" t="n">
        <v>1706500</v>
      </c>
      <c r="R594" s="15" t="n">
        <v>45212</v>
      </c>
      <c r="S594" s="6"/>
      <c r="T594" s="15"/>
      <c r="U594" s="6"/>
      <c r="V594" s="15"/>
      <c r="W594" s="4" t="s">
        <v>58</v>
      </c>
      <c r="X594" s="4" t="s">
        <v>47</v>
      </c>
      <c r="Y594" s="4" t="s">
        <v>2426</v>
      </c>
      <c r="Z594" s="4" t="s">
        <v>1298</v>
      </c>
      <c r="AA594" s="6" t="n">
        <v>0</v>
      </c>
      <c r="AB594" s="6" t="n">
        <v>33617.64</v>
      </c>
      <c r="AC594" s="6" t="n">
        <v>35896.83</v>
      </c>
      <c r="AD594" s="14" t="b">
        <f aca="false">FALSE()</f>
        <v>0</v>
      </c>
    </row>
    <row r="595" customFormat="false" ht="15" hidden="false" customHeight="false" outlineLevel="0" collapsed="false">
      <c r="A595" s="14" t="b">
        <f aca="false">TRUE()</f>
        <v>1</v>
      </c>
      <c r="B595" s="14" t="b">
        <f aca="false">FALSE()</f>
        <v>0</v>
      </c>
      <c r="C595" s="4" t="n">
        <v>3</v>
      </c>
      <c r="D595" s="4"/>
      <c r="E595" s="4"/>
      <c r="F595" s="4"/>
      <c r="G595" s="4"/>
      <c r="H595" s="14" t="b">
        <f aca="false">FALSE()</f>
        <v>0</v>
      </c>
      <c r="I595" s="14" t="b">
        <f aca="false">FALSE()</f>
        <v>0</v>
      </c>
      <c r="J595" s="4"/>
      <c r="K595" s="4" t="s">
        <v>2427</v>
      </c>
      <c r="L595" s="4" t="s">
        <v>2428</v>
      </c>
      <c r="M595" s="4" t="s">
        <v>2429</v>
      </c>
      <c r="N595" s="6" t="n">
        <v>85798</v>
      </c>
      <c r="O595" s="6" t="n">
        <v>46208</v>
      </c>
      <c r="P595" s="4" t="s">
        <v>46</v>
      </c>
      <c r="Q595" s="6"/>
      <c r="R595" s="15"/>
      <c r="S595" s="6" t="n">
        <v>51119</v>
      </c>
      <c r="T595" s="15" t="n">
        <v>41124</v>
      </c>
      <c r="U595" s="6"/>
      <c r="V595" s="15"/>
      <c r="W595" s="4" t="s">
        <v>47</v>
      </c>
      <c r="X595" s="4" t="s">
        <v>47</v>
      </c>
      <c r="Y595" s="4" t="s">
        <v>2430</v>
      </c>
      <c r="Z595" s="4" t="s">
        <v>1298</v>
      </c>
      <c r="AA595" s="6" t="n">
        <v>0</v>
      </c>
      <c r="AB595" s="6" t="n">
        <v>6991.22</v>
      </c>
      <c r="AC595" s="6" t="n">
        <v>7473.12</v>
      </c>
      <c r="AD595" s="14" t="b">
        <f aca="false">FALSE()</f>
        <v>0</v>
      </c>
    </row>
    <row r="596" customFormat="false" ht="15" hidden="false" customHeight="false" outlineLevel="0" collapsed="false">
      <c r="A596" s="14" t="b">
        <f aca="false">TRUE()</f>
        <v>1</v>
      </c>
      <c r="B596" s="14" t="b">
        <f aca="false">FALSE()</f>
        <v>0</v>
      </c>
      <c r="C596" s="4" t="n">
        <v>3</v>
      </c>
      <c r="D596" s="4"/>
      <c r="E596" s="4"/>
      <c r="F596" s="4"/>
      <c r="G596" s="4"/>
      <c r="H596" s="14" t="b">
        <f aca="false">FALSE()</f>
        <v>0</v>
      </c>
      <c r="I596" s="14" t="b">
        <f aca="false">FALSE()</f>
        <v>0</v>
      </c>
      <c r="J596" s="4"/>
      <c r="K596" s="4" t="s">
        <v>2431</v>
      </c>
      <c r="L596" s="4" t="s">
        <v>2432</v>
      </c>
      <c r="M596" s="4" t="s">
        <v>2433</v>
      </c>
      <c r="N596" s="6" t="n">
        <v>18211</v>
      </c>
      <c r="O596" s="6" t="n">
        <v>164686</v>
      </c>
      <c r="P596" s="4" t="s">
        <v>46</v>
      </c>
      <c r="Q596" s="6"/>
      <c r="R596" s="15" t="n">
        <v>42069</v>
      </c>
      <c r="S596" s="6" t="n">
        <v>376150</v>
      </c>
      <c r="T596" s="15" t="n">
        <v>43122</v>
      </c>
      <c r="U596" s="6"/>
      <c r="V596" s="15"/>
      <c r="W596" s="4" t="s">
        <v>47</v>
      </c>
      <c r="X596" s="4" t="s">
        <v>47</v>
      </c>
      <c r="Y596" s="4" t="s">
        <v>2434</v>
      </c>
      <c r="Z596" s="4" t="s">
        <v>1298</v>
      </c>
      <c r="AA596" s="6" t="n">
        <v>0</v>
      </c>
      <c r="AB596" s="6" t="n">
        <v>10058.22</v>
      </c>
      <c r="AC596" s="6" t="n">
        <v>10747.15</v>
      </c>
      <c r="AD596" s="14" t="b">
        <f aca="false">FALSE()</f>
        <v>0</v>
      </c>
    </row>
    <row r="597" customFormat="false" ht="15" hidden="false" customHeight="false" outlineLevel="0" collapsed="false">
      <c r="A597" s="14" t="b">
        <f aca="false">TRUE()</f>
        <v>1</v>
      </c>
      <c r="B597" s="14" t="b">
        <f aca="false">FALSE()</f>
        <v>0</v>
      </c>
      <c r="C597" s="4" t="n">
        <v>2</v>
      </c>
      <c r="D597" s="4"/>
      <c r="E597" s="4"/>
      <c r="F597" s="4"/>
      <c r="G597" s="4"/>
      <c r="H597" s="14" t="b">
        <f aca="false">FALSE()</f>
        <v>0</v>
      </c>
      <c r="I597" s="14" t="b">
        <f aca="false">FALSE()</f>
        <v>0</v>
      </c>
      <c r="J597" s="4"/>
      <c r="K597" s="4" t="s">
        <v>2435</v>
      </c>
      <c r="L597" s="4" t="s">
        <v>2436</v>
      </c>
      <c r="M597" s="4" t="s">
        <v>2437</v>
      </c>
      <c r="N597" s="6" t="n">
        <v>131087</v>
      </c>
      <c r="O597" s="6" t="n">
        <v>45549</v>
      </c>
      <c r="P597" s="4" t="s">
        <v>46</v>
      </c>
      <c r="Q597" s="6" t="n">
        <v>400000</v>
      </c>
      <c r="R597" s="15" t="n">
        <v>45497</v>
      </c>
      <c r="S597" s="6"/>
      <c r="T597" s="15"/>
      <c r="U597" s="6"/>
      <c r="V597" s="15"/>
      <c r="W597" s="4" t="s">
        <v>47</v>
      </c>
      <c r="X597" s="4" t="s">
        <v>47</v>
      </c>
      <c r="Y597" s="4" t="s">
        <v>2438</v>
      </c>
      <c r="Z597" s="4" t="s">
        <v>1298</v>
      </c>
      <c r="AA597" s="6" t="n">
        <v>0</v>
      </c>
      <c r="AB597" s="6" t="n">
        <v>8602.56</v>
      </c>
      <c r="AC597" s="6" t="n">
        <v>9193.24</v>
      </c>
      <c r="AD597" s="14" t="b">
        <f aca="false">FALSE()</f>
        <v>0</v>
      </c>
    </row>
    <row r="598" customFormat="false" ht="15" hidden="false" customHeight="false" outlineLevel="0" collapsed="false">
      <c r="A598" s="14" t="b">
        <f aca="false">TRUE()</f>
        <v>1</v>
      </c>
      <c r="B598" s="14" t="b">
        <f aca="false">FALSE()</f>
        <v>0</v>
      </c>
      <c r="C598" s="4" t="n">
        <v>3</v>
      </c>
      <c r="D598" s="4"/>
      <c r="E598" s="4"/>
      <c r="F598" s="4"/>
      <c r="G598" s="4"/>
      <c r="H598" s="14" t="b">
        <f aca="false">FALSE()</f>
        <v>0</v>
      </c>
      <c r="I598" s="14" t="b">
        <f aca="false">FALSE()</f>
        <v>0</v>
      </c>
      <c r="J598" s="4"/>
      <c r="K598" s="4" t="s">
        <v>2439</v>
      </c>
      <c r="L598" s="4" t="s">
        <v>2440</v>
      </c>
      <c r="M598" s="4" t="s">
        <v>2441</v>
      </c>
      <c r="N598" s="6" t="n">
        <v>65652</v>
      </c>
      <c r="O598" s="6" t="n">
        <v>146335</v>
      </c>
      <c r="P598" s="4" t="s">
        <v>46</v>
      </c>
      <c r="Q598" s="6" t="n">
        <v>439500</v>
      </c>
      <c r="R598" s="15" t="n">
        <v>45447</v>
      </c>
      <c r="S598" s="6"/>
      <c r="T598" s="15"/>
      <c r="U598" s="6"/>
      <c r="V598" s="15"/>
      <c r="W598" s="4" t="s">
        <v>47</v>
      </c>
      <c r="X598" s="4" t="s">
        <v>47</v>
      </c>
      <c r="Y598" s="4" t="s">
        <v>2442</v>
      </c>
      <c r="Z598" s="4" t="s">
        <v>1298</v>
      </c>
      <c r="AA598" s="6" t="n">
        <v>0</v>
      </c>
      <c r="AB598" s="6" t="n">
        <v>10924.12</v>
      </c>
      <c r="AC598" s="6" t="n">
        <v>11671.5</v>
      </c>
      <c r="AD598" s="14" t="b">
        <f aca="false">FALSE()</f>
        <v>0</v>
      </c>
    </row>
    <row r="599" customFormat="false" ht="15" hidden="false" customHeight="false" outlineLevel="0" collapsed="false">
      <c r="A599" s="14" t="b">
        <f aca="false">TRUE()</f>
        <v>1</v>
      </c>
      <c r="B599" s="14" t="b">
        <f aca="false">FALSE()</f>
        <v>0</v>
      </c>
      <c r="C599" s="4" t="n">
        <v>2</v>
      </c>
      <c r="D599" s="4"/>
      <c r="E599" s="4"/>
      <c r="F599" s="4"/>
      <c r="G599" s="4"/>
      <c r="H599" s="14" t="b">
        <f aca="false">FALSE()</f>
        <v>0</v>
      </c>
      <c r="I599" s="14" t="b">
        <f aca="false">FALSE()</f>
        <v>0</v>
      </c>
      <c r="J599" s="4"/>
      <c r="K599" s="4" t="s">
        <v>2443</v>
      </c>
      <c r="L599" s="4" t="s">
        <v>2444</v>
      </c>
      <c r="M599" s="4" t="s">
        <v>2445</v>
      </c>
      <c r="N599" s="6" t="n">
        <v>82197</v>
      </c>
      <c r="O599" s="6" t="n">
        <v>50426</v>
      </c>
      <c r="P599" s="4" t="s">
        <v>46</v>
      </c>
      <c r="Q599" s="6" t="n">
        <v>325000</v>
      </c>
      <c r="R599" s="15" t="n">
        <v>38673</v>
      </c>
      <c r="S599" s="6"/>
      <c r="T599" s="15"/>
      <c r="U599" s="6"/>
      <c r="V599" s="15"/>
      <c r="W599" s="4" t="s">
        <v>47</v>
      </c>
      <c r="X599" s="4" t="s">
        <v>47</v>
      </c>
      <c r="Y599" s="4" t="s">
        <v>2446</v>
      </c>
      <c r="Z599" s="4" t="s">
        <v>1298</v>
      </c>
      <c r="AA599" s="6" t="n">
        <v>0</v>
      </c>
      <c r="AB599" s="6" t="n">
        <v>7510.52</v>
      </c>
      <c r="AC599" s="6" t="n">
        <v>8027.48</v>
      </c>
      <c r="AD599" s="14" t="b">
        <f aca="false">FALSE()</f>
        <v>0</v>
      </c>
    </row>
    <row r="600" customFormat="false" ht="15" hidden="false" customHeight="false" outlineLevel="0" collapsed="false">
      <c r="A600" s="14" t="b">
        <f aca="false">TRUE()</f>
        <v>1</v>
      </c>
      <c r="B600" s="14" t="b">
        <f aca="false">FALSE()</f>
        <v>0</v>
      </c>
      <c r="C600" s="4" t="n">
        <v>2</v>
      </c>
      <c r="D600" s="4"/>
      <c r="E600" s="4"/>
      <c r="F600" s="4"/>
      <c r="G600" s="4"/>
      <c r="H600" s="14" t="b">
        <f aca="false">FALSE()</f>
        <v>0</v>
      </c>
      <c r="I600" s="14" t="b">
        <f aca="false">FALSE()</f>
        <v>0</v>
      </c>
      <c r="J600" s="4"/>
      <c r="K600" s="4" t="s">
        <v>2447</v>
      </c>
      <c r="L600" s="4" t="s">
        <v>2448</v>
      </c>
      <c r="M600" s="4" t="s">
        <v>2449</v>
      </c>
      <c r="N600" s="6" t="n">
        <v>61121</v>
      </c>
      <c r="O600" s="6" t="n">
        <v>69058</v>
      </c>
      <c r="P600" s="4" t="s">
        <v>46</v>
      </c>
      <c r="Q600" s="6" t="n">
        <v>277000</v>
      </c>
      <c r="R600" s="15" t="n">
        <v>43880</v>
      </c>
      <c r="S600" s="6"/>
      <c r="T600" s="15"/>
      <c r="U600" s="6"/>
      <c r="V600" s="15"/>
      <c r="W600" s="4" t="s">
        <v>47</v>
      </c>
      <c r="X600" s="4" t="s">
        <v>47</v>
      </c>
      <c r="Y600" s="4" t="s">
        <v>2450</v>
      </c>
      <c r="Z600" s="4" t="s">
        <v>1298</v>
      </c>
      <c r="AA600" s="6" t="n">
        <v>0</v>
      </c>
      <c r="AB600" s="6" t="n">
        <v>7363.26</v>
      </c>
      <c r="AC600" s="6" t="n">
        <v>3857.3</v>
      </c>
      <c r="AD600" s="14" t="b">
        <f aca="false">TRUE()</f>
        <v>1</v>
      </c>
    </row>
    <row r="601" customFormat="false" ht="15" hidden="false" customHeight="false" outlineLevel="0" collapsed="false">
      <c r="A601" s="14" t="b">
        <f aca="false">TRUE()</f>
        <v>1</v>
      </c>
      <c r="B601" s="14" t="b">
        <f aca="false">FALSE()</f>
        <v>0</v>
      </c>
      <c r="C601" s="4" t="n">
        <v>3</v>
      </c>
      <c r="D601" s="4"/>
      <c r="E601" s="4"/>
      <c r="F601" s="4"/>
      <c r="G601" s="4"/>
      <c r="H601" s="14" t="b">
        <f aca="false">FALSE()</f>
        <v>0</v>
      </c>
      <c r="I601" s="14" t="b">
        <f aca="false">FALSE()</f>
        <v>0</v>
      </c>
      <c r="J601" s="4"/>
      <c r="K601" s="4" t="s">
        <v>2451</v>
      </c>
      <c r="L601" s="4" t="s">
        <v>2452</v>
      </c>
      <c r="M601" s="4" t="s">
        <v>2453</v>
      </c>
      <c r="N601" s="6" t="n">
        <v>83971</v>
      </c>
      <c r="O601" s="6" t="n">
        <v>101554</v>
      </c>
      <c r="P601" s="4" t="s">
        <v>46</v>
      </c>
      <c r="Q601" s="6"/>
      <c r="R601" s="15" t="n">
        <v>35879</v>
      </c>
      <c r="S601" s="6"/>
      <c r="T601" s="15"/>
      <c r="U601" s="6"/>
      <c r="V601" s="15"/>
      <c r="W601" s="4" t="s">
        <v>47</v>
      </c>
      <c r="X601" s="4" t="s">
        <v>47</v>
      </c>
      <c r="Y601" s="4" t="s">
        <v>2454</v>
      </c>
      <c r="Z601" s="4" t="s">
        <v>1298</v>
      </c>
      <c r="AA601" s="6" t="n">
        <v>0</v>
      </c>
      <c r="AB601" s="6" t="n">
        <v>10216.6</v>
      </c>
      <c r="AC601" s="6" t="n">
        <v>10916.22</v>
      </c>
      <c r="AD601" s="14" t="b">
        <f aca="false">FALSE()</f>
        <v>0</v>
      </c>
    </row>
    <row r="602" customFormat="false" ht="15" hidden="false" customHeight="false" outlineLevel="0" collapsed="false">
      <c r="A602" s="14" t="b">
        <f aca="false">TRUE()</f>
        <v>1</v>
      </c>
      <c r="B602" s="14" t="b">
        <f aca="false">FALSE()</f>
        <v>0</v>
      </c>
      <c r="C602" s="4" t="n">
        <v>3</v>
      </c>
      <c r="D602" s="4"/>
      <c r="E602" s="4"/>
      <c r="F602" s="4"/>
      <c r="G602" s="4" t="n">
        <v>3</v>
      </c>
      <c r="H602" s="14" t="b">
        <f aca="false">FALSE()</f>
        <v>0</v>
      </c>
      <c r="I602" s="14" t="b">
        <f aca="false">FALSE()</f>
        <v>0</v>
      </c>
      <c r="J602" s="4"/>
      <c r="K602" s="4" t="s">
        <v>2455</v>
      </c>
      <c r="L602" s="4" t="s">
        <v>2456</v>
      </c>
      <c r="M602" s="4" t="s">
        <v>2457</v>
      </c>
      <c r="N602" s="6" t="n">
        <v>83203</v>
      </c>
      <c r="O602" s="6" t="n">
        <v>133845</v>
      </c>
      <c r="P602" s="4" t="s">
        <v>46</v>
      </c>
      <c r="Q602" s="6" t="n">
        <v>600000</v>
      </c>
      <c r="R602" s="15" t="n">
        <v>44880</v>
      </c>
      <c r="S602" s="6"/>
      <c r="T602" s="15"/>
      <c r="U602" s="6"/>
      <c r="V602" s="15"/>
      <c r="W602" s="4" t="s">
        <v>58</v>
      </c>
      <c r="X602" s="4" t="s">
        <v>47</v>
      </c>
      <c r="Y602" s="4" t="s">
        <v>2458</v>
      </c>
      <c r="Z602" s="4" t="s">
        <v>1298</v>
      </c>
      <c r="AA602" s="6" t="n">
        <v>0</v>
      </c>
      <c r="AB602" s="6" t="n">
        <v>12598.48</v>
      </c>
      <c r="AC602" s="6" t="n">
        <v>13458.88</v>
      </c>
      <c r="AD602" s="14" t="b">
        <f aca="false">FALSE()</f>
        <v>0</v>
      </c>
    </row>
    <row r="603" customFormat="false" ht="15" hidden="false" customHeight="false" outlineLevel="0" collapsed="false">
      <c r="A603" s="14" t="b">
        <f aca="false">TRUE()</f>
        <v>1</v>
      </c>
      <c r="B603" s="14" t="b">
        <f aca="false">FALSE()</f>
        <v>0</v>
      </c>
      <c r="C603" s="4" t="n">
        <v>2</v>
      </c>
      <c r="D603" s="4"/>
      <c r="E603" s="4"/>
      <c r="F603" s="4"/>
      <c r="G603" s="4"/>
      <c r="H603" s="14" t="b">
        <f aca="false">FALSE()</f>
        <v>0</v>
      </c>
      <c r="I603" s="14" t="b">
        <f aca="false">FALSE()</f>
        <v>0</v>
      </c>
      <c r="J603" s="4"/>
      <c r="K603" s="4" t="s">
        <v>2459</v>
      </c>
      <c r="L603" s="4" t="s">
        <v>2460</v>
      </c>
      <c r="M603" s="4" t="s">
        <v>2461</v>
      </c>
      <c r="N603" s="6" t="n">
        <v>87961</v>
      </c>
      <c r="O603" s="6" t="n">
        <v>71902</v>
      </c>
      <c r="P603" s="4" t="s">
        <v>46</v>
      </c>
      <c r="Q603" s="6" t="n">
        <v>340000</v>
      </c>
      <c r="R603" s="15" t="n">
        <v>45230</v>
      </c>
      <c r="S603" s="6"/>
      <c r="T603" s="15"/>
      <c r="U603" s="6"/>
      <c r="V603" s="15"/>
      <c r="W603" s="4" t="s">
        <v>47</v>
      </c>
      <c r="X603" s="4" t="s">
        <v>47</v>
      </c>
      <c r="Y603" s="4" t="s">
        <v>2462</v>
      </c>
      <c r="Z603" s="4" t="s">
        <v>1298</v>
      </c>
      <c r="AA603" s="6" t="n">
        <v>0</v>
      </c>
      <c r="AB603" s="6" t="n">
        <v>9634.3</v>
      </c>
      <c r="AC603" s="6" t="n">
        <v>5043.92</v>
      </c>
      <c r="AD603" s="14" t="b">
        <f aca="false">TRUE()</f>
        <v>1</v>
      </c>
    </row>
    <row r="604" customFormat="false" ht="15" hidden="false" customHeight="false" outlineLevel="0" collapsed="false">
      <c r="A604" s="14" t="b">
        <f aca="false">TRUE()</f>
        <v>1</v>
      </c>
      <c r="B604" s="14" t="b">
        <f aca="false">FALSE()</f>
        <v>0</v>
      </c>
      <c r="C604" s="4" t="n">
        <v>3</v>
      </c>
      <c r="D604" s="4"/>
      <c r="E604" s="4"/>
      <c r="F604" s="4"/>
      <c r="G604" s="4" t="n">
        <v>3</v>
      </c>
      <c r="H604" s="14" t="b">
        <f aca="false">FALSE()</f>
        <v>0</v>
      </c>
      <c r="I604" s="14" t="b">
        <f aca="false">FALSE()</f>
        <v>0</v>
      </c>
      <c r="J604" s="4"/>
      <c r="K604" s="4" t="s">
        <v>2463</v>
      </c>
      <c r="L604" s="4" t="s">
        <v>2464</v>
      </c>
      <c r="M604" s="4" t="s">
        <v>2465</v>
      </c>
      <c r="N604" s="6" t="n">
        <v>12350</v>
      </c>
      <c r="O604" s="6" t="n">
        <v>111200</v>
      </c>
      <c r="P604" s="4" t="s">
        <v>46</v>
      </c>
      <c r="Q604" s="6"/>
      <c r="R604" s="15" t="n">
        <v>37951</v>
      </c>
      <c r="S604" s="6" t="n">
        <v>100000</v>
      </c>
      <c r="T604" s="15" t="n">
        <v>39062</v>
      </c>
      <c r="U604" s="6"/>
      <c r="V604" s="15"/>
      <c r="W604" s="4" t="s">
        <v>47</v>
      </c>
      <c r="X604" s="4" t="s">
        <v>47</v>
      </c>
      <c r="Y604" s="4" t="s">
        <v>2466</v>
      </c>
      <c r="Z604" s="4" t="s">
        <v>1298</v>
      </c>
      <c r="AA604" s="6" t="n">
        <v>0</v>
      </c>
      <c r="AB604" s="6" t="n">
        <v>6253.68</v>
      </c>
      <c r="AC604" s="6" t="n">
        <v>6685.81</v>
      </c>
      <c r="AD604" s="14" t="b">
        <f aca="false">FALSE()</f>
        <v>0</v>
      </c>
    </row>
    <row r="605" customFormat="false" ht="15" hidden="false" customHeight="false" outlineLevel="0" collapsed="false">
      <c r="A605" s="14" t="b">
        <f aca="false">TRUE()</f>
        <v>1</v>
      </c>
      <c r="B605" s="14" t="b">
        <f aca="false">FALSE()</f>
        <v>0</v>
      </c>
      <c r="C605" s="4" t="n">
        <v>2</v>
      </c>
      <c r="D605" s="4"/>
      <c r="E605" s="4"/>
      <c r="F605" s="4"/>
      <c r="G605" s="4"/>
      <c r="H605" s="14" t="b">
        <f aca="false">FALSE()</f>
        <v>0</v>
      </c>
      <c r="I605" s="14" t="b">
        <f aca="false">FALSE()</f>
        <v>0</v>
      </c>
      <c r="J605" s="4"/>
      <c r="K605" s="4" t="s">
        <v>2467</v>
      </c>
      <c r="L605" s="4" t="s">
        <v>2468</v>
      </c>
      <c r="M605" s="4" t="s">
        <v>2469</v>
      </c>
      <c r="N605" s="6" t="n">
        <v>23034</v>
      </c>
      <c r="O605" s="6" t="n">
        <v>69794</v>
      </c>
      <c r="P605" s="4" t="s">
        <v>46</v>
      </c>
      <c r="Q605" s="6"/>
      <c r="R605" s="15"/>
      <c r="S605" s="6"/>
      <c r="T605" s="15"/>
      <c r="U605" s="6"/>
      <c r="V605" s="15"/>
      <c r="W605" s="4" t="s">
        <v>58</v>
      </c>
      <c r="X605" s="4" t="s">
        <v>47</v>
      </c>
      <c r="Y605" s="4" t="s">
        <v>2470</v>
      </c>
      <c r="Z605" s="4" t="s">
        <v>2181</v>
      </c>
      <c r="AA605" s="6" t="n">
        <v>0</v>
      </c>
      <c r="AB605" s="6" t="n">
        <v>4958.62</v>
      </c>
      <c r="AC605" s="6" t="n">
        <v>5303.33</v>
      </c>
      <c r="AD605" s="14" t="b">
        <f aca="false">FALSE()</f>
        <v>0</v>
      </c>
    </row>
    <row r="606" customFormat="false" ht="15" hidden="false" customHeight="false" outlineLevel="0" collapsed="false">
      <c r="A606" s="14" t="b">
        <f aca="false">TRUE()</f>
        <v>1</v>
      </c>
      <c r="B606" s="14" t="b">
        <f aca="false">FALSE()</f>
        <v>0</v>
      </c>
      <c r="C606" s="4" t="n">
        <v>2</v>
      </c>
      <c r="D606" s="4"/>
      <c r="E606" s="4"/>
      <c r="F606" s="4"/>
      <c r="G606" s="4"/>
      <c r="H606" s="14" t="b">
        <f aca="false">FALSE()</f>
        <v>0</v>
      </c>
      <c r="I606" s="14" t="b">
        <f aca="false">FALSE()</f>
        <v>0</v>
      </c>
      <c r="J606" s="4"/>
      <c r="K606" s="4" t="s">
        <v>2471</v>
      </c>
      <c r="L606" s="4" t="s">
        <v>2472</v>
      </c>
      <c r="M606" s="4" t="s">
        <v>2473</v>
      </c>
      <c r="N606" s="6" t="n">
        <v>33026</v>
      </c>
      <c r="O606" s="6" t="n">
        <v>77558</v>
      </c>
      <c r="P606" s="4" t="s">
        <v>46</v>
      </c>
      <c r="Q606" s="6" t="n">
        <v>173500</v>
      </c>
      <c r="R606" s="15" t="n">
        <v>42702</v>
      </c>
      <c r="S606" s="6"/>
      <c r="T606" s="15"/>
      <c r="U606" s="6"/>
      <c r="V606" s="15"/>
      <c r="W606" s="4" t="s">
        <v>58</v>
      </c>
      <c r="X606" s="4" t="s">
        <v>58</v>
      </c>
      <c r="Y606" s="4" t="s">
        <v>2474</v>
      </c>
      <c r="Z606" s="4" t="s">
        <v>2181</v>
      </c>
      <c r="AA606" s="6" t="n">
        <v>0</v>
      </c>
      <c r="AB606" s="6" t="n">
        <v>5996.58</v>
      </c>
      <c r="AC606" s="6" t="n">
        <v>3143.21</v>
      </c>
      <c r="AD606" s="14" t="b">
        <f aca="false">TRUE()</f>
        <v>1</v>
      </c>
    </row>
    <row r="607" customFormat="false" ht="15" hidden="false" customHeight="false" outlineLevel="0" collapsed="false">
      <c r="A607" s="14" t="b">
        <f aca="false">TRUE()</f>
        <v>1</v>
      </c>
      <c r="B607" s="14" t="b">
        <f aca="false">FALSE()</f>
        <v>0</v>
      </c>
      <c r="C607" s="4" t="n">
        <v>2</v>
      </c>
      <c r="D607" s="4"/>
      <c r="E607" s="4"/>
      <c r="F607" s="4"/>
      <c r="G607" s="4"/>
      <c r="H607" s="14" t="b">
        <f aca="false">FALSE()</f>
        <v>0</v>
      </c>
      <c r="I607" s="14" t="b">
        <f aca="false">FALSE()</f>
        <v>0</v>
      </c>
      <c r="J607" s="4"/>
      <c r="K607" s="4" t="s">
        <v>2475</v>
      </c>
      <c r="L607" s="4" t="s">
        <v>2476</v>
      </c>
      <c r="M607" s="4" t="s">
        <v>2477</v>
      </c>
      <c r="N607" s="6" t="n">
        <v>27176</v>
      </c>
      <c r="O607" s="6" t="n">
        <v>91011</v>
      </c>
      <c r="P607" s="4" t="s">
        <v>46</v>
      </c>
      <c r="Q607" s="6" t="n">
        <v>332000</v>
      </c>
      <c r="R607" s="15" t="n">
        <v>45909</v>
      </c>
      <c r="S607" s="6"/>
      <c r="T607" s="15"/>
      <c r="U607" s="6"/>
      <c r="V607" s="15"/>
      <c r="W607" s="4" t="s">
        <v>58</v>
      </c>
      <c r="X607" s="4" t="s">
        <v>58</v>
      </c>
      <c r="Y607" s="4" t="s">
        <v>2478</v>
      </c>
      <c r="Z607" s="4" t="s">
        <v>2181</v>
      </c>
      <c r="AA607" s="6" t="n">
        <v>0</v>
      </c>
      <c r="AB607" s="6" t="n">
        <v>6440.98</v>
      </c>
      <c r="AC607" s="6" t="n">
        <v>3375.41</v>
      </c>
      <c r="AD607" s="14" t="b">
        <f aca="false">TRUE()</f>
        <v>1</v>
      </c>
    </row>
    <row r="608" customFormat="false" ht="15" hidden="false" customHeight="false" outlineLevel="0" collapsed="false">
      <c r="A608" s="14" t="b">
        <f aca="false">TRUE()</f>
        <v>1</v>
      </c>
      <c r="B608" s="14" t="b">
        <f aca="false">FALSE()</f>
        <v>0</v>
      </c>
      <c r="C608" s="4" t="n">
        <v>3</v>
      </c>
      <c r="D608" s="4"/>
      <c r="E608" s="4"/>
      <c r="F608" s="4"/>
      <c r="G608" s="4"/>
      <c r="H608" s="14" t="b">
        <f aca="false">FALSE()</f>
        <v>0</v>
      </c>
      <c r="I608" s="14" t="b">
        <f aca="false">FALSE()</f>
        <v>0</v>
      </c>
      <c r="J608" s="4"/>
      <c r="K608" s="4" t="s">
        <v>2479</v>
      </c>
      <c r="L608" s="4" t="s">
        <v>2480</v>
      </c>
      <c r="M608" s="4" t="s">
        <v>2481</v>
      </c>
      <c r="N608" s="6" t="n">
        <v>47949</v>
      </c>
      <c r="O608" s="6" t="n">
        <v>46197</v>
      </c>
      <c r="P608" s="4" t="s">
        <v>46</v>
      </c>
      <c r="Q608" s="6" t="n">
        <v>156000</v>
      </c>
      <c r="R608" s="15" t="n">
        <v>45566</v>
      </c>
      <c r="S608" s="6" t="n">
        <v>165000</v>
      </c>
      <c r="T608" s="15" t="n">
        <v>45566</v>
      </c>
      <c r="U608" s="6"/>
      <c r="V608" s="15"/>
      <c r="W608" s="4" t="s">
        <v>47</v>
      </c>
      <c r="X608" s="4" t="s">
        <v>58</v>
      </c>
      <c r="Y608" s="4" t="s">
        <v>2482</v>
      </c>
      <c r="Z608" s="4" t="s">
        <v>2181</v>
      </c>
      <c r="AA608" s="6" t="n">
        <v>0</v>
      </c>
      <c r="AB608" s="6" t="n">
        <v>5503.3</v>
      </c>
      <c r="AC608" s="6" t="n">
        <v>5884.77</v>
      </c>
      <c r="AD608" s="14" t="b">
        <f aca="false">FALSE()</f>
        <v>0</v>
      </c>
    </row>
    <row r="609" customFormat="false" ht="15" hidden="false" customHeight="false" outlineLevel="0" collapsed="false">
      <c r="A609" s="14" t="b">
        <f aca="false">TRUE()</f>
        <v>1</v>
      </c>
      <c r="B609" s="14" t="b">
        <f aca="false">FALSE()</f>
        <v>0</v>
      </c>
      <c r="C609" s="4" t="n">
        <v>2</v>
      </c>
      <c r="D609" s="4"/>
      <c r="E609" s="4"/>
      <c r="F609" s="4"/>
      <c r="G609" s="4"/>
      <c r="H609" s="14" t="b">
        <f aca="false">FALSE()</f>
        <v>0</v>
      </c>
      <c r="I609" s="14" t="b">
        <f aca="false">FALSE()</f>
        <v>0</v>
      </c>
      <c r="J609" s="4"/>
      <c r="K609" s="4" t="s">
        <v>2483</v>
      </c>
      <c r="L609" s="4" t="s">
        <v>2484</v>
      </c>
      <c r="M609" s="4" t="s">
        <v>2485</v>
      </c>
      <c r="N609" s="6" t="n">
        <v>78888</v>
      </c>
      <c r="O609" s="6" t="n">
        <v>39536</v>
      </c>
      <c r="P609" s="4" t="s">
        <v>46</v>
      </c>
      <c r="Q609" s="6"/>
      <c r="R609" s="15"/>
      <c r="S609" s="6"/>
      <c r="T609" s="15"/>
      <c r="U609" s="6"/>
      <c r="V609" s="15"/>
      <c r="W609" s="4" t="s">
        <v>47</v>
      </c>
      <c r="X609" s="4" t="s">
        <v>47</v>
      </c>
      <c r="Y609" s="4" t="s">
        <v>2486</v>
      </c>
      <c r="Z609" s="4" t="s">
        <v>2181</v>
      </c>
      <c r="AA609" s="6" t="n">
        <v>0</v>
      </c>
      <c r="AB609" s="6" t="n">
        <v>5690.16</v>
      </c>
      <c r="AC609" s="6" t="n">
        <v>6084.25</v>
      </c>
      <c r="AD609" s="14" t="b">
        <f aca="false">FALSE()</f>
        <v>0</v>
      </c>
    </row>
    <row r="610" customFormat="false" ht="15" hidden="false" customHeight="false" outlineLevel="0" collapsed="false">
      <c r="A610" s="14" t="b">
        <f aca="false">TRUE()</f>
        <v>1</v>
      </c>
      <c r="B610" s="14" t="b">
        <f aca="false">FALSE()</f>
        <v>0</v>
      </c>
      <c r="C610" s="4" t="n">
        <v>3</v>
      </c>
      <c r="D610" s="4"/>
      <c r="E610" s="4"/>
      <c r="F610" s="4"/>
      <c r="G610" s="4"/>
      <c r="H610" s="14" t="b">
        <f aca="false">FALSE()</f>
        <v>0</v>
      </c>
      <c r="I610" s="14" t="b">
        <f aca="false">FALSE()</f>
        <v>0</v>
      </c>
      <c r="J610" s="4"/>
      <c r="K610" s="4" t="s">
        <v>2487</v>
      </c>
      <c r="L610" s="4" t="s">
        <v>2488</v>
      </c>
      <c r="M610" s="4" t="s">
        <v>2489</v>
      </c>
      <c r="N610" s="6" t="n">
        <v>78672</v>
      </c>
      <c r="O610" s="6" t="n">
        <v>65836</v>
      </c>
      <c r="P610" s="4" t="s">
        <v>46</v>
      </c>
      <c r="Q610" s="6" t="n">
        <v>240000</v>
      </c>
      <c r="R610" s="15" t="n">
        <v>45534</v>
      </c>
      <c r="S610" s="6" t="n">
        <v>267807</v>
      </c>
      <c r="T610" s="15" t="n">
        <v>45534</v>
      </c>
      <c r="U610" s="6"/>
      <c r="V610" s="15"/>
      <c r="W610" s="4" t="s">
        <v>47</v>
      </c>
      <c r="X610" s="4" t="s">
        <v>47</v>
      </c>
      <c r="Y610" s="4" t="s">
        <v>2490</v>
      </c>
      <c r="Z610" s="4" t="s">
        <v>2181</v>
      </c>
      <c r="AA610" s="6" t="n">
        <v>0</v>
      </c>
      <c r="AB610" s="6" t="n">
        <v>7034.28</v>
      </c>
      <c r="AC610" s="6" t="n">
        <v>7519.09</v>
      </c>
      <c r="AD610" s="14" t="b">
        <f aca="false">FALSE()</f>
        <v>0</v>
      </c>
    </row>
    <row r="611" customFormat="false" ht="15" hidden="false" customHeight="false" outlineLevel="0" collapsed="false">
      <c r="A611" s="14" t="b">
        <f aca="false">TRUE()</f>
        <v>1</v>
      </c>
      <c r="B611" s="14" t="b">
        <f aca="false">FALSE()</f>
        <v>0</v>
      </c>
      <c r="C611" s="4" t="n">
        <v>2</v>
      </c>
      <c r="D611" s="4"/>
      <c r="E611" s="4"/>
      <c r="F611" s="4"/>
      <c r="G611" s="4" t="n">
        <v>3</v>
      </c>
      <c r="H611" s="14" t="b">
        <f aca="false">FALSE()</f>
        <v>0</v>
      </c>
      <c r="I611" s="14" t="b">
        <f aca="false">FALSE()</f>
        <v>0</v>
      </c>
      <c r="J611" s="4"/>
      <c r="K611" s="4" t="s">
        <v>2491</v>
      </c>
      <c r="L611" s="4" t="s">
        <v>2492</v>
      </c>
      <c r="M611" s="4" t="s">
        <v>2493</v>
      </c>
      <c r="N611" s="6" t="n">
        <v>27024</v>
      </c>
      <c r="O611" s="6" t="n">
        <v>68777</v>
      </c>
      <c r="P611" s="4" t="s">
        <v>46</v>
      </c>
      <c r="Q611" s="6" t="n">
        <v>130500</v>
      </c>
      <c r="R611" s="15" t="n">
        <v>35801</v>
      </c>
      <c r="S611" s="6" t="n">
        <v>123000</v>
      </c>
      <c r="T611" s="15" t="n">
        <v>45223</v>
      </c>
      <c r="U611" s="6"/>
      <c r="V611" s="15"/>
      <c r="W611" s="4" t="s">
        <v>47</v>
      </c>
      <c r="X611" s="4" t="s">
        <v>47</v>
      </c>
      <c r="Y611" s="4" t="s">
        <v>2494</v>
      </c>
      <c r="Z611" s="4" t="s">
        <v>910</v>
      </c>
      <c r="AA611" s="6" t="n">
        <v>0</v>
      </c>
      <c r="AB611" s="6" t="n">
        <v>6465.5</v>
      </c>
      <c r="AC611" s="6" t="n">
        <v>3388.22</v>
      </c>
      <c r="AD611" s="14" t="b">
        <f aca="false">TRUE()</f>
        <v>1</v>
      </c>
    </row>
    <row r="612" customFormat="false" ht="15" hidden="false" customHeight="false" outlineLevel="0" collapsed="false">
      <c r="A612" s="14" t="b">
        <f aca="false">TRUE()</f>
        <v>1</v>
      </c>
      <c r="B612" s="14" t="b">
        <f aca="false">FALSE()</f>
        <v>0</v>
      </c>
      <c r="C612" s="4" t="n">
        <v>3</v>
      </c>
      <c r="D612" s="4"/>
      <c r="E612" s="4"/>
      <c r="F612" s="4"/>
      <c r="G612" s="4" t="n">
        <v>3</v>
      </c>
      <c r="H612" s="14" t="b">
        <f aca="false">FALSE()</f>
        <v>0</v>
      </c>
      <c r="I612" s="14" t="b">
        <f aca="false">FALSE()</f>
        <v>0</v>
      </c>
      <c r="J612" s="4"/>
      <c r="K612" s="4" t="s">
        <v>2495</v>
      </c>
      <c r="L612" s="4" t="s">
        <v>2496</v>
      </c>
      <c r="M612" s="4" t="s">
        <v>2497</v>
      </c>
      <c r="N612" s="6" t="n">
        <v>26830</v>
      </c>
      <c r="O612" s="6" t="n">
        <v>77223</v>
      </c>
      <c r="P612" s="4" t="s">
        <v>46</v>
      </c>
      <c r="Q612" s="6"/>
      <c r="R612" s="15"/>
      <c r="S612" s="6" t="n">
        <v>130000</v>
      </c>
      <c r="T612" s="15" t="n">
        <v>44167</v>
      </c>
      <c r="U612" s="6"/>
      <c r="V612" s="15"/>
      <c r="W612" s="4" t="s">
        <v>47</v>
      </c>
      <c r="X612" s="4" t="s">
        <v>47</v>
      </c>
      <c r="Y612" s="4" t="s">
        <v>2498</v>
      </c>
      <c r="Z612" s="4" t="s">
        <v>910</v>
      </c>
      <c r="AA612" s="6" t="n">
        <v>0</v>
      </c>
      <c r="AB612" s="6" t="n">
        <v>7073.14</v>
      </c>
      <c r="AC612" s="6" t="n">
        <v>7560.58</v>
      </c>
      <c r="AD612" s="14" t="b">
        <f aca="false">FALSE()</f>
        <v>0</v>
      </c>
    </row>
    <row r="613" customFormat="false" ht="15" hidden="false" customHeight="false" outlineLevel="0" collapsed="false">
      <c r="A613" s="14" t="b">
        <f aca="false">TRUE()</f>
        <v>1</v>
      </c>
      <c r="B613" s="14" t="b">
        <f aca="false">FALSE()</f>
        <v>0</v>
      </c>
      <c r="C613" s="4" t="n">
        <v>2</v>
      </c>
      <c r="D613" s="4"/>
      <c r="E613" s="4"/>
      <c r="F613" s="4"/>
      <c r="G613" s="4"/>
      <c r="H613" s="14" t="b">
        <f aca="false">TRUE()</f>
        <v>1</v>
      </c>
      <c r="I613" s="14" t="b">
        <f aca="false">FALSE()</f>
        <v>0</v>
      </c>
      <c r="J613" s="4"/>
      <c r="K613" s="4" t="s">
        <v>2499</v>
      </c>
      <c r="L613" s="4" t="s">
        <v>2500</v>
      </c>
      <c r="M613" s="4" t="s">
        <v>2501</v>
      </c>
      <c r="N613" s="6" t="n">
        <v>8381</v>
      </c>
      <c r="O613" s="6" t="n">
        <v>75482</v>
      </c>
      <c r="P613" s="4" t="s">
        <v>46</v>
      </c>
      <c r="Q613" s="6" t="n">
        <v>464000</v>
      </c>
      <c r="R613" s="15" t="n">
        <v>44949</v>
      </c>
      <c r="S613" s="6"/>
      <c r="T613" s="15"/>
      <c r="U613" s="6"/>
      <c r="V613" s="15"/>
      <c r="W613" s="4" t="s">
        <v>58</v>
      </c>
      <c r="X613" s="4" t="s">
        <v>58</v>
      </c>
      <c r="Y613" s="4" t="s">
        <v>2502</v>
      </c>
      <c r="Z613" s="4" t="s">
        <v>910</v>
      </c>
      <c r="AA613" s="6" t="n">
        <v>0</v>
      </c>
      <c r="AB613" s="6" t="n">
        <v>6175.5</v>
      </c>
      <c r="AC613" s="6" t="n">
        <v>6602.35</v>
      </c>
      <c r="AD613" s="14" t="b">
        <f aca="false">FALSE()</f>
        <v>0</v>
      </c>
    </row>
    <row r="614" customFormat="false" ht="15" hidden="false" customHeight="false" outlineLevel="0" collapsed="false">
      <c r="A614" s="14" t="b">
        <f aca="false">TRUE()</f>
        <v>1</v>
      </c>
      <c r="B614" s="14" t="b">
        <f aca="false">FALSE()</f>
        <v>0</v>
      </c>
      <c r="C614" s="4" t="n">
        <v>2</v>
      </c>
      <c r="D614" s="4"/>
      <c r="E614" s="4"/>
      <c r="F614" s="4"/>
      <c r="G614" s="4" t="n">
        <v>3</v>
      </c>
      <c r="H614" s="14" t="b">
        <f aca="false">FALSE()</f>
        <v>0</v>
      </c>
      <c r="I614" s="14" t="b">
        <f aca="false">FALSE()</f>
        <v>0</v>
      </c>
      <c r="J614" s="4"/>
      <c r="K614" s="4" t="s">
        <v>2503</v>
      </c>
      <c r="L614" s="4" t="s">
        <v>2504</v>
      </c>
      <c r="M614" s="4" t="s">
        <v>2505</v>
      </c>
      <c r="N614" s="6" t="n">
        <v>8381</v>
      </c>
      <c r="O614" s="6" t="n">
        <v>75482</v>
      </c>
      <c r="P614" s="4" t="s">
        <v>46</v>
      </c>
      <c r="Q614" s="6" t="n">
        <v>210000</v>
      </c>
      <c r="R614" s="15" t="n">
        <v>44435</v>
      </c>
      <c r="S614" s="6"/>
      <c r="T614" s="15"/>
      <c r="U614" s="6"/>
      <c r="V614" s="15"/>
      <c r="W614" s="4" t="s">
        <v>47</v>
      </c>
      <c r="X614" s="4" t="s">
        <v>47</v>
      </c>
      <c r="Y614" s="4" t="s">
        <v>2506</v>
      </c>
      <c r="Z614" s="4" t="s">
        <v>910</v>
      </c>
      <c r="AA614" s="6" t="n">
        <v>0</v>
      </c>
      <c r="AB614" s="6" t="n">
        <v>5586.42</v>
      </c>
      <c r="AC614" s="6" t="n">
        <v>2928.9</v>
      </c>
      <c r="AD614" s="14" t="b">
        <f aca="false">TRUE()</f>
        <v>1</v>
      </c>
    </row>
    <row r="615" customFormat="false" ht="15" hidden="false" customHeight="false" outlineLevel="0" collapsed="false">
      <c r="A615" s="14" t="b">
        <f aca="false">TRUE()</f>
        <v>1</v>
      </c>
      <c r="B615" s="14" t="b">
        <f aca="false">FALSE()</f>
        <v>0</v>
      </c>
      <c r="C615" s="4" t="n">
        <v>2</v>
      </c>
      <c r="D615" s="4"/>
      <c r="E615" s="4"/>
      <c r="F615" s="4"/>
      <c r="G615" s="4"/>
      <c r="H615" s="14" t="b">
        <f aca="false">TRUE()</f>
        <v>1</v>
      </c>
      <c r="I615" s="14" t="b">
        <f aca="false">FALSE()</f>
        <v>0</v>
      </c>
      <c r="J615" s="4"/>
      <c r="K615" s="4" t="s">
        <v>2507</v>
      </c>
      <c r="L615" s="4" t="s">
        <v>2508</v>
      </c>
      <c r="M615" s="4" t="s">
        <v>2509</v>
      </c>
      <c r="N615" s="6" t="n">
        <v>7905</v>
      </c>
      <c r="O615" s="6" t="n">
        <v>70961</v>
      </c>
      <c r="P615" s="4" t="s">
        <v>46</v>
      </c>
      <c r="Q615" s="6"/>
      <c r="R615" s="15" t="n">
        <v>45303</v>
      </c>
      <c r="S615" s="6"/>
      <c r="T615" s="15"/>
      <c r="U615" s="6"/>
      <c r="V615" s="15"/>
      <c r="W615" s="4" t="s">
        <v>47</v>
      </c>
      <c r="X615" s="4" t="s">
        <v>47</v>
      </c>
      <c r="Y615" s="4" t="s">
        <v>2510</v>
      </c>
      <c r="Z615" s="4" t="s">
        <v>910</v>
      </c>
      <c r="AA615" s="6" t="n">
        <v>0</v>
      </c>
      <c r="AB615" s="6" t="n">
        <v>5218.44</v>
      </c>
      <c r="AC615" s="6" t="n">
        <v>5580.68</v>
      </c>
      <c r="AD615" s="14" t="b">
        <f aca="false">FALSE()</f>
        <v>0</v>
      </c>
    </row>
    <row r="616" customFormat="false" ht="15" hidden="false" customHeight="false" outlineLevel="0" collapsed="false">
      <c r="A616" s="14" t="b">
        <f aca="false">TRUE()</f>
        <v>1</v>
      </c>
      <c r="B616" s="14" t="b">
        <f aca="false">FALSE()</f>
        <v>0</v>
      </c>
      <c r="C616" s="4" t="n">
        <v>3</v>
      </c>
      <c r="D616" s="4"/>
      <c r="E616" s="4"/>
      <c r="F616" s="4"/>
      <c r="G616" s="4"/>
      <c r="H616" s="14" t="b">
        <f aca="false">FALSE()</f>
        <v>0</v>
      </c>
      <c r="I616" s="14" t="b">
        <f aca="false">FALSE()</f>
        <v>0</v>
      </c>
      <c r="J616" s="4"/>
      <c r="K616" s="4" t="s">
        <v>2511</v>
      </c>
      <c r="L616" s="4" t="s">
        <v>2512</v>
      </c>
      <c r="M616" s="4" t="s">
        <v>2513</v>
      </c>
      <c r="N616" s="6" t="n">
        <v>9311</v>
      </c>
      <c r="O616" s="6" t="n">
        <v>83809</v>
      </c>
      <c r="P616" s="4" t="s">
        <v>46</v>
      </c>
      <c r="Q616" s="6" t="n">
        <v>228000</v>
      </c>
      <c r="R616" s="15" t="n">
        <v>43370</v>
      </c>
      <c r="S616" s="6" t="n">
        <v>223100</v>
      </c>
      <c r="T616" s="15" t="n">
        <v>44230</v>
      </c>
      <c r="U616" s="6"/>
      <c r="V616" s="15"/>
      <c r="W616" s="4" t="s">
        <v>47</v>
      </c>
      <c r="X616" s="4" t="s">
        <v>47</v>
      </c>
      <c r="Y616" s="4" t="s">
        <v>2514</v>
      </c>
      <c r="Z616" s="4" t="s">
        <v>910</v>
      </c>
      <c r="AA616" s="6" t="n">
        <v>0</v>
      </c>
      <c r="AB616" s="6" t="n">
        <v>6268.08</v>
      </c>
      <c r="AC616" s="6" t="n">
        <v>6701.17</v>
      </c>
      <c r="AD616" s="14" t="b">
        <f aca="false">FALSE()</f>
        <v>0</v>
      </c>
    </row>
    <row r="617" customFormat="false" ht="15" hidden="false" customHeight="false" outlineLevel="0" collapsed="false">
      <c r="A617" s="14" t="b">
        <f aca="false">TRUE()</f>
        <v>1</v>
      </c>
      <c r="B617" s="14" t="b">
        <f aca="false">FALSE()</f>
        <v>0</v>
      </c>
      <c r="C617" s="4" t="n">
        <v>2</v>
      </c>
      <c r="D617" s="4"/>
      <c r="E617" s="4"/>
      <c r="F617" s="4"/>
      <c r="G617" s="4"/>
      <c r="H617" s="14" t="b">
        <f aca="false">FALSE()</f>
        <v>0</v>
      </c>
      <c r="I617" s="14" t="b">
        <f aca="false">FALSE()</f>
        <v>0</v>
      </c>
      <c r="J617" s="4"/>
      <c r="K617" s="4" t="s">
        <v>2515</v>
      </c>
      <c r="L617" s="4" t="s">
        <v>2516</v>
      </c>
      <c r="M617" s="4" t="s">
        <v>2517</v>
      </c>
      <c r="N617" s="6" t="n">
        <v>34097</v>
      </c>
      <c r="O617" s="6" t="n">
        <v>71459</v>
      </c>
      <c r="P617" s="4" t="s">
        <v>46</v>
      </c>
      <c r="Q617" s="6"/>
      <c r="R617" s="15"/>
      <c r="S617" s="6"/>
      <c r="T617" s="15"/>
      <c r="U617" s="6"/>
      <c r="V617" s="15"/>
      <c r="W617" s="4" t="s">
        <v>47</v>
      </c>
      <c r="X617" s="4" t="s">
        <v>47</v>
      </c>
      <c r="Y617" s="4" t="s">
        <v>2518</v>
      </c>
      <c r="Z617" s="4" t="s">
        <v>2181</v>
      </c>
      <c r="AA617" s="6" t="n">
        <v>0</v>
      </c>
      <c r="AB617" s="6" t="n">
        <v>7373.4</v>
      </c>
      <c r="AC617" s="6" t="n">
        <v>7881.1</v>
      </c>
      <c r="AD617" s="14" t="b">
        <f aca="false">FALSE()</f>
        <v>0</v>
      </c>
    </row>
    <row r="618" customFormat="false" ht="15" hidden="false" customHeight="false" outlineLevel="0" collapsed="false">
      <c r="A618" s="14" t="b">
        <f aca="false">TRUE()</f>
        <v>1</v>
      </c>
      <c r="B618" s="14" t="b">
        <f aca="false">FALSE()</f>
        <v>0</v>
      </c>
      <c r="C618" s="4" t="n">
        <v>2</v>
      </c>
      <c r="D618" s="4"/>
      <c r="E618" s="4"/>
      <c r="F618" s="4"/>
      <c r="G618" s="4"/>
      <c r="H618" s="14" t="b">
        <f aca="false">TRUE()</f>
        <v>1</v>
      </c>
      <c r="I618" s="14" t="b">
        <f aca="false">FALSE()</f>
        <v>0</v>
      </c>
      <c r="J618" s="4"/>
      <c r="K618" s="4" t="s">
        <v>2519</v>
      </c>
      <c r="L618" s="4" t="s">
        <v>2520</v>
      </c>
      <c r="M618" s="4" t="s">
        <v>2521</v>
      </c>
      <c r="N618" s="6" t="n">
        <v>36692</v>
      </c>
      <c r="O618" s="6" t="n">
        <v>91757</v>
      </c>
      <c r="P618" s="4" t="s">
        <v>46</v>
      </c>
      <c r="Q618" s="6"/>
      <c r="R618" s="15" t="n">
        <v>33975</v>
      </c>
      <c r="S618" s="6"/>
      <c r="T618" s="15"/>
      <c r="U618" s="6"/>
      <c r="V618" s="15"/>
      <c r="W618" s="4" t="s">
        <v>47</v>
      </c>
      <c r="X618" s="4" t="s">
        <v>47</v>
      </c>
      <c r="Y618" s="4" t="s">
        <v>2522</v>
      </c>
      <c r="Z618" s="4" t="s">
        <v>910</v>
      </c>
      <c r="AA618" s="6" t="n">
        <v>0</v>
      </c>
      <c r="AB618" s="6" t="n">
        <v>8869.62</v>
      </c>
      <c r="AC618" s="6" t="n">
        <v>9478.32</v>
      </c>
      <c r="AD618" s="14" t="b">
        <f aca="false">FALSE()</f>
        <v>0</v>
      </c>
    </row>
    <row r="619" customFormat="false" ht="15" hidden="false" customHeight="false" outlineLevel="0" collapsed="false">
      <c r="A619" s="14" t="b">
        <f aca="false">TRUE()</f>
        <v>1</v>
      </c>
      <c r="B619" s="14" t="b">
        <f aca="false">FALSE()</f>
        <v>0</v>
      </c>
      <c r="C619" s="4" t="n">
        <v>3</v>
      </c>
      <c r="D619" s="4"/>
      <c r="E619" s="4"/>
      <c r="F619" s="4"/>
      <c r="G619" s="4"/>
      <c r="H619" s="14" t="b">
        <f aca="false">FALSE()</f>
        <v>0</v>
      </c>
      <c r="I619" s="14" t="b">
        <f aca="false">FALSE()</f>
        <v>0</v>
      </c>
      <c r="J619" s="4"/>
      <c r="K619" s="4" t="s">
        <v>2523</v>
      </c>
      <c r="L619" s="4" t="s">
        <v>2524</v>
      </c>
      <c r="M619" s="4" t="s">
        <v>2525</v>
      </c>
      <c r="N619" s="6" t="n">
        <v>24191</v>
      </c>
      <c r="O619" s="6" t="n">
        <v>115450</v>
      </c>
      <c r="P619" s="4" t="s">
        <v>46</v>
      </c>
      <c r="Q619" s="6"/>
      <c r="R619" s="15" t="n">
        <v>40303</v>
      </c>
      <c r="S619" s="6"/>
      <c r="T619" s="15"/>
      <c r="U619" s="6"/>
      <c r="V619" s="15"/>
      <c r="W619" s="4" t="s">
        <v>47</v>
      </c>
      <c r="X619" s="4" t="s">
        <v>58</v>
      </c>
      <c r="Y619" s="4" t="s">
        <v>2526</v>
      </c>
      <c r="Z619" s="4" t="s">
        <v>910</v>
      </c>
      <c r="AA619" s="6" t="n">
        <v>0</v>
      </c>
      <c r="AB619" s="6" t="n">
        <v>10227.84</v>
      </c>
      <c r="AC619" s="6" t="n">
        <v>10928.22</v>
      </c>
      <c r="AD619" s="14" t="b">
        <f aca="false">FALSE()</f>
        <v>0</v>
      </c>
    </row>
    <row r="620" customFormat="false" ht="15" hidden="false" customHeight="false" outlineLevel="0" collapsed="false">
      <c r="A620" s="14" t="b">
        <f aca="false">TRUE()</f>
        <v>1</v>
      </c>
      <c r="B620" s="14" t="b">
        <f aca="false">FALSE()</f>
        <v>0</v>
      </c>
      <c r="C620" s="4" t="n">
        <v>2</v>
      </c>
      <c r="D620" s="4"/>
      <c r="E620" s="4"/>
      <c r="F620" s="4"/>
      <c r="G620" s="4"/>
      <c r="H620" s="14" t="b">
        <f aca="false">FALSE()</f>
        <v>0</v>
      </c>
      <c r="I620" s="14" t="b">
        <f aca="false">FALSE()</f>
        <v>0</v>
      </c>
      <c r="J620" s="4"/>
      <c r="K620" s="4" t="s">
        <v>2527</v>
      </c>
      <c r="L620" s="4" t="s">
        <v>2528</v>
      </c>
      <c r="M620" s="4" t="s">
        <v>2529</v>
      </c>
      <c r="N620" s="6" t="n">
        <v>23099</v>
      </c>
      <c r="O620" s="6" t="n">
        <v>74368</v>
      </c>
      <c r="P620" s="4" t="s">
        <v>46</v>
      </c>
      <c r="Q620" s="6"/>
      <c r="R620" s="15" t="n">
        <v>37075</v>
      </c>
      <c r="S620" s="6"/>
      <c r="T620" s="15"/>
      <c r="U620" s="6"/>
      <c r="V620" s="15"/>
      <c r="W620" s="4" t="s">
        <v>58</v>
      </c>
      <c r="X620" s="4" t="s">
        <v>58</v>
      </c>
      <c r="Y620" s="4" t="s">
        <v>2530</v>
      </c>
      <c r="Z620" s="4" t="s">
        <v>910</v>
      </c>
      <c r="AA620" s="6" t="n">
        <v>0</v>
      </c>
      <c r="AB620" s="6" t="n">
        <v>6329.58</v>
      </c>
      <c r="AC620" s="6" t="n">
        <v>6766.83</v>
      </c>
      <c r="AD620" s="14" t="b">
        <f aca="false">FALSE()</f>
        <v>0</v>
      </c>
    </row>
    <row r="621" customFormat="false" ht="15" hidden="false" customHeight="false" outlineLevel="0" collapsed="false">
      <c r="A621" s="14" t="b">
        <f aca="false">TRUE()</f>
        <v>1</v>
      </c>
      <c r="B621" s="14" t="b">
        <f aca="false">FALSE()</f>
        <v>0</v>
      </c>
      <c r="C621" s="4" t="n">
        <v>3</v>
      </c>
      <c r="D621" s="4"/>
      <c r="E621" s="4"/>
      <c r="F621" s="4"/>
      <c r="G621" s="4" t="n">
        <v>3</v>
      </c>
      <c r="H621" s="14" t="b">
        <f aca="false">TRUE()</f>
        <v>1</v>
      </c>
      <c r="I621" s="14" t="b">
        <f aca="false">FALSE()</f>
        <v>0</v>
      </c>
      <c r="J621" s="4"/>
      <c r="K621" s="4" t="s">
        <v>2531</v>
      </c>
      <c r="L621" s="4" t="s">
        <v>2532</v>
      </c>
      <c r="M621" s="4" t="s">
        <v>2533</v>
      </c>
      <c r="N621" s="6" t="n">
        <v>30474</v>
      </c>
      <c r="O621" s="6" t="n">
        <v>240882</v>
      </c>
      <c r="P621" s="4" t="s">
        <v>46</v>
      </c>
      <c r="Q621" s="6" t="n">
        <v>268000</v>
      </c>
      <c r="R621" s="15" t="n">
        <v>43557</v>
      </c>
      <c r="S621" s="6"/>
      <c r="T621" s="15"/>
      <c r="U621" s="6"/>
      <c r="V621" s="15"/>
      <c r="W621" s="4" t="s">
        <v>47</v>
      </c>
      <c r="X621" s="4" t="s">
        <v>47</v>
      </c>
      <c r="Y621" s="4" t="s">
        <v>2534</v>
      </c>
      <c r="Z621" s="4" t="s">
        <v>910</v>
      </c>
      <c r="AA621" s="6" t="n">
        <v>0</v>
      </c>
      <c r="AB621" s="6" t="n">
        <v>19839.9</v>
      </c>
      <c r="AC621" s="6" t="n">
        <v>21189.1</v>
      </c>
      <c r="AD621" s="14" t="b">
        <f aca="false">FALSE()</f>
        <v>0</v>
      </c>
    </row>
    <row r="622" customFormat="false" ht="15" hidden="false" customHeight="false" outlineLevel="0" collapsed="false">
      <c r="A622" s="14" t="b">
        <f aca="false">TRUE()</f>
        <v>1</v>
      </c>
      <c r="B622" s="14" t="b">
        <f aca="false">FALSE()</f>
        <v>0</v>
      </c>
      <c r="C622" s="4" t="n">
        <v>2</v>
      </c>
      <c r="D622" s="4"/>
      <c r="E622" s="4"/>
      <c r="F622" s="4"/>
      <c r="G622" s="4"/>
      <c r="H622" s="14" t="b">
        <f aca="false">FALSE()</f>
        <v>0</v>
      </c>
      <c r="I622" s="14" t="b">
        <f aca="false">FALSE()</f>
        <v>0</v>
      </c>
      <c r="J622" s="4"/>
      <c r="K622" s="4" t="s">
        <v>2535</v>
      </c>
      <c r="L622" s="4" t="s">
        <v>2536</v>
      </c>
      <c r="M622" s="4" t="s">
        <v>2537</v>
      </c>
      <c r="N622" s="6" t="n">
        <v>31069</v>
      </c>
      <c r="O622" s="6" t="n">
        <v>123604</v>
      </c>
      <c r="P622" s="4" t="s">
        <v>46</v>
      </c>
      <c r="Q622" s="6" t="n">
        <v>185500</v>
      </c>
      <c r="R622" s="15" t="n">
        <v>35898</v>
      </c>
      <c r="S622" s="6" t="n">
        <v>32000</v>
      </c>
      <c r="T622" s="15" t="n">
        <v>37910</v>
      </c>
      <c r="U622" s="6"/>
      <c r="V622" s="15"/>
      <c r="W622" s="4" t="s">
        <v>47</v>
      </c>
      <c r="X622" s="4" t="s">
        <v>47</v>
      </c>
      <c r="Y622" s="4" t="s">
        <v>2538</v>
      </c>
      <c r="Z622" s="4" t="s">
        <v>910</v>
      </c>
      <c r="AA622" s="6" t="n">
        <v>0</v>
      </c>
      <c r="AB622" s="6" t="n">
        <v>11395.74</v>
      </c>
      <c r="AC622" s="6" t="n">
        <v>5964.27</v>
      </c>
      <c r="AD622" s="14" t="b">
        <f aca="false">TRUE()</f>
        <v>1</v>
      </c>
    </row>
    <row r="623" customFormat="false" ht="15" hidden="false" customHeight="false" outlineLevel="0" collapsed="false">
      <c r="A623" s="14" t="b">
        <f aca="false">TRUE()</f>
        <v>1</v>
      </c>
      <c r="B623" s="14" t="b">
        <f aca="false">FALSE()</f>
        <v>0</v>
      </c>
      <c r="C623" s="4" t="n">
        <v>3</v>
      </c>
      <c r="D623" s="4"/>
      <c r="E623" s="4"/>
      <c r="F623" s="4"/>
      <c r="G623" s="4"/>
      <c r="H623" s="14" t="b">
        <f aca="false">FALSE()</f>
        <v>0</v>
      </c>
      <c r="I623" s="14" t="b">
        <f aca="false">FALSE()</f>
        <v>0</v>
      </c>
      <c r="J623" s="4"/>
      <c r="K623" s="4" t="s">
        <v>2539</v>
      </c>
      <c r="L623" s="4" t="s">
        <v>2540</v>
      </c>
      <c r="M623" s="4" t="s">
        <v>2541</v>
      </c>
      <c r="N623" s="6" t="n">
        <v>19552</v>
      </c>
      <c r="O623" s="6" t="n">
        <v>59488</v>
      </c>
      <c r="P623" s="4" t="s">
        <v>46</v>
      </c>
      <c r="Q623" s="6" t="n">
        <v>307000</v>
      </c>
      <c r="R623" s="15" t="n">
        <v>45581</v>
      </c>
      <c r="S623" s="6" t="n">
        <v>291650</v>
      </c>
      <c r="T623" s="15" t="n">
        <v>45581</v>
      </c>
      <c r="U623" s="6"/>
      <c r="V623" s="15"/>
      <c r="W623" s="4" t="s">
        <v>47</v>
      </c>
      <c r="X623" s="4" t="s">
        <v>47</v>
      </c>
      <c r="Y623" s="4" t="s">
        <v>2542</v>
      </c>
      <c r="Z623" s="4" t="s">
        <v>910</v>
      </c>
      <c r="AA623" s="6" t="n">
        <v>0</v>
      </c>
      <c r="AB623" s="6" t="n">
        <v>5519.48</v>
      </c>
      <c r="AC623" s="6" t="n">
        <v>5902.05</v>
      </c>
      <c r="AD623" s="14" t="b">
        <f aca="false">FALSE()</f>
        <v>0</v>
      </c>
    </row>
    <row r="624" customFormat="false" ht="15" hidden="false" customHeight="false" outlineLevel="0" collapsed="false">
      <c r="A624" s="14" t="b">
        <f aca="false">TRUE()</f>
        <v>1</v>
      </c>
      <c r="B624" s="14" t="b">
        <f aca="false">FALSE()</f>
        <v>0</v>
      </c>
      <c r="C624" s="4" t="n">
        <v>2</v>
      </c>
      <c r="D624" s="4"/>
      <c r="E624" s="4"/>
      <c r="F624" s="4"/>
      <c r="G624" s="4"/>
      <c r="H624" s="14" t="b">
        <f aca="false">TRUE()</f>
        <v>1</v>
      </c>
      <c r="I624" s="14" t="b">
        <f aca="false">FALSE()</f>
        <v>0</v>
      </c>
      <c r="J624" s="4"/>
      <c r="K624" s="4" t="s">
        <v>2543</v>
      </c>
      <c r="L624" s="4" t="s">
        <v>2544</v>
      </c>
      <c r="M624" s="4" t="s">
        <v>2545</v>
      </c>
      <c r="N624" s="6" t="n">
        <v>31134</v>
      </c>
      <c r="O624" s="6" t="n">
        <v>49582</v>
      </c>
      <c r="P624" s="4" t="s">
        <v>46</v>
      </c>
      <c r="Q624" s="6" t="n">
        <v>190000</v>
      </c>
      <c r="R624" s="15" t="n">
        <v>43791</v>
      </c>
      <c r="S624" s="6"/>
      <c r="T624" s="15"/>
      <c r="U624" s="6"/>
      <c r="V624" s="15"/>
      <c r="W624" s="4" t="s">
        <v>58</v>
      </c>
      <c r="X624" s="4" t="s">
        <v>58</v>
      </c>
      <c r="Y624" s="4" t="s">
        <v>2546</v>
      </c>
      <c r="Z624" s="4" t="s">
        <v>910</v>
      </c>
      <c r="AA624" s="6" t="n">
        <v>0</v>
      </c>
      <c r="AB624" s="6" t="n">
        <v>5132.52</v>
      </c>
      <c r="AC624" s="6" t="n">
        <v>5488.96</v>
      </c>
      <c r="AD624" s="14" t="b">
        <f aca="false">FALSE()</f>
        <v>0</v>
      </c>
    </row>
    <row r="625" customFormat="false" ht="15" hidden="false" customHeight="false" outlineLevel="0" collapsed="false">
      <c r="A625" s="14" t="b">
        <f aca="false">TRUE()</f>
        <v>1</v>
      </c>
      <c r="B625" s="14" t="b">
        <f aca="false">FALSE()</f>
        <v>0</v>
      </c>
      <c r="C625" s="4" t="n">
        <v>2</v>
      </c>
      <c r="D625" s="4"/>
      <c r="E625" s="4"/>
      <c r="F625" s="4"/>
      <c r="G625" s="4"/>
      <c r="H625" s="14" t="b">
        <f aca="false">TRUE()</f>
        <v>1</v>
      </c>
      <c r="I625" s="14" t="b">
        <f aca="false">FALSE()</f>
        <v>0</v>
      </c>
      <c r="J625" s="4"/>
      <c r="K625" s="4" t="s">
        <v>2547</v>
      </c>
      <c r="L625" s="4" t="s">
        <v>2548</v>
      </c>
      <c r="M625" s="4" t="s">
        <v>2549</v>
      </c>
      <c r="N625" s="6" t="n">
        <v>24094</v>
      </c>
      <c r="O625" s="6" t="n">
        <v>88577</v>
      </c>
      <c r="P625" s="4" t="s">
        <v>46</v>
      </c>
      <c r="Q625" s="6"/>
      <c r="R625" s="15"/>
      <c r="S625" s="6"/>
      <c r="T625" s="15"/>
      <c r="U625" s="6"/>
      <c r="V625" s="15"/>
      <c r="W625" s="4" t="s">
        <v>47</v>
      </c>
      <c r="X625" s="4" t="s">
        <v>47</v>
      </c>
      <c r="Y625" s="4" t="s">
        <v>2550</v>
      </c>
      <c r="Z625" s="4" t="s">
        <v>910</v>
      </c>
      <c r="AA625" s="6" t="n">
        <v>0</v>
      </c>
      <c r="AB625" s="6" t="n">
        <v>8132.42</v>
      </c>
      <c r="AC625" s="6" t="n">
        <v>8691.36</v>
      </c>
      <c r="AD625" s="14" t="b">
        <f aca="false">FALSE()</f>
        <v>0</v>
      </c>
    </row>
    <row r="626" customFormat="false" ht="15" hidden="false" customHeight="false" outlineLevel="0" collapsed="false">
      <c r="A626" s="14" t="b">
        <f aca="false">TRUE()</f>
        <v>1</v>
      </c>
      <c r="B626" s="14" t="b">
        <f aca="false">FALSE()</f>
        <v>0</v>
      </c>
      <c r="C626" s="4" t="n">
        <v>3</v>
      </c>
      <c r="D626" s="4"/>
      <c r="E626" s="4"/>
      <c r="F626" s="4"/>
      <c r="G626" s="4"/>
      <c r="H626" s="14" t="b">
        <f aca="false">FALSE()</f>
        <v>0</v>
      </c>
      <c r="I626" s="14" t="b">
        <f aca="false">FALSE()</f>
        <v>0</v>
      </c>
      <c r="J626" s="4"/>
      <c r="K626" s="4" t="s">
        <v>2551</v>
      </c>
      <c r="L626" s="4" t="s">
        <v>2552</v>
      </c>
      <c r="M626" s="4" t="s">
        <v>2553</v>
      </c>
      <c r="N626" s="6" t="n">
        <v>26505</v>
      </c>
      <c r="O626" s="6" t="n">
        <v>87345</v>
      </c>
      <c r="P626" s="4" t="s">
        <v>46</v>
      </c>
      <c r="Q626" s="6" t="n">
        <v>330000</v>
      </c>
      <c r="R626" s="15" t="n">
        <v>44564</v>
      </c>
      <c r="S626" s="6" t="n">
        <v>264000</v>
      </c>
      <c r="T626" s="15" t="n">
        <v>44564</v>
      </c>
      <c r="U626" s="6"/>
      <c r="V626" s="15"/>
      <c r="W626" s="4" t="s">
        <v>47</v>
      </c>
      <c r="X626" s="4" t="s">
        <v>47</v>
      </c>
      <c r="Y626" s="4" t="s">
        <v>2554</v>
      </c>
      <c r="Z626" s="4" t="s">
        <v>910</v>
      </c>
      <c r="AA626" s="6" t="n">
        <v>0</v>
      </c>
      <c r="AB626" s="6" t="n">
        <v>7998.34</v>
      </c>
      <c r="AC626" s="6" t="n">
        <v>8548.23</v>
      </c>
      <c r="AD626" s="14" t="b">
        <f aca="false">FALSE()</f>
        <v>0</v>
      </c>
    </row>
    <row r="627" customFormat="false" ht="15" hidden="false" customHeight="false" outlineLevel="0" collapsed="false">
      <c r="A627" s="14" t="b">
        <f aca="false">TRUE()</f>
        <v>1</v>
      </c>
      <c r="B627" s="14" t="b">
        <f aca="false">FALSE()</f>
        <v>0</v>
      </c>
      <c r="C627" s="4" t="n">
        <v>2</v>
      </c>
      <c r="D627" s="4"/>
      <c r="E627" s="4"/>
      <c r="F627" s="4"/>
      <c r="G627" s="4"/>
      <c r="H627" s="14" t="b">
        <f aca="false">TRUE()</f>
        <v>1</v>
      </c>
      <c r="I627" s="14" t="b">
        <f aca="false">FALSE()</f>
        <v>0</v>
      </c>
      <c r="J627" s="4"/>
      <c r="K627" s="4" t="s">
        <v>2555</v>
      </c>
      <c r="L627" s="4" t="s">
        <v>2556</v>
      </c>
      <c r="M627" s="4" t="s">
        <v>2557</v>
      </c>
      <c r="N627" s="6" t="n">
        <v>26505</v>
      </c>
      <c r="O627" s="6" t="n">
        <v>66225</v>
      </c>
      <c r="P627" s="4" t="s">
        <v>46</v>
      </c>
      <c r="Q627" s="6" t="n">
        <v>263000</v>
      </c>
      <c r="R627" s="15" t="n">
        <v>37426</v>
      </c>
      <c r="S627" s="6"/>
      <c r="T627" s="15"/>
      <c r="U627" s="6"/>
      <c r="V627" s="15"/>
      <c r="W627" s="4" t="s">
        <v>58</v>
      </c>
      <c r="X627" s="4" t="s">
        <v>47</v>
      </c>
      <c r="Y627" s="4" t="s">
        <v>2558</v>
      </c>
      <c r="Z627" s="4" t="s">
        <v>910</v>
      </c>
      <c r="AA627" s="6" t="n">
        <v>0</v>
      </c>
      <c r="AB627" s="6" t="n">
        <v>6402.46</v>
      </c>
      <c r="AC627" s="6" t="n">
        <v>6844.63</v>
      </c>
      <c r="AD627" s="14" t="b">
        <f aca="false">FALSE()</f>
        <v>0</v>
      </c>
    </row>
    <row r="628" customFormat="false" ht="15" hidden="false" customHeight="false" outlineLevel="0" collapsed="false">
      <c r="A628" s="14" t="b">
        <f aca="false">TRUE()</f>
        <v>1</v>
      </c>
      <c r="B628" s="14" t="b">
        <f aca="false">FALSE()</f>
        <v>0</v>
      </c>
      <c r="C628" s="4" t="n">
        <v>2</v>
      </c>
      <c r="D628" s="4"/>
      <c r="E628" s="4"/>
      <c r="F628" s="4"/>
      <c r="G628" s="4"/>
      <c r="H628" s="14" t="b">
        <f aca="false">FALSE()</f>
        <v>0</v>
      </c>
      <c r="I628" s="14" t="b">
        <f aca="false">FALSE()</f>
        <v>0</v>
      </c>
      <c r="J628" s="4"/>
      <c r="K628" s="4" t="s">
        <v>2559</v>
      </c>
      <c r="L628" s="4" t="s">
        <v>2560</v>
      </c>
      <c r="M628" s="4" t="s">
        <v>2561</v>
      </c>
      <c r="N628" s="6" t="n">
        <v>5007</v>
      </c>
      <c r="O628" s="6" t="n">
        <v>45105</v>
      </c>
      <c r="P628" s="4" t="s">
        <v>46</v>
      </c>
      <c r="Q628" s="6" t="n">
        <v>107000</v>
      </c>
      <c r="R628" s="15" t="n">
        <v>40448</v>
      </c>
      <c r="S628" s="6"/>
      <c r="T628" s="15"/>
      <c r="U628" s="6"/>
      <c r="V628" s="15"/>
      <c r="W628" s="4" t="s">
        <v>47</v>
      </c>
      <c r="X628" s="4" t="s">
        <v>47</v>
      </c>
      <c r="Y628" s="4" t="s">
        <v>2562</v>
      </c>
      <c r="Z628" s="4" t="s">
        <v>910</v>
      </c>
      <c r="AA628" s="6" t="n">
        <v>0</v>
      </c>
      <c r="AB628" s="6" t="n">
        <v>2650.34</v>
      </c>
      <c r="AC628" s="6" t="n">
        <v>1394.8</v>
      </c>
      <c r="AD628" s="14" t="b">
        <f aca="false">TRUE()</f>
        <v>1</v>
      </c>
    </row>
    <row r="629" customFormat="false" ht="15" hidden="false" customHeight="false" outlineLevel="0" collapsed="false">
      <c r="A629" s="14" t="b">
        <f aca="false">TRUE()</f>
        <v>1</v>
      </c>
      <c r="B629" s="14" t="b">
        <f aca="false">FALSE()</f>
        <v>0</v>
      </c>
      <c r="C629" s="4" t="n">
        <v>2</v>
      </c>
      <c r="D629" s="4"/>
      <c r="E629" s="4"/>
      <c r="F629" s="4"/>
      <c r="G629" s="4"/>
      <c r="H629" s="14" t="b">
        <f aca="false">FALSE()</f>
        <v>0</v>
      </c>
      <c r="I629" s="14" t="b">
        <f aca="false">FALSE()</f>
        <v>0</v>
      </c>
      <c r="J629" s="4"/>
      <c r="K629" s="4" t="s">
        <v>2563</v>
      </c>
      <c r="L629" s="4" t="s">
        <v>2564</v>
      </c>
      <c r="M629" s="4" t="s">
        <v>2565</v>
      </c>
      <c r="N629" s="6" t="n">
        <v>4747</v>
      </c>
      <c r="O629" s="6" t="n">
        <v>42715</v>
      </c>
      <c r="P629" s="4" t="s">
        <v>46</v>
      </c>
      <c r="Q629" s="6"/>
      <c r="R629" s="15"/>
      <c r="S629" s="6" t="n">
        <v>1000000</v>
      </c>
      <c r="T629" s="15" t="n">
        <v>45789</v>
      </c>
      <c r="U629" s="6"/>
      <c r="V629" s="15"/>
      <c r="W629" s="4" t="s">
        <v>58</v>
      </c>
      <c r="X629" s="4" t="s">
        <v>47</v>
      </c>
      <c r="Y629" s="4" t="s">
        <v>2566</v>
      </c>
      <c r="Z629" s="4" t="s">
        <v>910</v>
      </c>
      <c r="AA629" s="6" t="n">
        <v>0</v>
      </c>
      <c r="AB629" s="6" t="n">
        <v>2444.46</v>
      </c>
      <c r="AC629" s="6" t="n">
        <v>1287.23</v>
      </c>
      <c r="AD629" s="14" t="b">
        <f aca="false">TRUE()</f>
        <v>1</v>
      </c>
    </row>
    <row r="630" customFormat="false" ht="15" hidden="false" customHeight="false" outlineLevel="0" collapsed="false">
      <c r="A630" s="14" t="b">
        <f aca="false">TRUE()</f>
        <v>1</v>
      </c>
      <c r="B630" s="14" t="b">
        <f aca="false">FALSE()</f>
        <v>0</v>
      </c>
      <c r="C630" s="4" t="n">
        <v>2</v>
      </c>
      <c r="D630" s="4"/>
      <c r="E630" s="4"/>
      <c r="F630" s="4"/>
      <c r="G630" s="4"/>
      <c r="H630" s="14" t="b">
        <f aca="false">FALSE()</f>
        <v>0</v>
      </c>
      <c r="I630" s="14" t="b">
        <f aca="false">FALSE()</f>
        <v>0</v>
      </c>
      <c r="J630" s="4"/>
      <c r="K630" s="4" t="s">
        <v>2567</v>
      </c>
      <c r="L630" s="4" t="s">
        <v>2568</v>
      </c>
      <c r="M630" s="4" t="s">
        <v>2569</v>
      </c>
      <c r="N630" s="6" t="n">
        <v>4747</v>
      </c>
      <c r="O630" s="6" t="n">
        <v>42715</v>
      </c>
      <c r="P630" s="4" t="s">
        <v>46</v>
      </c>
      <c r="Q630" s="6" t="n">
        <v>215000</v>
      </c>
      <c r="R630" s="15" t="n">
        <v>45609</v>
      </c>
      <c r="S630" s="6"/>
      <c r="T630" s="15"/>
      <c r="U630" s="6"/>
      <c r="V630" s="15"/>
      <c r="W630" s="4" t="s">
        <v>47</v>
      </c>
      <c r="X630" s="4" t="s">
        <v>58</v>
      </c>
      <c r="Y630" s="4" t="s">
        <v>2570</v>
      </c>
      <c r="Z630" s="4" t="s">
        <v>910</v>
      </c>
      <c r="AA630" s="6" t="n">
        <v>0</v>
      </c>
      <c r="AB630" s="6" t="n">
        <v>3066</v>
      </c>
      <c r="AC630" s="6" t="n">
        <v>3282.96</v>
      </c>
      <c r="AD630" s="14" t="b">
        <f aca="false">FALSE()</f>
        <v>0</v>
      </c>
    </row>
    <row r="631" customFormat="false" ht="15" hidden="false" customHeight="false" outlineLevel="0" collapsed="false">
      <c r="A631" s="14" t="b">
        <f aca="false">TRUE()</f>
        <v>1</v>
      </c>
      <c r="B631" s="14" t="b">
        <f aca="false">FALSE()</f>
        <v>0</v>
      </c>
      <c r="C631" s="4" t="n">
        <v>3</v>
      </c>
      <c r="D631" s="4"/>
      <c r="E631" s="4"/>
      <c r="F631" s="4"/>
      <c r="G631" s="4"/>
      <c r="H631" s="14" t="b">
        <f aca="false">TRUE()</f>
        <v>1</v>
      </c>
      <c r="I631" s="14" t="b">
        <f aca="false">FALSE()</f>
        <v>0</v>
      </c>
      <c r="J631" s="4"/>
      <c r="K631" s="4" t="s">
        <v>2571</v>
      </c>
      <c r="L631" s="4" t="s">
        <v>2572</v>
      </c>
      <c r="M631" s="4" t="s">
        <v>2573</v>
      </c>
      <c r="N631" s="6" t="n">
        <v>6077</v>
      </c>
      <c r="O631" s="6" t="n">
        <v>54740</v>
      </c>
      <c r="P631" s="4" t="s">
        <v>46</v>
      </c>
      <c r="Q631" s="6" t="n">
        <v>88000</v>
      </c>
      <c r="R631" s="15" t="n">
        <v>35408</v>
      </c>
      <c r="S631" s="6" t="n">
        <v>73500</v>
      </c>
      <c r="T631" s="15" t="n">
        <v>42900</v>
      </c>
      <c r="U631" s="6"/>
      <c r="V631" s="15"/>
      <c r="W631" s="4" t="s">
        <v>47</v>
      </c>
      <c r="X631" s="4" t="s">
        <v>47</v>
      </c>
      <c r="Y631" s="4" t="s">
        <v>2574</v>
      </c>
      <c r="Z631" s="4" t="s">
        <v>910</v>
      </c>
      <c r="AA631" s="6" t="n">
        <v>0</v>
      </c>
      <c r="AB631" s="6" t="n">
        <v>3948.22</v>
      </c>
      <c r="AC631" s="6" t="n">
        <v>4224.72</v>
      </c>
      <c r="AD631" s="14" t="b">
        <f aca="false">FALSE()</f>
        <v>0</v>
      </c>
    </row>
    <row r="632" customFormat="false" ht="15" hidden="false" customHeight="false" outlineLevel="0" collapsed="false">
      <c r="A632" s="14" t="b">
        <f aca="false">TRUE()</f>
        <v>1</v>
      </c>
      <c r="B632" s="14" t="b">
        <f aca="false">FALSE()</f>
        <v>0</v>
      </c>
      <c r="C632" s="4" t="n">
        <v>2</v>
      </c>
      <c r="D632" s="4"/>
      <c r="E632" s="4"/>
      <c r="F632" s="4"/>
      <c r="G632" s="4" t="n">
        <v>2</v>
      </c>
      <c r="H632" s="14" t="b">
        <f aca="false">FALSE()</f>
        <v>0</v>
      </c>
      <c r="I632" s="14" t="b">
        <f aca="false">FALSE()</f>
        <v>0</v>
      </c>
      <c r="J632" s="4"/>
      <c r="K632" s="4" t="s">
        <v>2575</v>
      </c>
      <c r="L632" s="4" t="s">
        <v>2576</v>
      </c>
      <c r="M632" s="4" t="s">
        <v>2577</v>
      </c>
      <c r="N632" s="6" t="n">
        <v>4845</v>
      </c>
      <c r="O632" s="6" t="n">
        <v>43678</v>
      </c>
      <c r="P632" s="4" t="s">
        <v>46</v>
      </c>
      <c r="Q632" s="6"/>
      <c r="R632" s="15" t="n">
        <v>44293</v>
      </c>
      <c r="S632" s="6"/>
      <c r="T632" s="15"/>
      <c r="U632" s="6"/>
      <c r="V632" s="15"/>
      <c r="W632" s="4" t="s">
        <v>47</v>
      </c>
      <c r="X632" s="4" t="s">
        <v>47</v>
      </c>
      <c r="Y632" s="4" t="s">
        <v>2578</v>
      </c>
      <c r="Z632" s="4" t="s">
        <v>910</v>
      </c>
      <c r="AA632" s="6" t="n">
        <v>0</v>
      </c>
      <c r="AB632" s="6" t="n">
        <v>3148.44</v>
      </c>
      <c r="AC632" s="6" t="n">
        <v>3370.96</v>
      </c>
      <c r="AD632" s="14" t="b">
        <f aca="false">FALSE()</f>
        <v>0</v>
      </c>
    </row>
    <row r="633" customFormat="false" ht="15" hidden="false" customHeight="false" outlineLevel="0" collapsed="false">
      <c r="A633" s="14" t="b">
        <f aca="false">TRUE()</f>
        <v>1</v>
      </c>
      <c r="B633" s="14" t="b">
        <f aca="false">FALSE()</f>
        <v>0</v>
      </c>
      <c r="C633" s="4" t="n">
        <v>2</v>
      </c>
      <c r="D633" s="4"/>
      <c r="E633" s="4"/>
      <c r="F633" s="4"/>
      <c r="G633" s="4"/>
      <c r="H633" s="14" t="b">
        <f aca="false">TRUE()</f>
        <v>1</v>
      </c>
      <c r="I633" s="14" t="b">
        <f aca="false">FALSE()</f>
        <v>0</v>
      </c>
      <c r="J633" s="4"/>
      <c r="K633" s="4" t="s">
        <v>2579</v>
      </c>
      <c r="L633" s="4" t="s">
        <v>2580</v>
      </c>
      <c r="M633" s="4" t="s">
        <v>2581</v>
      </c>
      <c r="N633" s="6" t="n">
        <v>6077</v>
      </c>
      <c r="O633" s="6" t="n">
        <v>54740</v>
      </c>
      <c r="P633" s="4" t="s">
        <v>46</v>
      </c>
      <c r="Q633" s="6" t="n">
        <v>80000</v>
      </c>
      <c r="R633" s="15" t="n">
        <v>40630</v>
      </c>
      <c r="S633" s="6"/>
      <c r="T633" s="15"/>
      <c r="U633" s="6"/>
      <c r="V633" s="15"/>
      <c r="W633" s="4" t="s">
        <v>58</v>
      </c>
      <c r="X633" s="4" t="s">
        <v>58</v>
      </c>
      <c r="Y633" s="4" t="s">
        <v>2582</v>
      </c>
      <c r="Z633" s="4" t="s">
        <v>910</v>
      </c>
      <c r="AA633" s="6" t="n">
        <v>0</v>
      </c>
      <c r="AB633" s="6" t="n">
        <v>4103.6</v>
      </c>
      <c r="AC633" s="6" t="n">
        <v>4390.59</v>
      </c>
      <c r="AD633" s="14" t="b">
        <f aca="false">FALSE()</f>
        <v>0</v>
      </c>
    </row>
    <row r="634" customFormat="false" ht="15" hidden="false" customHeight="false" outlineLevel="0" collapsed="false">
      <c r="A634" s="14" t="b">
        <f aca="false">TRUE()</f>
        <v>1</v>
      </c>
      <c r="B634" s="14" t="b">
        <f aca="false">FALSE()</f>
        <v>0</v>
      </c>
      <c r="C634" s="4" t="n">
        <v>2</v>
      </c>
      <c r="D634" s="4"/>
      <c r="E634" s="4"/>
      <c r="F634" s="4"/>
      <c r="G634" s="4"/>
      <c r="H634" s="14" t="b">
        <f aca="false">FALSE()</f>
        <v>0</v>
      </c>
      <c r="I634" s="14" t="b">
        <f aca="false">FALSE()</f>
        <v>0</v>
      </c>
      <c r="J634" s="4"/>
      <c r="K634" s="4" t="s">
        <v>2583</v>
      </c>
      <c r="L634" s="4" t="s">
        <v>2584</v>
      </c>
      <c r="M634" s="4" t="s">
        <v>2585</v>
      </c>
      <c r="N634" s="6" t="n">
        <v>13474</v>
      </c>
      <c r="O634" s="6" t="n">
        <v>121236</v>
      </c>
      <c r="P634" s="4" t="s">
        <v>46</v>
      </c>
      <c r="Q634" s="6" t="n">
        <v>468000</v>
      </c>
      <c r="R634" s="15" t="n">
        <v>45201</v>
      </c>
      <c r="S634" s="6"/>
      <c r="T634" s="15"/>
      <c r="U634" s="6"/>
      <c r="V634" s="15"/>
      <c r="W634" s="4" t="s">
        <v>47</v>
      </c>
      <c r="X634" s="4" t="s">
        <v>47</v>
      </c>
      <c r="Y634" s="4" t="s">
        <v>2586</v>
      </c>
      <c r="Z634" s="4" t="s">
        <v>910</v>
      </c>
      <c r="AA634" s="6" t="n">
        <v>0</v>
      </c>
      <c r="AB634" s="6" t="n">
        <v>8943.58</v>
      </c>
      <c r="AC634" s="6" t="n">
        <v>9557.27</v>
      </c>
      <c r="AD634" s="14" t="b">
        <f aca="false">FALSE()</f>
        <v>0</v>
      </c>
    </row>
    <row r="635" customFormat="false" ht="15" hidden="false" customHeight="false" outlineLevel="0" collapsed="false">
      <c r="A635" s="14" t="b">
        <f aca="false">TRUE()</f>
        <v>1</v>
      </c>
      <c r="B635" s="14" t="b">
        <f aca="false">FALSE()</f>
        <v>0</v>
      </c>
      <c r="C635" s="4" t="n">
        <v>2</v>
      </c>
      <c r="D635" s="4"/>
      <c r="E635" s="4"/>
      <c r="F635" s="4"/>
      <c r="G635" s="4"/>
      <c r="H635" s="14" t="b">
        <f aca="false">FALSE()</f>
        <v>0</v>
      </c>
      <c r="I635" s="14" t="b">
        <f aca="false">FALSE()</f>
        <v>0</v>
      </c>
      <c r="J635" s="4"/>
      <c r="K635" s="4" t="s">
        <v>2587</v>
      </c>
      <c r="L635" s="4" t="s">
        <v>2588</v>
      </c>
      <c r="M635" s="4" t="s">
        <v>2589</v>
      </c>
      <c r="N635" s="6" t="n">
        <v>5137</v>
      </c>
      <c r="O635" s="6" t="n">
        <v>46251</v>
      </c>
      <c r="P635" s="4" t="s">
        <v>46</v>
      </c>
      <c r="Q635" s="6" t="n">
        <v>60500</v>
      </c>
      <c r="R635" s="15" t="n">
        <v>41479</v>
      </c>
      <c r="S635" s="6"/>
      <c r="T635" s="15"/>
      <c r="U635" s="6"/>
      <c r="V635" s="15"/>
      <c r="W635" s="4" t="s">
        <v>47</v>
      </c>
      <c r="X635" s="4" t="s">
        <v>47</v>
      </c>
      <c r="Y635" s="4" t="s">
        <v>2590</v>
      </c>
      <c r="Z635" s="4" t="s">
        <v>910</v>
      </c>
      <c r="AA635" s="6" t="n">
        <v>0</v>
      </c>
      <c r="AB635" s="6" t="n">
        <v>2749.48</v>
      </c>
      <c r="AC635" s="6" t="n">
        <v>1446.6</v>
      </c>
      <c r="AD635" s="14" t="b">
        <f aca="false">TRUE()</f>
        <v>1</v>
      </c>
    </row>
    <row r="636" customFormat="false" ht="15" hidden="false" customHeight="false" outlineLevel="0" collapsed="false">
      <c r="A636" s="14" t="b">
        <f aca="false">TRUE()</f>
        <v>1</v>
      </c>
      <c r="B636" s="14" t="b">
        <f aca="false">FALSE()</f>
        <v>0</v>
      </c>
      <c r="C636" s="4" t="n">
        <v>2</v>
      </c>
      <c r="D636" s="4"/>
      <c r="E636" s="4"/>
      <c r="F636" s="4"/>
      <c r="G636" s="4"/>
      <c r="H636" s="14" t="b">
        <f aca="false">FALSE()</f>
        <v>0</v>
      </c>
      <c r="I636" s="14" t="b">
        <f aca="false">FALSE()</f>
        <v>0</v>
      </c>
      <c r="J636" s="4"/>
      <c r="K636" s="4" t="s">
        <v>2591</v>
      </c>
      <c r="L636" s="4" t="s">
        <v>2592</v>
      </c>
      <c r="M636" s="4" t="s">
        <v>2593</v>
      </c>
      <c r="N636" s="6" t="n">
        <v>5710</v>
      </c>
      <c r="O636" s="6" t="n">
        <v>51388</v>
      </c>
      <c r="P636" s="4" t="s">
        <v>46</v>
      </c>
      <c r="Q636" s="6"/>
      <c r="R636" s="15"/>
      <c r="S636" s="6"/>
      <c r="T636" s="15"/>
      <c r="U636" s="6"/>
      <c r="V636" s="15"/>
      <c r="W636" s="4" t="s">
        <v>47</v>
      </c>
      <c r="X636" s="4" t="s">
        <v>47</v>
      </c>
      <c r="Y636" s="4" t="s">
        <v>2594</v>
      </c>
      <c r="Z636" s="4" t="s">
        <v>910</v>
      </c>
      <c r="AA636" s="6" t="n">
        <v>0</v>
      </c>
      <c r="AB636" s="6" t="n">
        <v>3814.66</v>
      </c>
      <c r="AC636" s="6" t="n">
        <v>2003.16</v>
      </c>
      <c r="AD636" s="14" t="b">
        <f aca="false">TRUE()</f>
        <v>1</v>
      </c>
    </row>
    <row r="637" customFormat="false" ht="15" hidden="false" customHeight="false" outlineLevel="0" collapsed="false">
      <c r="A637" s="14" t="b">
        <f aca="false">TRUE()</f>
        <v>1</v>
      </c>
      <c r="B637" s="14" t="b">
        <f aca="false">FALSE()</f>
        <v>0</v>
      </c>
      <c r="C637" s="4" t="n">
        <v>2</v>
      </c>
      <c r="D637" s="4"/>
      <c r="E637" s="4"/>
      <c r="F637" s="4"/>
      <c r="G637" s="4"/>
      <c r="H637" s="14" t="b">
        <f aca="false">FALSE()</f>
        <v>0</v>
      </c>
      <c r="I637" s="14" t="b">
        <f aca="false">FALSE()</f>
        <v>0</v>
      </c>
      <c r="J637" s="4"/>
      <c r="K637" s="4" t="s">
        <v>2595</v>
      </c>
      <c r="L637" s="4" t="s">
        <v>2596</v>
      </c>
      <c r="M637" s="4" t="s">
        <v>2597</v>
      </c>
      <c r="N637" s="6" t="n">
        <v>28917</v>
      </c>
      <c r="O637" s="6" t="n">
        <v>93801</v>
      </c>
      <c r="P637" s="4" t="s">
        <v>46</v>
      </c>
      <c r="Q637" s="6"/>
      <c r="R637" s="15" t="n">
        <v>45266</v>
      </c>
      <c r="S637" s="6"/>
      <c r="T637" s="15"/>
      <c r="U637" s="6"/>
      <c r="V637" s="15"/>
      <c r="W637" s="4" t="s">
        <v>47</v>
      </c>
      <c r="X637" s="4" t="s">
        <v>47</v>
      </c>
      <c r="Y637" s="4" t="s">
        <v>2598</v>
      </c>
      <c r="Z637" s="4" t="s">
        <v>910</v>
      </c>
      <c r="AA637" s="6" t="n">
        <v>0</v>
      </c>
      <c r="AB637" s="6" t="n">
        <v>8136.06</v>
      </c>
      <c r="AC637" s="6" t="n">
        <v>8695.24</v>
      </c>
      <c r="AD637" s="14" t="b">
        <f aca="false">FALSE()</f>
        <v>0</v>
      </c>
    </row>
    <row r="638" customFormat="false" ht="15" hidden="false" customHeight="false" outlineLevel="0" collapsed="false">
      <c r="A638" s="14" t="b">
        <f aca="false">TRUE()</f>
        <v>1</v>
      </c>
      <c r="B638" s="14" t="b">
        <f aca="false">FALSE()</f>
        <v>0</v>
      </c>
      <c r="C638" s="4" t="n">
        <v>2</v>
      </c>
      <c r="D638" s="4"/>
      <c r="E638" s="4"/>
      <c r="F638" s="4"/>
      <c r="G638" s="4"/>
      <c r="H638" s="14" t="b">
        <f aca="false">FALSE()</f>
        <v>0</v>
      </c>
      <c r="I638" s="14" t="b">
        <f aca="false">FALSE()</f>
        <v>0</v>
      </c>
      <c r="J638" s="4"/>
      <c r="K638" s="4" t="s">
        <v>2599</v>
      </c>
      <c r="L638" s="4" t="s">
        <v>2600</v>
      </c>
      <c r="M638" s="4" t="s">
        <v>2601</v>
      </c>
      <c r="N638" s="6" t="n">
        <v>9765</v>
      </c>
      <c r="O638" s="6" t="n">
        <v>87918</v>
      </c>
      <c r="P638" s="4" t="s">
        <v>46</v>
      </c>
      <c r="Q638" s="6" t="n">
        <v>369500</v>
      </c>
      <c r="R638" s="15" t="n">
        <v>45532</v>
      </c>
      <c r="S638" s="6"/>
      <c r="T638" s="15"/>
      <c r="U638" s="6"/>
      <c r="V638" s="15"/>
      <c r="W638" s="4" t="s">
        <v>47</v>
      </c>
      <c r="X638" s="4" t="s">
        <v>47</v>
      </c>
      <c r="Y638" s="4" t="s">
        <v>2602</v>
      </c>
      <c r="Z638" s="4" t="s">
        <v>910</v>
      </c>
      <c r="AA638" s="6" t="n">
        <v>0</v>
      </c>
      <c r="AB638" s="6" t="n">
        <v>6967.92</v>
      </c>
      <c r="AC638" s="6" t="n">
        <v>3650.74</v>
      </c>
      <c r="AD638" s="14" t="b">
        <f aca="false">TRUE()</f>
        <v>1</v>
      </c>
    </row>
    <row r="639" customFormat="false" ht="15" hidden="false" customHeight="false" outlineLevel="0" collapsed="false">
      <c r="A639" s="14" t="b">
        <f aca="false">TRUE()</f>
        <v>1</v>
      </c>
      <c r="B639" s="14" t="b">
        <f aca="false">FALSE()</f>
        <v>0</v>
      </c>
      <c r="C639" s="4" t="n">
        <v>3</v>
      </c>
      <c r="D639" s="4"/>
      <c r="E639" s="4"/>
      <c r="F639" s="4"/>
      <c r="G639" s="4"/>
      <c r="H639" s="14" t="b">
        <f aca="false">FALSE()</f>
        <v>0</v>
      </c>
      <c r="I639" s="14" t="b">
        <f aca="false">FALSE()</f>
        <v>0</v>
      </c>
      <c r="J639" s="4"/>
      <c r="K639" s="4" t="s">
        <v>2603</v>
      </c>
      <c r="L639" s="4" t="s">
        <v>2604</v>
      </c>
      <c r="M639" s="4" t="s">
        <v>2605</v>
      </c>
      <c r="N639" s="6" t="n">
        <v>45905</v>
      </c>
      <c r="O639" s="6" t="n">
        <v>14339</v>
      </c>
      <c r="P639" s="4" t="s">
        <v>46</v>
      </c>
      <c r="Q639" s="6" t="n">
        <v>230000</v>
      </c>
      <c r="R639" s="15" t="n">
        <v>43622</v>
      </c>
      <c r="S639" s="6" t="n">
        <v>197000</v>
      </c>
      <c r="T639" s="15" t="n">
        <v>45772</v>
      </c>
      <c r="U639" s="6"/>
      <c r="V639" s="15"/>
      <c r="W639" s="4" t="s">
        <v>58</v>
      </c>
      <c r="X639" s="4" t="s">
        <v>47</v>
      </c>
      <c r="Y639" s="4" t="s">
        <v>2606</v>
      </c>
      <c r="Z639" s="4" t="s">
        <v>910</v>
      </c>
      <c r="AA639" s="6" t="n">
        <v>0</v>
      </c>
      <c r="AB639" s="6" t="n">
        <v>4039.8</v>
      </c>
      <c r="AC639" s="6" t="n">
        <v>4322.49</v>
      </c>
      <c r="AD639" s="14" t="b">
        <f aca="false">FALSE()</f>
        <v>0</v>
      </c>
    </row>
    <row r="640" customFormat="false" ht="15" hidden="false" customHeight="false" outlineLevel="0" collapsed="false">
      <c r="A640" s="14" t="b">
        <f aca="false">TRUE()</f>
        <v>1</v>
      </c>
      <c r="B640" s="14" t="b">
        <f aca="false">FALSE()</f>
        <v>0</v>
      </c>
      <c r="C640" s="4" t="n">
        <v>3</v>
      </c>
      <c r="D640" s="4"/>
      <c r="E640" s="4"/>
      <c r="F640" s="4"/>
      <c r="G640" s="4"/>
      <c r="H640" s="14" t="b">
        <f aca="false">FALSE()</f>
        <v>0</v>
      </c>
      <c r="I640" s="14" t="b">
        <f aca="false">FALSE()</f>
        <v>0</v>
      </c>
      <c r="J640" s="4"/>
      <c r="K640" s="4" t="s">
        <v>2607</v>
      </c>
      <c r="L640" s="4" t="s">
        <v>2608</v>
      </c>
      <c r="M640" s="4" t="s">
        <v>2609</v>
      </c>
      <c r="N640" s="6" t="n">
        <v>54102</v>
      </c>
      <c r="O640" s="6" t="n">
        <v>36303</v>
      </c>
      <c r="P640" s="4" t="s">
        <v>46</v>
      </c>
      <c r="Q640" s="6" t="n">
        <v>227000</v>
      </c>
      <c r="R640" s="15" t="n">
        <v>38169</v>
      </c>
      <c r="S640" s="6" t="n">
        <v>210000</v>
      </c>
      <c r="T640" s="15" t="n">
        <v>38169</v>
      </c>
      <c r="U640" s="6"/>
      <c r="V640" s="15"/>
      <c r="W640" s="4" t="s">
        <v>58</v>
      </c>
      <c r="X640" s="4" t="s">
        <v>47</v>
      </c>
      <c r="Y640" s="4" t="s">
        <v>2610</v>
      </c>
      <c r="Z640" s="4" t="s">
        <v>910</v>
      </c>
      <c r="AA640" s="6" t="n">
        <v>0</v>
      </c>
      <c r="AB640" s="6" t="n">
        <v>6042.16</v>
      </c>
      <c r="AC640" s="6" t="n">
        <v>6460.01</v>
      </c>
      <c r="AD640" s="14" t="b">
        <f aca="false">FALSE()</f>
        <v>0</v>
      </c>
    </row>
    <row r="641" customFormat="false" ht="15" hidden="false" customHeight="false" outlineLevel="0" collapsed="false">
      <c r="A641" s="14" t="b">
        <f aca="false">TRUE()</f>
        <v>1</v>
      </c>
      <c r="B641" s="14" t="b">
        <f aca="false">FALSE()</f>
        <v>0</v>
      </c>
      <c r="C641" s="4" t="n">
        <v>2</v>
      </c>
      <c r="D641" s="4"/>
      <c r="E641" s="4"/>
      <c r="F641" s="4"/>
      <c r="G641" s="4"/>
      <c r="H641" s="14" t="b">
        <f aca="false">FALSE()</f>
        <v>0</v>
      </c>
      <c r="I641" s="14" t="b">
        <f aca="false">FALSE()</f>
        <v>0</v>
      </c>
      <c r="J641" s="4"/>
      <c r="K641" s="4" t="s">
        <v>2611</v>
      </c>
      <c r="L641" s="4" t="s">
        <v>2612</v>
      </c>
      <c r="M641" s="4" t="s">
        <v>2613</v>
      </c>
      <c r="N641" s="6" t="n">
        <v>4423</v>
      </c>
      <c r="O641" s="6" t="n">
        <v>39655</v>
      </c>
      <c r="P641" s="4" t="s">
        <v>46</v>
      </c>
      <c r="Q641" s="6" t="n">
        <v>125000</v>
      </c>
      <c r="R641" s="15" t="n">
        <v>44585</v>
      </c>
      <c r="S641" s="6"/>
      <c r="T641" s="15"/>
      <c r="U641" s="6"/>
      <c r="V641" s="15"/>
      <c r="W641" s="4" t="s">
        <v>58</v>
      </c>
      <c r="X641" s="4" t="s">
        <v>47</v>
      </c>
      <c r="Y641" s="4" t="s">
        <v>2614</v>
      </c>
      <c r="Z641" s="4" t="s">
        <v>910</v>
      </c>
      <c r="AA641" s="6" t="n">
        <v>0</v>
      </c>
      <c r="AB641" s="6" t="n">
        <v>2803.06</v>
      </c>
      <c r="AC641" s="6" t="n">
        <v>1474.6</v>
      </c>
      <c r="AD641" s="14" t="b">
        <f aca="false">TRUE()</f>
        <v>1</v>
      </c>
    </row>
    <row r="642" customFormat="false" ht="15" hidden="false" customHeight="false" outlineLevel="0" collapsed="false">
      <c r="A642" s="14" t="b">
        <f aca="false">TRUE()</f>
        <v>1</v>
      </c>
      <c r="B642" s="14" t="b">
        <f aca="false">FALSE()</f>
        <v>0</v>
      </c>
      <c r="C642" s="4" t="n">
        <v>2</v>
      </c>
      <c r="D642" s="4"/>
      <c r="E642" s="4"/>
      <c r="F642" s="4"/>
      <c r="G642" s="4"/>
      <c r="H642" s="14" t="b">
        <f aca="false">FALSE()</f>
        <v>0</v>
      </c>
      <c r="I642" s="14" t="b">
        <f aca="false">FALSE()</f>
        <v>0</v>
      </c>
      <c r="J642" s="4"/>
      <c r="K642" s="4" t="s">
        <v>2615</v>
      </c>
      <c r="L642" s="4" t="s">
        <v>2616</v>
      </c>
      <c r="M642" s="4" t="s">
        <v>2617</v>
      </c>
      <c r="N642" s="6" t="n">
        <v>30733</v>
      </c>
      <c r="O642" s="6" t="n">
        <v>143794</v>
      </c>
      <c r="P642" s="4" t="s">
        <v>46</v>
      </c>
      <c r="Q642" s="6"/>
      <c r="R642" s="15" t="n">
        <v>45229</v>
      </c>
      <c r="S642" s="6"/>
      <c r="T642" s="15"/>
      <c r="U642" s="6"/>
      <c r="V642" s="15"/>
      <c r="W642" s="4" t="s">
        <v>47</v>
      </c>
      <c r="X642" s="4" t="s">
        <v>47</v>
      </c>
      <c r="Y642" s="4" t="s">
        <v>2618</v>
      </c>
      <c r="Z642" s="4" t="s">
        <v>910</v>
      </c>
      <c r="AA642" s="6" t="n">
        <v>0</v>
      </c>
      <c r="AB642" s="6" t="n">
        <v>11991.62</v>
      </c>
      <c r="AC642" s="6" t="n">
        <v>6275.62</v>
      </c>
      <c r="AD642" s="14" t="b">
        <f aca="false">TRUE()</f>
        <v>1</v>
      </c>
    </row>
    <row r="643" customFormat="false" ht="15" hidden="false" customHeight="false" outlineLevel="0" collapsed="false">
      <c r="A643" s="14" t="b">
        <f aca="false">TRUE()</f>
        <v>1</v>
      </c>
      <c r="B643" s="14" t="b">
        <f aca="false">FALSE()</f>
        <v>0</v>
      </c>
      <c r="C643" s="4" t="n">
        <v>3</v>
      </c>
      <c r="D643" s="4"/>
      <c r="E643" s="4"/>
      <c r="F643" s="4"/>
      <c r="G643" s="4"/>
      <c r="H643" s="14" t="b">
        <f aca="false">FALSE()</f>
        <v>0</v>
      </c>
      <c r="I643" s="14" t="b">
        <f aca="false">FALSE()</f>
        <v>0</v>
      </c>
      <c r="J643" s="4"/>
      <c r="K643" s="4" t="s">
        <v>2619</v>
      </c>
      <c r="L643" s="4" t="s">
        <v>2620</v>
      </c>
      <c r="M643" s="4" t="s">
        <v>2621</v>
      </c>
      <c r="N643" s="6" t="n">
        <v>92189</v>
      </c>
      <c r="O643" s="6" t="n">
        <v>299234</v>
      </c>
      <c r="P643" s="4" t="s">
        <v>46</v>
      </c>
      <c r="Q643" s="6" t="n">
        <v>260000</v>
      </c>
      <c r="R643" s="15" t="n">
        <v>39330</v>
      </c>
      <c r="S643" s="6"/>
      <c r="T643" s="15"/>
      <c r="U643" s="6"/>
      <c r="V643" s="15"/>
      <c r="W643" s="4" t="s">
        <v>47</v>
      </c>
      <c r="X643" s="4" t="s">
        <v>47</v>
      </c>
      <c r="Y643" s="4" t="s">
        <v>2622</v>
      </c>
      <c r="Z643" s="4" t="s">
        <v>910</v>
      </c>
      <c r="AA643" s="6" t="n">
        <v>0</v>
      </c>
      <c r="AB643" s="6" t="n">
        <v>29790.04</v>
      </c>
      <c r="AC643" s="6" t="n">
        <v>31810.87</v>
      </c>
      <c r="AD643" s="14" t="b">
        <f aca="false">FALSE()</f>
        <v>0</v>
      </c>
    </row>
    <row r="644" customFormat="false" ht="15" hidden="false" customHeight="false" outlineLevel="0" collapsed="false">
      <c r="A644" s="14" t="b">
        <f aca="false">TRUE()</f>
        <v>1</v>
      </c>
      <c r="B644" s="14" t="b">
        <f aca="false">FALSE()</f>
        <v>0</v>
      </c>
      <c r="C644" s="4" t="n">
        <v>3</v>
      </c>
      <c r="D644" s="4"/>
      <c r="E644" s="4"/>
      <c r="F644" s="4"/>
      <c r="G644" s="4" t="n">
        <v>3</v>
      </c>
      <c r="H644" s="14" t="b">
        <f aca="false">TRUE()</f>
        <v>1</v>
      </c>
      <c r="I644" s="14" t="b">
        <f aca="false">FALSE()</f>
        <v>0</v>
      </c>
      <c r="J644" s="4"/>
      <c r="K644" s="4" t="s">
        <v>2623</v>
      </c>
      <c r="L644" s="4" t="s">
        <v>2624</v>
      </c>
      <c r="M644" s="4" t="s">
        <v>2625</v>
      </c>
      <c r="N644" s="6" t="n">
        <v>39471</v>
      </c>
      <c r="O644" s="6" t="n">
        <v>210668</v>
      </c>
      <c r="P644" s="4" t="s">
        <v>46</v>
      </c>
      <c r="Q644" s="6"/>
      <c r="R644" s="15"/>
      <c r="S644" s="6" t="n">
        <v>400000</v>
      </c>
      <c r="T644" s="15" t="n">
        <v>42808</v>
      </c>
      <c r="U644" s="6"/>
      <c r="V644" s="15"/>
      <c r="W644" s="4" t="s">
        <v>58</v>
      </c>
      <c r="X644" s="4" t="s">
        <v>47</v>
      </c>
      <c r="Y644" s="4" t="s">
        <v>2626</v>
      </c>
      <c r="Z644" s="4" t="s">
        <v>910</v>
      </c>
      <c r="AA644" s="6" t="n">
        <v>0</v>
      </c>
      <c r="AB644" s="6" t="n">
        <v>15700.66</v>
      </c>
      <c r="AC644" s="6" t="n">
        <v>16770.45</v>
      </c>
      <c r="AD644" s="14" t="b">
        <f aca="false">FALSE()</f>
        <v>0</v>
      </c>
    </row>
    <row r="645" customFormat="false" ht="15" hidden="false" customHeight="false" outlineLevel="0" collapsed="false">
      <c r="A645" s="14" t="b">
        <f aca="false">TRUE()</f>
        <v>1</v>
      </c>
      <c r="B645" s="14" t="b">
        <f aca="false">FALSE()</f>
        <v>0</v>
      </c>
      <c r="C645" s="4" t="n">
        <v>2</v>
      </c>
      <c r="D645" s="4"/>
      <c r="E645" s="4"/>
      <c r="F645" s="4"/>
      <c r="G645" s="4"/>
      <c r="H645" s="14" t="b">
        <f aca="false">FALSE()</f>
        <v>0</v>
      </c>
      <c r="I645" s="14" t="b">
        <f aca="false">FALSE()</f>
        <v>0</v>
      </c>
      <c r="J645" s="4"/>
      <c r="K645" s="4" t="s">
        <v>2627</v>
      </c>
      <c r="L645" s="4" t="s">
        <v>2628</v>
      </c>
      <c r="M645" s="4" t="s">
        <v>2629</v>
      </c>
      <c r="N645" s="6" t="n">
        <v>56600</v>
      </c>
      <c r="O645" s="6" t="n">
        <v>157895</v>
      </c>
      <c r="P645" s="4" t="s">
        <v>46</v>
      </c>
      <c r="Q645" s="6" t="n">
        <v>575000</v>
      </c>
      <c r="R645" s="15" t="n">
        <v>44235</v>
      </c>
      <c r="S645" s="6"/>
      <c r="T645" s="15"/>
      <c r="U645" s="6"/>
      <c r="V645" s="15"/>
      <c r="W645" s="4" t="s">
        <v>47</v>
      </c>
      <c r="X645" s="4" t="s">
        <v>47</v>
      </c>
      <c r="Y645" s="4" t="s">
        <v>2630</v>
      </c>
      <c r="Z645" s="4" t="s">
        <v>910</v>
      </c>
      <c r="AA645" s="6" t="n">
        <v>0</v>
      </c>
      <c r="AB645" s="6" t="n">
        <v>15325.86</v>
      </c>
      <c r="AC645" s="6" t="n">
        <v>8017.76</v>
      </c>
      <c r="AD645" s="14" t="b">
        <f aca="false">TRUE()</f>
        <v>1</v>
      </c>
    </row>
    <row r="646" customFormat="false" ht="15" hidden="false" customHeight="false" outlineLevel="0" collapsed="false">
      <c r="A646" s="14" t="b">
        <f aca="false">TRUE()</f>
        <v>1</v>
      </c>
      <c r="B646" s="14" t="b">
        <f aca="false">FALSE()</f>
        <v>0</v>
      </c>
      <c r="C646" s="4" t="n">
        <v>2</v>
      </c>
      <c r="D646" s="4"/>
      <c r="E646" s="4"/>
      <c r="F646" s="4"/>
      <c r="G646" s="4"/>
      <c r="H646" s="14" t="b">
        <f aca="false">FALSE()</f>
        <v>0</v>
      </c>
      <c r="I646" s="14" t="b">
        <f aca="false">FALSE()</f>
        <v>0</v>
      </c>
      <c r="J646" s="4"/>
      <c r="K646" s="4" t="s">
        <v>2631</v>
      </c>
      <c r="L646" s="4" t="s">
        <v>2632</v>
      </c>
      <c r="M646" s="4" t="s">
        <v>2633</v>
      </c>
      <c r="N646" s="6" t="n">
        <v>12155</v>
      </c>
      <c r="O646" s="6" t="n">
        <v>109405</v>
      </c>
      <c r="P646" s="4" t="s">
        <v>46</v>
      </c>
      <c r="Q646" s="6"/>
      <c r="R646" s="15" t="n">
        <v>41337</v>
      </c>
      <c r="S646" s="6"/>
      <c r="T646" s="15"/>
      <c r="U646" s="6"/>
      <c r="V646" s="15"/>
      <c r="W646" s="4" t="s">
        <v>47</v>
      </c>
      <c r="X646" s="4" t="s">
        <v>47</v>
      </c>
      <c r="Y646" s="4" t="s">
        <v>2634</v>
      </c>
      <c r="Z646" s="4" t="s">
        <v>910</v>
      </c>
      <c r="AA646" s="6" t="n">
        <v>0</v>
      </c>
      <c r="AB646" s="6" t="n">
        <v>8201.48</v>
      </c>
      <c r="AC646" s="6" t="n">
        <v>8765.08</v>
      </c>
      <c r="AD646" s="14" t="b">
        <f aca="false">FALSE()</f>
        <v>0</v>
      </c>
    </row>
    <row r="647" customFormat="false" ht="15" hidden="false" customHeight="false" outlineLevel="0" collapsed="false">
      <c r="A647" s="14" t="b">
        <f aca="false">TRUE()</f>
        <v>1</v>
      </c>
      <c r="B647" s="14" t="b">
        <f aca="false">FALSE()</f>
        <v>0</v>
      </c>
      <c r="C647" s="4" t="n">
        <v>3</v>
      </c>
      <c r="D647" s="4"/>
      <c r="E647" s="4"/>
      <c r="F647" s="4"/>
      <c r="G647" s="4" t="n">
        <v>2</v>
      </c>
      <c r="H647" s="14" t="b">
        <f aca="false">FALSE()</f>
        <v>0</v>
      </c>
      <c r="I647" s="14" t="b">
        <f aca="false">FALSE()</f>
        <v>0</v>
      </c>
      <c r="J647" s="4"/>
      <c r="K647" s="4" t="s">
        <v>2635</v>
      </c>
      <c r="L647" s="4" t="s">
        <v>2636</v>
      </c>
      <c r="M647" s="4" t="s">
        <v>2637</v>
      </c>
      <c r="N647" s="6" t="n">
        <v>24980</v>
      </c>
      <c r="O647" s="6" t="n">
        <v>54535</v>
      </c>
      <c r="P647" s="4" t="s">
        <v>46</v>
      </c>
      <c r="Q647" s="6"/>
      <c r="R647" s="15" t="n">
        <v>39727</v>
      </c>
      <c r="S647" s="6" t="n">
        <v>126800</v>
      </c>
      <c r="T647" s="15" t="n">
        <v>45909</v>
      </c>
      <c r="U647" s="6"/>
      <c r="V647" s="15"/>
      <c r="W647" s="4" t="s">
        <v>58</v>
      </c>
      <c r="X647" s="4" t="s">
        <v>58</v>
      </c>
      <c r="Y647" s="4" t="s">
        <v>2638</v>
      </c>
      <c r="Z647" s="4" t="s">
        <v>910</v>
      </c>
      <c r="AA647" s="6" t="n">
        <v>0</v>
      </c>
      <c r="AB647" s="6" t="n">
        <v>5368.26</v>
      </c>
      <c r="AC647" s="6" t="n">
        <v>5740.62</v>
      </c>
      <c r="AD647" s="14" t="b">
        <f aca="false">FALSE()</f>
        <v>0</v>
      </c>
    </row>
    <row r="648" customFormat="false" ht="15" hidden="false" customHeight="false" outlineLevel="0" collapsed="false">
      <c r="A648" s="14" t="b">
        <f aca="false">TRUE()</f>
        <v>1</v>
      </c>
      <c r="B648" s="14" t="b">
        <f aca="false">FALSE()</f>
        <v>0</v>
      </c>
      <c r="C648" s="4" t="n">
        <v>2</v>
      </c>
      <c r="D648" s="4"/>
      <c r="E648" s="4"/>
      <c r="F648" s="4"/>
      <c r="G648" s="4"/>
      <c r="H648" s="14" t="b">
        <f aca="false">FALSE()</f>
        <v>0</v>
      </c>
      <c r="I648" s="14" t="b">
        <f aca="false">FALSE()</f>
        <v>0</v>
      </c>
      <c r="J648" s="4"/>
      <c r="K648" s="4" t="s">
        <v>2639</v>
      </c>
      <c r="L648" s="4" t="s">
        <v>2640</v>
      </c>
      <c r="M648" s="4" t="s">
        <v>2641</v>
      </c>
      <c r="N648" s="6" t="n">
        <v>31739</v>
      </c>
      <c r="O648" s="6" t="n">
        <v>75157</v>
      </c>
      <c r="P648" s="4" t="s">
        <v>46</v>
      </c>
      <c r="Q648" s="6" t="n">
        <v>372500</v>
      </c>
      <c r="R648" s="15" t="n">
        <v>45796</v>
      </c>
      <c r="S648" s="6"/>
      <c r="T648" s="15"/>
      <c r="U648" s="6"/>
      <c r="V648" s="15"/>
      <c r="W648" s="4" t="s">
        <v>47</v>
      </c>
      <c r="X648" s="4" t="s">
        <v>47</v>
      </c>
      <c r="Y648" s="4" t="s">
        <v>2642</v>
      </c>
      <c r="Z648" s="4" t="s">
        <v>910</v>
      </c>
      <c r="AA648" s="6" t="n">
        <v>0</v>
      </c>
      <c r="AB648" s="6" t="n">
        <v>7339.98</v>
      </c>
      <c r="AC648" s="6" t="n">
        <v>3845.14</v>
      </c>
      <c r="AD648" s="14" t="b">
        <f aca="false">TRUE()</f>
        <v>1</v>
      </c>
    </row>
    <row r="649" customFormat="false" ht="15" hidden="false" customHeight="false" outlineLevel="0" collapsed="false">
      <c r="A649" s="14" t="b">
        <f aca="false">TRUE()</f>
        <v>1</v>
      </c>
      <c r="B649" s="14" t="b">
        <f aca="false">FALSE()</f>
        <v>0</v>
      </c>
      <c r="C649" s="4" t="n">
        <v>2</v>
      </c>
      <c r="D649" s="4"/>
      <c r="E649" s="4"/>
      <c r="F649" s="4"/>
      <c r="G649" s="4"/>
      <c r="H649" s="14" t="b">
        <f aca="false">FALSE()</f>
        <v>0</v>
      </c>
      <c r="I649" s="14" t="b">
        <f aca="false">FALSE()</f>
        <v>0</v>
      </c>
      <c r="J649" s="4"/>
      <c r="K649" s="4" t="s">
        <v>2643</v>
      </c>
      <c r="L649" s="4" t="s">
        <v>2644</v>
      </c>
      <c r="M649" s="4" t="s">
        <v>2645</v>
      </c>
      <c r="N649" s="6" t="n">
        <v>31534</v>
      </c>
      <c r="O649" s="6" t="n">
        <v>177544</v>
      </c>
      <c r="P649" s="4" t="s">
        <v>46</v>
      </c>
      <c r="Q649" s="6" t="n">
        <v>215000</v>
      </c>
      <c r="R649" s="15" t="n">
        <v>45807</v>
      </c>
      <c r="S649" s="6"/>
      <c r="T649" s="15"/>
      <c r="U649" s="6"/>
      <c r="V649" s="15"/>
      <c r="W649" s="4" t="s">
        <v>47</v>
      </c>
      <c r="X649" s="4" t="s">
        <v>47</v>
      </c>
      <c r="Y649" s="4" t="s">
        <v>2646</v>
      </c>
      <c r="Z649" s="4" t="s">
        <v>910</v>
      </c>
      <c r="AA649" s="6" t="n">
        <v>0</v>
      </c>
      <c r="AB649" s="6" t="n">
        <v>14923.82</v>
      </c>
      <c r="AC649" s="6" t="n">
        <v>7807.7</v>
      </c>
      <c r="AD649" s="14" t="b">
        <f aca="false">TRUE()</f>
        <v>1</v>
      </c>
    </row>
    <row r="650" customFormat="false" ht="15" hidden="false" customHeight="false" outlineLevel="0" collapsed="false">
      <c r="A650" s="14" t="b">
        <f aca="false">TRUE()</f>
        <v>1</v>
      </c>
      <c r="B650" s="14" t="b">
        <f aca="false">FALSE()</f>
        <v>0</v>
      </c>
      <c r="C650" s="4" t="n">
        <v>3</v>
      </c>
      <c r="D650" s="4"/>
      <c r="E650" s="4"/>
      <c r="F650" s="4"/>
      <c r="G650" s="4"/>
      <c r="H650" s="14" t="b">
        <f aca="false">TRUE()</f>
        <v>1</v>
      </c>
      <c r="I650" s="14" t="b">
        <f aca="false">FALSE()</f>
        <v>0</v>
      </c>
      <c r="J650" s="4"/>
      <c r="K650" s="4" t="s">
        <v>2647</v>
      </c>
      <c r="L650" s="4" t="s">
        <v>2648</v>
      </c>
      <c r="M650" s="4" t="s">
        <v>2649</v>
      </c>
      <c r="N650" s="6" t="n">
        <v>25186</v>
      </c>
      <c r="O650" s="6" t="n">
        <v>82695</v>
      </c>
      <c r="P650" s="4" t="s">
        <v>46</v>
      </c>
      <c r="Q650" s="6" t="n">
        <v>170500</v>
      </c>
      <c r="R650" s="15" t="n">
        <v>34752</v>
      </c>
      <c r="S650" s="6" t="n">
        <v>50000</v>
      </c>
      <c r="T650" s="15" t="n">
        <v>38771</v>
      </c>
      <c r="U650" s="6"/>
      <c r="V650" s="15"/>
      <c r="W650" s="4" t="s">
        <v>47</v>
      </c>
      <c r="X650" s="4" t="s">
        <v>58</v>
      </c>
      <c r="Y650" s="4" t="s">
        <v>2650</v>
      </c>
      <c r="Z650" s="4" t="s">
        <v>910</v>
      </c>
      <c r="AA650" s="6" t="n">
        <v>0</v>
      </c>
      <c r="AB650" s="6" t="n">
        <v>7413.08</v>
      </c>
      <c r="AC650" s="6" t="n">
        <v>7923.46</v>
      </c>
      <c r="AD650" s="14" t="b">
        <f aca="false">FALSE()</f>
        <v>0</v>
      </c>
    </row>
    <row r="651" customFormat="false" ht="15" hidden="false" customHeight="false" outlineLevel="0" collapsed="false">
      <c r="A651" s="14" t="b">
        <f aca="false">TRUE()</f>
        <v>1</v>
      </c>
      <c r="B651" s="14" t="b">
        <f aca="false">FALSE()</f>
        <v>0</v>
      </c>
      <c r="C651" s="4" t="n">
        <v>3</v>
      </c>
      <c r="D651" s="4"/>
      <c r="E651" s="4"/>
      <c r="F651" s="4"/>
      <c r="G651" s="4"/>
      <c r="H651" s="14" t="b">
        <f aca="false">FALSE()</f>
        <v>0</v>
      </c>
      <c r="I651" s="14" t="b">
        <f aca="false">FALSE()</f>
        <v>0</v>
      </c>
      <c r="J651" s="4"/>
      <c r="K651" s="4" t="s">
        <v>2651</v>
      </c>
      <c r="L651" s="4" t="s">
        <v>2652</v>
      </c>
      <c r="M651" s="4" t="s">
        <v>2653</v>
      </c>
      <c r="N651" s="6" t="n">
        <v>14837</v>
      </c>
      <c r="O651" s="6" t="n">
        <v>173738</v>
      </c>
      <c r="P651" s="4" t="s">
        <v>46</v>
      </c>
      <c r="Q651" s="6" t="n">
        <v>495000</v>
      </c>
      <c r="R651" s="15" t="n">
        <v>39414</v>
      </c>
      <c r="S651" s="6"/>
      <c r="T651" s="15"/>
      <c r="U651" s="6"/>
      <c r="V651" s="15"/>
      <c r="W651" s="4" t="s">
        <v>58</v>
      </c>
      <c r="X651" s="4" t="s">
        <v>47</v>
      </c>
      <c r="Y651" s="4" t="s">
        <v>2654</v>
      </c>
      <c r="Z651" s="4" t="s">
        <v>910</v>
      </c>
      <c r="AA651" s="6" t="n">
        <v>0</v>
      </c>
      <c r="AB651" s="6" t="n">
        <v>13402.1</v>
      </c>
      <c r="AC651" s="6" t="n">
        <v>14316.74</v>
      </c>
      <c r="AD651" s="14" t="b">
        <f aca="false">FALSE()</f>
        <v>0</v>
      </c>
    </row>
    <row r="652" customFormat="false" ht="15" hidden="false" customHeight="false" outlineLevel="0" collapsed="false">
      <c r="A652" s="14" t="b">
        <f aca="false">TRUE()</f>
        <v>1</v>
      </c>
      <c r="B652" s="14" t="b">
        <f aca="false">FALSE()</f>
        <v>0</v>
      </c>
      <c r="C652" s="4" t="n">
        <v>2</v>
      </c>
      <c r="D652" s="4"/>
      <c r="E652" s="4"/>
      <c r="F652" s="4"/>
      <c r="G652" s="4"/>
      <c r="H652" s="14" t="b">
        <f aca="false">FALSE()</f>
        <v>0</v>
      </c>
      <c r="I652" s="14" t="b">
        <f aca="false">FALSE()</f>
        <v>0</v>
      </c>
      <c r="J652" s="4"/>
      <c r="K652" s="4" t="s">
        <v>2655</v>
      </c>
      <c r="L652" s="4" t="s">
        <v>2656</v>
      </c>
      <c r="M652" s="4" t="s">
        <v>2657</v>
      </c>
      <c r="N652" s="6" t="n">
        <v>13983</v>
      </c>
      <c r="O652" s="6" t="n">
        <v>55270</v>
      </c>
      <c r="P652" s="4" t="s">
        <v>46</v>
      </c>
      <c r="Q652" s="6"/>
      <c r="R652" s="15"/>
      <c r="S652" s="6"/>
      <c r="T652" s="15"/>
      <c r="U652" s="6"/>
      <c r="V652" s="15"/>
      <c r="W652" s="4" t="s">
        <v>47</v>
      </c>
      <c r="X652" s="4" t="s">
        <v>58</v>
      </c>
      <c r="Y652" s="4" t="s">
        <v>2658</v>
      </c>
      <c r="Z652" s="4" t="s">
        <v>910</v>
      </c>
      <c r="AA652" s="6" t="n">
        <v>0</v>
      </c>
      <c r="AB652" s="6" t="n">
        <v>5139.88</v>
      </c>
      <c r="AC652" s="6" t="n">
        <v>5496.82</v>
      </c>
      <c r="AD652" s="14" t="b">
        <f aca="false">FALSE()</f>
        <v>0</v>
      </c>
    </row>
    <row r="653" customFormat="false" ht="15" hidden="false" customHeight="false" outlineLevel="0" collapsed="false">
      <c r="A653" s="14" t="b">
        <f aca="false">TRUE()</f>
        <v>1</v>
      </c>
      <c r="B653" s="14" t="b">
        <f aca="false">FALSE()</f>
        <v>0</v>
      </c>
      <c r="C653" s="4" t="n">
        <v>2</v>
      </c>
      <c r="D653" s="4"/>
      <c r="E653" s="4"/>
      <c r="F653" s="4"/>
      <c r="G653" s="4" t="n">
        <v>2</v>
      </c>
      <c r="H653" s="14" t="b">
        <f aca="false">FALSE()</f>
        <v>0</v>
      </c>
      <c r="I653" s="14" t="b">
        <f aca="false">FALSE()</f>
        <v>0</v>
      </c>
      <c r="J653" s="4"/>
      <c r="K653" s="4" t="s">
        <v>2659</v>
      </c>
      <c r="L653" s="4" t="s">
        <v>2660</v>
      </c>
      <c r="M653" s="4" t="s">
        <v>2661</v>
      </c>
      <c r="N653" s="6" t="n">
        <v>6597</v>
      </c>
      <c r="O653" s="6" t="n">
        <v>59315</v>
      </c>
      <c r="P653" s="4" t="s">
        <v>46</v>
      </c>
      <c r="Q653" s="6"/>
      <c r="R653" s="15"/>
      <c r="S653" s="6"/>
      <c r="T653" s="15"/>
      <c r="U653" s="6"/>
      <c r="V653" s="15"/>
      <c r="W653" s="4" t="s">
        <v>58</v>
      </c>
      <c r="X653" s="4" t="s">
        <v>47</v>
      </c>
      <c r="Y653" s="4" t="s">
        <v>2662</v>
      </c>
      <c r="Z653" s="4" t="s">
        <v>2181</v>
      </c>
      <c r="AA653" s="6" t="n">
        <v>0</v>
      </c>
      <c r="AB653" s="6" t="n">
        <v>3689.94</v>
      </c>
      <c r="AC653" s="6" t="n">
        <v>3949.01</v>
      </c>
      <c r="AD653" s="14" t="b">
        <f aca="false">FALSE()</f>
        <v>0</v>
      </c>
    </row>
    <row r="654" customFormat="false" ht="15" hidden="false" customHeight="false" outlineLevel="0" collapsed="false">
      <c r="A654" s="14" t="b">
        <f aca="false">TRUE()</f>
        <v>1</v>
      </c>
      <c r="B654" s="14" t="b">
        <f aca="false">FALSE()</f>
        <v>0</v>
      </c>
      <c r="C654" s="4" t="n">
        <v>3</v>
      </c>
      <c r="D654" s="4"/>
      <c r="E654" s="4"/>
      <c r="F654" s="4"/>
      <c r="G654" s="4" t="n">
        <v>2</v>
      </c>
      <c r="H654" s="14" t="b">
        <f aca="false">FALSE()</f>
        <v>0</v>
      </c>
      <c r="I654" s="14" t="b">
        <f aca="false">FALSE()</f>
        <v>0</v>
      </c>
      <c r="J654" s="4"/>
      <c r="K654" s="4" t="s">
        <v>2663</v>
      </c>
      <c r="L654" s="4" t="s">
        <v>2664</v>
      </c>
      <c r="M654" s="4" t="s">
        <v>2665</v>
      </c>
      <c r="N654" s="6" t="n">
        <v>6597</v>
      </c>
      <c r="O654" s="6" t="n">
        <v>59315</v>
      </c>
      <c r="P654" s="4" t="s">
        <v>46</v>
      </c>
      <c r="Q654" s="6" t="n">
        <v>193500</v>
      </c>
      <c r="R654" s="15" t="n">
        <v>39674</v>
      </c>
      <c r="S654" s="6" t="n">
        <v>36765</v>
      </c>
      <c r="T654" s="15" t="n">
        <v>39674</v>
      </c>
      <c r="U654" s="6" t="n">
        <v>20000</v>
      </c>
      <c r="V654" s="15" t="n">
        <v>39674</v>
      </c>
      <c r="W654" s="4" t="s">
        <v>47</v>
      </c>
      <c r="X654" s="4" t="s">
        <v>58</v>
      </c>
      <c r="Y654" s="4" t="s">
        <v>2666</v>
      </c>
      <c r="Z654" s="4" t="s">
        <v>2181</v>
      </c>
      <c r="AA654" s="6" t="n">
        <v>0</v>
      </c>
      <c r="AB654" s="6" t="n">
        <v>4281.38</v>
      </c>
      <c r="AC654" s="6" t="n">
        <v>4580.37</v>
      </c>
      <c r="AD654" s="14" t="b">
        <f aca="false">FALSE()</f>
        <v>0</v>
      </c>
    </row>
    <row r="655" customFormat="false" ht="15" hidden="false" customHeight="false" outlineLevel="0" collapsed="false">
      <c r="A655" s="14" t="b">
        <f aca="false">TRUE()</f>
        <v>1</v>
      </c>
      <c r="B655" s="14" t="b">
        <f aca="false">FALSE()</f>
        <v>0</v>
      </c>
      <c r="C655" s="4" t="n">
        <v>3</v>
      </c>
      <c r="D655" s="4"/>
      <c r="E655" s="4"/>
      <c r="F655" s="4"/>
      <c r="G655" s="4"/>
      <c r="H655" s="14" t="b">
        <f aca="false">FALSE()</f>
        <v>0</v>
      </c>
      <c r="I655" s="14" t="b">
        <f aca="false">FALSE()</f>
        <v>0</v>
      </c>
      <c r="J655" s="4"/>
      <c r="K655" s="4" t="s">
        <v>2667</v>
      </c>
      <c r="L655" s="4" t="s">
        <v>2668</v>
      </c>
      <c r="M655" s="4" t="s">
        <v>2669</v>
      </c>
      <c r="N655" s="6" t="n">
        <v>6607</v>
      </c>
      <c r="O655" s="6" t="n">
        <v>59412</v>
      </c>
      <c r="P655" s="4" t="s">
        <v>46</v>
      </c>
      <c r="Q655" s="6" t="n">
        <v>70000</v>
      </c>
      <c r="R655" s="15" t="n">
        <v>40723</v>
      </c>
      <c r="S655" s="6" t="n">
        <v>95000</v>
      </c>
      <c r="T655" s="15" t="n">
        <v>42941</v>
      </c>
      <c r="U655" s="6"/>
      <c r="V655" s="15"/>
      <c r="W655" s="4" t="s">
        <v>47</v>
      </c>
      <c r="X655" s="4" t="s">
        <v>47</v>
      </c>
      <c r="Y655" s="4" t="s">
        <v>2670</v>
      </c>
      <c r="Z655" s="4" t="s">
        <v>2181</v>
      </c>
      <c r="AA655" s="6" t="n">
        <v>0</v>
      </c>
      <c r="AB655" s="6" t="n">
        <v>4289.3</v>
      </c>
      <c r="AC655" s="6" t="n">
        <v>4588.83</v>
      </c>
      <c r="AD655" s="14" t="b">
        <f aca="false">FALSE()</f>
        <v>0</v>
      </c>
    </row>
    <row r="656" customFormat="false" ht="15" hidden="false" customHeight="false" outlineLevel="0" collapsed="false">
      <c r="A656" s="14" t="b">
        <f aca="false">TRUE()</f>
        <v>1</v>
      </c>
      <c r="B656" s="14" t="b">
        <f aca="false">FALSE()</f>
        <v>0</v>
      </c>
      <c r="C656" s="4" t="n">
        <v>2</v>
      </c>
      <c r="D656" s="4"/>
      <c r="E656" s="4"/>
      <c r="F656" s="4"/>
      <c r="G656" s="4"/>
      <c r="H656" s="14" t="b">
        <f aca="false">FALSE()</f>
        <v>0</v>
      </c>
      <c r="I656" s="14" t="b">
        <f aca="false">FALSE()</f>
        <v>0</v>
      </c>
      <c r="J656" s="4"/>
      <c r="K656" s="4" t="s">
        <v>2671</v>
      </c>
      <c r="L656" s="4" t="s">
        <v>2672</v>
      </c>
      <c r="M656" s="4" t="s">
        <v>2673</v>
      </c>
      <c r="N656" s="6" t="n">
        <v>7137</v>
      </c>
      <c r="O656" s="6" t="n">
        <v>64224</v>
      </c>
      <c r="P656" s="4" t="s">
        <v>46</v>
      </c>
      <c r="Q656" s="6" t="n">
        <v>145000</v>
      </c>
      <c r="R656" s="15" t="n">
        <v>38036</v>
      </c>
      <c r="S656" s="6"/>
      <c r="T656" s="15"/>
      <c r="U656" s="6"/>
      <c r="V656" s="15"/>
      <c r="W656" s="4" t="s">
        <v>47</v>
      </c>
      <c r="X656" s="4" t="s">
        <v>58</v>
      </c>
      <c r="Y656" s="4" t="s">
        <v>2674</v>
      </c>
      <c r="Z656" s="4" t="s">
        <v>2181</v>
      </c>
      <c r="AA656" s="6" t="n">
        <v>0</v>
      </c>
      <c r="AB656" s="6" t="n">
        <v>4684.22</v>
      </c>
      <c r="AC656" s="6" t="n">
        <v>5010.4</v>
      </c>
      <c r="AD656" s="14" t="b">
        <f aca="false">FALSE()</f>
        <v>0</v>
      </c>
    </row>
    <row r="657" customFormat="false" ht="15" hidden="false" customHeight="false" outlineLevel="0" collapsed="false">
      <c r="A657" s="14" t="b">
        <f aca="false">TRUE()</f>
        <v>1</v>
      </c>
      <c r="B657" s="14" t="b">
        <f aca="false">FALSE()</f>
        <v>0</v>
      </c>
      <c r="C657" s="4" t="n">
        <v>2</v>
      </c>
      <c r="D657" s="4"/>
      <c r="E657" s="4"/>
      <c r="F657" s="4"/>
      <c r="G657" s="4"/>
      <c r="H657" s="14" t="b">
        <f aca="false">FALSE()</f>
        <v>0</v>
      </c>
      <c r="I657" s="14" t="b">
        <f aca="false">FALSE()</f>
        <v>0</v>
      </c>
      <c r="J657" s="4"/>
      <c r="K657" s="4" t="s">
        <v>2675</v>
      </c>
      <c r="L657" s="4" t="s">
        <v>2676</v>
      </c>
      <c r="M657" s="4" t="s">
        <v>2677</v>
      </c>
      <c r="N657" s="6" t="n">
        <v>5807</v>
      </c>
      <c r="O657" s="6" t="n">
        <v>52178</v>
      </c>
      <c r="P657" s="4" t="s">
        <v>46</v>
      </c>
      <c r="Q657" s="6" t="n">
        <v>127000</v>
      </c>
      <c r="R657" s="15" t="n">
        <v>44895</v>
      </c>
      <c r="S657" s="6"/>
      <c r="T657" s="15"/>
      <c r="U657" s="6"/>
      <c r="V657" s="15"/>
      <c r="W657" s="4" t="s">
        <v>47</v>
      </c>
      <c r="X657" s="4" t="s">
        <v>47</v>
      </c>
      <c r="Y657" s="4" t="s">
        <v>2678</v>
      </c>
      <c r="Z657" s="4" t="s">
        <v>2181</v>
      </c>
      <c r="AA657" s="6" t="n">
        <v>0</v>
      </c>
      <c r="AB657" s="6" t="n">
        <v>3695.34</v>
      </c>
      <c r="AC657" s="6" t="n">
        <v>1940.82</v>
      </c>
      <c r="AD657" s="14" t="b">
        <f aca="false">TRUE()</f>
        <v>1</v>
      </c>
    </row>
    <row r="658" customFormat="false" ht="15" hidden="false" customHeight="false" outlineLevel="0" collapsed="false">
      <c r="A658" s="14" t="b">
        <f aca="false">TRUE()</f>
        <v>1</v>
      </c>
      <c r="B658" s="14" t="b">
        <f aca="false">FALSE()</f>
        <v>0</v>
      </c>
      <c r="C658" s="4" t="n">
        <v>2</v>
      </c>
      <c r="D658" s="4"/>
      <c r="E658" s="4"/>
      <c r="F658" s="4"/>
      <c r="G658" s="4"/>
      <c r="H658" s="14" t="b">
        <f aca="false">FALSE()</f>
        <v>0</v>
      </c>
      <c r="I658" s="14" t="b">
        <f aca="false">FALSE()</f>
        <v>0</v>
      </c>
      <c r="J658" s="4"/>
      <c r="K658" s="4" t="s">
        <v>2679</v>
      </c>
      <c r="L658" s="4" t="s">
        <v>2680</v>
      </c>
      <c r="M658" s="4" t="s">
        <v>2681</v>
      </c>
      <c r="N658" s="6" t="n">
        <v>5807</v>
      </c>
      <c r="O658" s="6" t="n">
        <v>52178</v>
      </c>
      <c r="P658" s="4" t="s">
        <v>46</v>
      </c>
      <c r="Q658" s="6" t="n">
        <v>90000</v>
      </c>
      <c r="R658" s="15" t="n">
        <v>43502</v>
      </c>
      <c r="S658" s="6"/>
      <c r="T658" s="15"/>
      <c r="U658" s="6"/>
      <c r="V658" s="15"/>
      <c r="W658" s="4" t="s">
        <v>47</v>
      </c>
      <c r="X658" s="4" t="s">
        <v>47</v>
      </c>
      <c r="Y658" s="4" t="s">
        <v>2682</v>
      </c>
      <c r="Z658" s="4" t="s">
        <v>2181</v>
      </c>
      <c r="AA658" s="6" t="n">
        <v>0</v>
      </c>
      <c r="AB658" s="6" t="n">
        <v>3695.34</v>
      </c>
      <c r="AC658" s="6" t="n">
        <v>3954.78</v>
      </c>
      <c r="AD658" s="14" t="b">
        <f aca="false">FALSE()</f>
        <v>0</v>
      </c>
    </row>
    <row r="659" customFormat="false" ht="15" hidden="false" customHeight="false" outlineLevel="0" collapsed="false">
      <c r="A659" s="14" t="b">
        <f aca="false">TRUE()</f>
        <v>1</v>
      </c>
      <c r="B659" s="14" t="b">
        <f aca="false">FALSE()</f>
        <v>0</v>
      </c>
      <c r="C659" s="4" t="n">
        <v>2</v>
      </c>
      <c r="D659" s="4"/>
      <c r="E659" s="4"/>
      <c r="F659" s="4"/>
      <c r="G659" s="4"/>
      <c r="H659" s="14" t="b">
        <f aca="false">FALSE()</f>
        <v>0</v>
      </c>
      <c r="I659" s="14" t="b">
        <f aca="false">FALSE()</f>
        <v>0</v>
      </c>
      <c r="J659" s="4"/>
      <c r="K659" s="4" t="s">
        <v>2683</v>
      </c>
      <c r="L659" s="4" t="s">
        <v>2684</v>
      </c>
      <c r="M659" s="4" t="s">
        <v>2685</v>
      </c>
      <c r="N659" s="6" t="n">
        <v>6607</v>
      </c>
      <c r="O659" s="6" t="n">
        <v>59412</v>
      </c>
      <c r="P659" s="4" t="s">
        <v>46</v>
      </c>
      <c r="Q659" s="6" t="n">
        <v>110000</v>
      </c>
      <c r="R659" s="15" t="n">
        <v>45804</v>
      </c>
      <c r="S659" s="6" t="n">
        <v>160000</v>
      </c>
      <c r="T659" s="15" t="n">
        <v>45804</v>
      </c>
      <c r="U659" s="6"/>
      <c r="V659" s="15"/>
      <c r="W659" s="4" t="s">
        <v>47</v>
      </c>
      <c r="X659" s="4" t="s">
        <v>47</v>
      </c>
      <c r="Y659" s="4" t="s">
        <v>2686</v>
      </c>
      <c r="Z659" s="4" t="s">
        <v>2181</v>
      </c>
      <c r="AA659" s="6" t="n">
        <v>0</v>
      </c>
      <c r="AB659" s="6" t="n">
        <v>4289.3</v>
      </c>
      <c r="AC659" s="6" t="n">
        <v>2251.16</v>
      </c>
      <c r="AD659" s="14" t="b">
        <f aca="false">TRUE()</f>
        <v>1</v>
      </c>
    </row>
    <row r="660" customFormat="false" ht="15" hidden="false" customHeight="false" outlineLevel="0" collapsed="false">
      <c r="A660" s="14" t="b">
        <f aca="false">TRUE()</f>
        <v>1</v>
      </c>
      <c r="B660" s="14" t="b">
        <f aca="false">FALSE()</f>
        <v>0</v>
      </c>
      <c r="C660" s="4" t="n">
        <v>2</v>
      </c>
      <c r="D660" s="4"/>
      <c r="E660" s="4"/>
      <c r="F660" s="4"/>
      <c r="G660" s="4"/>
      <c r="H660" s="14" t="b">
        <f aca="false">FALSE()</f>
        <v>0</v>
      </c>
      <c r="I660" s="14" t="b">
        <f aca="false">FALSE()</f>
        <v>0</v>
      </c>
      <c r="J660" s="4"/>
      <c r="K660" s="4" t="s">
        <v>2687</v>
      </c>
      <c r="L660" s="4" t="s">
        <v>2688</v>
      </c>
      <c r="M660" s="4" t="s">
        <v>2689</v>
      </c>
      <c r="N660" s="6" t="n">
        <v>53692</v>
      </c>
      <c r="O660" s="6" t="n">
        <v>77136</v>
      </c>
      <c r="P660" s="4" t="s">
        <v>46</v>
      </c>
      <c r="Q660" s="6" t="n">
        <v>340000</v>
      </c>
      <c r="R660" s="15" t="n">
        <v>38278</v>
      </c>
      <c r="S660" s="6" t="n">
        <v>264000</v>
      </c>
      <c r="T660" s="15" t="n">
        <v>38579</v>
      </c>
      <c r="U660" s="6"/>
      <c r="V660" s="15"/>
      <c r="W660" s="4" t="s">
        <v>58</v>
      </c>
      <c r="X660" s="4" t="s">
        <v>58</v>
      </c>
      <c r="Y660" s="4" t="s">
        <v>2690</v>
      </c>
      <c r="Z660" s="4" t="s">
        <v>910</v>
      </c>
      <c r="AA660" s="6" t="n">
        <v>0</v>
      </c>
      <c r="AB660" s="6" t="n">
        <v>9709.92</v>
      </c>
      <c r="AC660" s="6" t="n">
        <v>5083.43</v>
      </c>
      <c r="AD660" s="14" t="b">
        <f aca="false">TRUE()</f>
        <v>1</v>
      </c>
    </row>
    <row r="661" customFormat="false" ht="15" hidden="false" customHeight="false" outlineLevel="0" collapsed="false">
      <c r="A661" s="14" t="b">
        <f aca="false">TRUE()</f>
        <v>1</v>
      </c>
      <c r="B661" s="14" t="b">
        <f aca="false">FALSE()</f>
        <v>0</v>
      </c>
      <c r="C661" s="4" t="n">
        <v>2</v>
      </c>
      <c r="D661" s="4"/>
      <c r="E661" s="4"/>
      <c r="F661" s="4"/>
      <c r="G661" s="4"/>
      <c r="H661" s="14" t="b">
        <f aca="false">FALSE()</f>
        <v>0</v>
      </c>
      <c r="I661" s="14" t="b">
        <f aca="false">FALSE()</f>
        <v>0</v>
      </c>
      <c r="J661" s="4"/>
      <c r="K661" s="4" t="s">
        <v>2691</v>
      </c>
      <c r="L661" s="4" t="s">
        <v>2692</v>
      </c>
      <c r="M661" s="4" t="s">
        <v>2693</v>
      </c>
      <c r="N661" s="6" t="n">
        <v>6597</v>
      </c>
      <c r="O661" s="6" t="n">
        <v>59315</v>
      </c>
      <c r="P661" s="4" t="s">
        <v>46</v>
      </c>
      <c r="Q661" s="6" t="n">
        <v>128000</v>
      </c>
      <c r="R661" s="15" t="n">
        <v>44172</v>
      </c>
      <c r="S661" s="6"/>
      <c r="T661" s="15"/>
      <c r="U661" s="6"/>
      <c r="V661" s="15"/>
      <c r="W661" s="4" t="s">
        <v>47</v>
      </c>
      <c r="X661" s="4" t="s">
        <v>58</v>
      </c>
      <c r="Y661" s="4" t="s">
        <v>2694</v>
      </c>
      <c r="Z661" s="4" t="s">
        <v>2181</v>
      </c>
      <c r="AA661" s="6" t="n">
        <v>0</v>
      </c>
      <c r="AB661" s="6" t="n">
        <v>3254.26</v>
      </c>
      <c r="AC661" s="6" t="n">
        <v>1710.35</v>
      </c>
      <c r="AD661" s="14" t="b">
        <f aca="false">TRUE()</f>
        <v>1</v>
      </c>
    </row>
    <row r="662" customFormat="false" ht="15" hidden="false" customHeight="false" outlineLevel="0" collapsed="false">
      <c r="A662" s="14" t="b">
        <f aca="false">TRUE()</f>
        <v>1</v>
      </c>
      <c r="B662" s="14" t="b">
        <f aca="false">FALSE()</f>
        <v>0</v>
      </c>
      <c r="C662" s="4" t="n">
        <v>2</v>
      </c>
      <c r="D662" s="4"/>
      <c r="E662" s="4"/>
      <c r="F662" s="4"/>
      <c r="G662" s="4"/>
      <c r="H662" s="14" t="b">
        <f aca="false">FALSE()</f>
        <v>0</v>
      </c>
      <c r="I662" s="14" t="b">
        <f aca="false">FALSE()</f>
        <v>0</v>
      </c>
      <c r="J662" s="4"/>
      <c r="K662" s="4" t="s">
        <v>2695</v>
      </c>
      <c r="L662" s="4" t="s">
        <v>2696</v>
      </c>
      <c r="M662" s="4" t="s">
        <v>2697</v>
      </c>
      <c r="N662" s="6" t="n">
        <v>5602</v>
      </c>
      <c r="O662" s="6" t="n">
        <v>50415</v>
      </c>
      <c r="P662" s="4" t="s">
        <v>46</v>
      </c>
      <c r="Q662" s="6" t="n">
        <v>158000</v>
      </c>
      <c r="R662" s="15" t="n">
        <v>38394</v>
      </c>
      <c r="S662" s="6"/>
      <c r="T662" s="15"/>
      <c r="U662" s="6"/>
      <c r="V662" s="15"/>
      <c r="W662" s="4" t="s">
        <v>47</v>
      </c>
      <c r="X662" s="4" t="s">
        <v>47</v>
      </c>
      <c r="Y662" s="4" t="s">
        <v>2698</v>
      </c>
      <c r="Z662" s="4" t="s">
        <v>2181</v>
      </c>
      <c r="AA662" s="6" t="n">
        <v>0</v>
      </c>
      <c r="AB662" s="6" t="n">
        <v>3147.76</v>
      </c>
      <c r="AC662" s="6" t="n">
        <v>3370.23</v>
      </c>
      <c r="AD662" s="14" t="b">
        <f aca="false">FALSE()</f>
        <v>0</v>
      </c>
    </row>
    <row r="663" customFormat="false" ht="15" hidden="false" customHeight="false" outlineLevel="0" collapsed="false">
      <c r="A663" s="14" t="b">
        <f aca="false">TRUE()</f>
        <v>1</v>
      </c>
      <c r="B663" s="14" t="b">
        <f aca="false">FALSE()</f>
        <v>0</v>
      </c>
      <c r="C663" s="4" t="n">
        <v>2</v>
      </c>
      <c r="D663" s="4"/>
      <c r="E663" s="4"/>
      <c r="F663" s="4"/>
      <c r="G663" s="4"/>
      <c r="H663" s="14" t="b">
        <f aca="false">FALSE()</f>
        <v>0</v>
      </c>
      <c r="I663" s="14" t="b">
        <f aca="false">FALSE()</f>
        <v>0</v>
      </c>
      <c r="J663" s="4"/>
      <c r="K663" s="4" t="s">
        <v>2699</v>
      </c>
      <c r="L663" s="4" t="s">
        <v>2700</v>
      </c>
      <c r="M663" s="4" t="s">
        <v>2701</v>
      </c>
      <c r="N663" s="6" t="n">
        <v>7548</v>
      </c>
      <c r="O663" s="6" t="n">
        <v>67934</v>
      </c>
      <c r="P663" s="4" t="s">
        <v>46</v>
      </c>
      <c r="Q663" s="6"/>
      <c r="R663" s="15"/>
      <c r="S663" s="6"/>
      <c r="T663" s="15"/>
      <c r="U663" s="6"/>
      <c r="V663" s="15"/>
      <c r="W663" s="4" t="s">
        <v>47</v>
      </c>
      <c r="X663" s="4" t="s">
        <v>47</v>
      </c>
      <c r="Y663" s="4" t="s">
        <v>2702</v>
      </c>
      <c r="Z663" s="4" t="s">
        <v>2181</v>
      </c>
      <c r="AA663" s="6" t="n">
        <v>0</v>
      </c>
      <c r="AB663" s="6" t="n">
        <v>3342.48</v>
      </c>
      <c r="AC663" s="6" t="n">
        <v>1756.45</v>
      </c>
      <c r="AD663" s="14" t="b">
        <f aca="false">TRUE()</f>
        <v>1</v>
      </c>
    </row>
    <row r="664" customFormat="false" ht="15" hidden="false" customHeight="false" outlineLevel="0" collapsed="false">
      <c r="A664" s="14" t="b">
        <f aca="false">TRUE()</f>
        <v>1</v>
      </c>
      <c r="B664" s="14" t="b">
        <f aca="false">FALSE()</f>
        <v>0</v>
      </c>
      <c r="C664" s="4" t="n">
        <v>3</v>
      </c>
      <c r="D664" s="4"/>
      <c r="E664" s="4"/>
      <c r="F664" s="4"/>
      <c r="G664" s="4"/>
      <c r="H664" s="14" t="b">
        <f aca="false">FALSE()</f>
        <v>0</v>
      </c>
      <c r="I664" s="14" t="b">
        <f aca="false">FALSE()</f>
        <v>0</v>
      </c>
      <c r="J664" s="4"/>
      <c r="K664" s="4" t="s">
        <v>2703</v>
      </c>
      <c r="L664" s="4" t="s">
        <v>2704</v>
      </c>
      <c r="M664" s="4" t="s">
        <v>2705</v>
      </c>
      <c r="N664" s="6" t="n">
        <v>35578</v>
      </c>
      <c r="O664" s="6" t="n">
        <v>53237</v>
      </c>
      <c r="P664" s="4" t="s">
        <v>46</v>
      </c>
      <c r="Q664" s="6" t="n">
        <v>115000</v>
      </c>
      <c r="R664" s="15" t="n">
        <v>42012</v>
      </c>
      <c r="S664" s="6" t="n">
        <v>25000</v>
      </c>
      <c r="T664" s="15" t="n">
        <v>45736</v>
      </c>
      <c r="U664" s="6"/>
      <c r="V664" s="15"/>
      <c r="W664" s="4" t="s">
        <v>47</v>
      </c>
      <c r="X664" s="4" t="s">
        <v>58</v>
      </c>
      <c r="Y664" s="4" t="s">
        <v>2706</v>
      </c>
      <c r="Z664" s="4" t="s">
        <v>2181</v>
      </c>
      <c r="AA664" s="6" t="n">
        <v>0</v>
      </c>
      <c r="AB664" s="6" t="n">
        <v>4164.4</v>
      </c>
      <c r="AC664" s="6" t="n">
        <v>4455.5</v>
      </c>
      <c r="AD664" s="14" t="b">
        <f aca="false">FALSE()</f>
        <v>0</v>
      </c>
    </row>
    <row r="665" customFormat="false" ht="15" hidden="false" customHeight="false" outlineLevel="0" collapsed="false">
      <c r="A665" s="14" t="b">
        <f aca="false">TRUE()</f>
        <v>1</v>
      </c>
      <c r="B665" s="14" t="b">
        <f aca="false">FALSE()</f>
        <v>0</v>
      </c>
      <c r="C665" s="4" t="n">
        <v>3</v>
      </c>
      <c r="D665" s="4"/>
      <c r="E665" s="4"/>
      <c r="F665" s="4"/>
      <c r="G665" s="4"/>
      <c r="H665" s="14" t="b">
        <f aca="false">FALSE()</f>
        <v>0</v>
      </c>
      <c r="I665" s="14" t="b">
        <f aca="false">FALSE()</f>
        <v>0</v>
      </c>
      <c r="J665" s="4"/>
      <c r="K665" s="4" t="s">
        <v>2707</v>
      </c>
      <c r="L665" s="4" t="s">
        <v>2708</v>
      </c>
      <c r="M665" s="4" t="s">
        <v>2709</v>
      </c>
      <c r="N665" s="6" t="n">
        <v>35578</v>
      </c>
      <c r="O665" s="6" t="n">
        <v>61488</v>
      </c>
      <c r="P665" s="4" t="s">
        <v>46</v>
      </c>
      <c r="Q665" s="6"/>
      <c r="R665" s="15"/>
      <c r="S665" s="6" t="n">
        <v>337500</v>
      </c>
      <c r="T665" s="15" t="n">
        <v>38203</v>
      </c>
      <c r="U665" s="6"/>
      <c r="V665" s="15"/>
      <c r="W665" s="4" t="s">
        <v>47</v>
      </c>
      <c r="X665" s="4" t="s">
        <v>58</v>
      </c>
      <c r="Y665" s="4" t="s">
        <v>2710</v>
      </c>
      <c r="Z665" s="4" t="s">
        <v>2181</v>
      </c>
      <c r="AA665" s="6" t="n">
        <v>0</v>
      </c>
      <c r="AB665" s="6" t="n">
        <v>4589.58</v>
      </c>
      <c r="AC665" s="6" t="n">
        <v>4909.38</v>
      </c>
      <c r="AD665" s="14" t="b">
        <f aca="false">FALSE()</f>
        <v>0</v>
      </c>
    </row>
    <row r="666" customFormat="false" ht="15" hidden="false" customHeight="false" outlineLevel="0" collapsed="false">
      <c r="A666" s="14" t="b">
        <f aca="false">TRUE()</f>
        <v>1</v>
      </c>
      <c r="B666" s="14" t="b">
        <f aca="false">FALSE()</f>
        <v>0</v>
      </c>
      <c r="C666" s="4" t="n">
        <v>2</v>
      </c>
      <c r="D666" s="4"/>
      <c r="E666" s="4"/>
      <c r="F666" s="4"/>
      <c r="G666" s="4" t="n">
        <v>2</v>
      </c>
      <c r="H666" s="14" t="b">
        <f aca="false">TRUE()</f>
        <v>1</v>
      </c>
      <c r="I666" s="14" t="b">
        <f aca="false">FALSE()</f>
        <v>0</v>
      </c>
      <c r="J666" s="4"/>
      <c r="K666" s="4" t="s">
        <v>2711</v>
      </c>
      <c r="L666" s="4" t="s">
        <v>2712</v>
      </c>
      <c r="M666" s="4" t="s">
        <v>2713</v>
      </c>
      <c r="N666" s="6" t="n">
        <v>42694</v>
      </c>
      <c r="O666" s="6" t="n">
        <v>117483</v>
      </c>
      <c r="P666" s="4" t="s">
        <v>46</v>
      </c>
      <c r="Q666" s="6" t="n">
        <v>325000</v>
      </c>
      <c r="R666" s="15" t="n">
        <v>41668</v>
      </c>
      <c r="S666" s="6"/>
      <c r="T666" s="15"/>
      <c r="U666" s="6"/>
      <c r="V666" s="15"/>
      <c r="W666" s="4" t="s">
        <v>47</v>
      </c>
      <c r="X666" s="4" t="s">
        <v>58</v>
      </c>
      <c r="Y666" s="4" t="s">
        <v>2714</v>
      </c>
      <c r="Z666" s="4" t="s">
        <v>2715</v>
      </c>
      <c r="AA666" s="6" t="n">
        <v>0</v>
      </c>
      <c r="AB666" s="6" t="n">
        <v>9028.22</v>
      </c>
      <c r="AC666" s="6" t="n">
        <v>9647.62</v>
      </c>
      <c r="AD666" s="14" t="b">
        <f aca="false">FALSE()</f>
        <v>0</v>
      </c>
    </row>
    <row r="667" customFormat="false" ht="15" hidden="false" customHeight="false" outlineLevel="0" collapsed="false">
      <c r="A667" s="14" t="b">
        <f aca="false">TRUE()</f>
        <v>1</v>
      </c>
      <c r="B667" s="14" t="b">
        <f aca="false">FALSE()</f>
        <v>0</v>
      </c>
      <c r="C667" s="4" t="n">
        <v>2</v>
      </c>
      <c r="D667" s="4"/>
      <c r="E667" s="4"/>
      <c r="F667" s="4"/>
      <c r="G667" s="4"/>
      <c r="H667" s="14" t="b">
        <f aca="false">FALSE()</f>
        <v>0</v>
      </c>
      <c r="I667" s="14" t="b">
        <f aca="false">FALSE()</f>
        <v>0</v>
      </c>
      <c r="J667" s="4"/>
      <c r="K667" s="4" t="s">
        <v>2716</v>
      </c>
      <c r="L667" s="4" t="s">
        <v>2717</v>
      </c>
      <c r="M667" s="4" t="s">
        <v>2718</v>
      </c>
      <c r="N667" s="6" t="n">
        <v>34053</v>
      </c>
      <c r="O667" s="6" t="n">
        <v>69837</v>
      </c>
      <c r="P667" s="4" t="s">
        <v>46</v>
      </c>
      <c r="Q667" s="6"/>
      <c r="R667" s="15" t="n">
        <v>36524</v>
      </c>
      <c r="S667" s="6"/>
      <c r="T667" s="15"/>
      <c r="U667" s="6"/>
      <c r="V667" s="15"/>
      <c r="W667" s="4" t="s">
        <v>47</v>
      </c>
      <c r="X667" s="4" t="s">
        <v>58</v>
      </c>
      <c r="Y667" s="4" t="s">
        <v>2719</v>
      </c>
      <c r="Z667" s="4" t="s">
        <v>2715</v>
      </c>
      <c r="AA667" s="6" t="n">
        <v>0</v>
      </c>
      <c r="AB667" s="6" t="n">
        <v>6163.48</v>
      </c>
      <c r="AC667" s="6" t="n">
        <v>6589.52</v>
      </c>
      <c r="AD667" s="14" t="b">
        <f aca="false">FALSE()</f>
        <v>0</v>
      </c>
    </row>
    <row r="668" customFormat="false" ht="15" hidden="false" customHeight="false" outlineLevel="0" collapsed="false">
      <c r="A668" s="14" t="b">
        <f aca="false">TRUE()</f>
        <v>1</v>
      </c>
      <c r="B668" s="14" t="b">
        <f aca="false">FALSE()</f>
        <v>0</v>
      </c>
      <c r="C668" s="4" t="n">
        <v>2</v>
      </c>
      <c r="D668" s="4"/>
      <c r="E668" s="4"/>
      <c r="F668" s="4"/>
      <c r="G668" s="4"/>
      <c r="H668" s="14" t="b">
        <f aca="false">FALSE()</f>
        <v>0</v>
      </c>
      <c r="I668" s="14" t="b">
        <f aca="false">FALSE()</f>
        <v>0</v>
      </c>
      <c r="J668" s="4"/>
      <c r="K668" s="4" t="s">
        <v>2720</v>
      </c>
      <c r="L668" s="4" t="s">
        <v>2721</v>
      </c>
      <c r="M668" s="4" t="s">
        <v>2722</v>
      </c>
      <c r="N668" s="6" t="n">
        <v>33502</v>
      </c>
      <c r="O668" s="6" t="n">
        <v>247976</v>
      </c>
      <c r="P668" s="4" t="s">
        <v>46</v>
      </c>
      <c r="Q668" s="6" t="n">
        <v>441500</v>
      </c>
      <c r="R668" s="15" t="n">
        <v>42991</v>
      </c>
      <c r="S668" s="6" t="n">
        <v>453100</v>
      </c>
      <c r="T668" s="15" t="n">
        <v>43230</v>
      </c>
      <c r="U668" s="6" t="n">
        <v>450000</v>
      </c>
      <c r="V668" s="15" t="n">
        <v>42991</v>
      </c>
      <c r="W668" s="4" t="s">
        <v>47</v>
      </c>
      <c r="X668" s="4" t="s">
        <v>47</v>
      </c>
      <c r="Y668" s="4" t="s">
        <v>2723</v>
      </c>
      <c r="Z668" s="4" t="s">
        <v>2715</v>
      </c>
      <c r="AA668" s="6" t="n">
        <v>0</v>
      </c>
      <c r="AB668" s="6" t="n">
        <v>16699.26</v>
      </c>
      <c r="AC668" s="6" t="n">
        <v>8735.36</v>
      </c>
      <c r="AD668" s="14" t="b">
        <f aca="false">TRUE()</f>
        <v>1</v>
      </c>
    </row>
    <row r="669" customFormat="false" ht="15" hidden="false" customHeight="false" outlineLevel="0" collapsed="false">
      <c r="A669" s="14" t="b">
        <f aca="false">TRUE()</f>
        <v>1</v>
      </c>
      <c r="B669" s="14" t="b">
        <f aca="false">FALSE()</f>
        <v>0</v>
      </c>
      <c r="C669" s="4" t="n">
        <v>2</v>
      </c>
      <c r="D669" s="4"/>
      <c r="E669" s="4"/>
      <c r="F669" s="4"/>
      <c r="G669" s="4"/>
      <c r="H669" s="14" t="b">
        <f aca="false">TRUE()</f>
        <v>1</v>
      </c>
      <c r="I669" s="14" t="b">
        <f aca="false">FALSE()</f>
        <v>0</v>
      </c>
      <c r="J669" s="4"/>
      <c r="K669" s="4" t="s">
        <v>2724</v>
      </c>
      <c r="L669" s="4" t="s">
        <v>2725</v>
      </c>
      <c r="M669" s="4" t="s">
        <v>2726</v>
      </c>
      <c r="N669" s="6" t="n">
        <v>35016</v>
      </c>
      <c r="O669" s="6" t="n">
        <v>69772</v>
      </c>
      <c r="P669" s="4" t="s">
        <v>46</v>
      </c>
      <c r="Q669" s="6" t="n">
        <v>151000</v>
      </c>
      <c r="R669" s="15" t="n">
        <v>35823</v>
      </c>
      <c r="S669" s="6"/>
      <c r="T669" s="15"/>
      <c r="U669" s="6"/>
      <c r="V669" s="15"/>
      <c r="W669" s="4" t="s">
        <v>47</v>
      </c>
      <c r="X669" s="4" t="s">
        <v>47</v>
      </c>
      <c r="Y669" s="4" t="s">
        <v>2727</v>
      </c>
      <c r="Z669" s="4" t="s">
        <v>2715</v>
      </c>
      <c r="AA669" s="6" t="n">
        <v>0</v>
      </c>
      <c r="AB669" s="6" t="n">
        <v>5267.52</v>
      </c>
      <c r="AC669" s="6" t="n">
        <v>2762.28</v>
      </c>
      <c r="AD669" s="14" t="b">
        <f aca="false">TRUE()</f>
        <v>1</v>
      </c>
    </row>
    <row r="670" customFormat="false" ht="15" hidden="false" customHeight="false" outlineLevel="0" collapsed="false">
      <c r="A670" s="14" t="b">
        <f aca="false">TRUE()</f>
        <v>1</v>
      </c>
      <c r="B670" s="14" t="b">
        <f aca="false">FALSE()</f>
        <v>0</v>
      </c>
      <c r="C670" s="4" t="n">
        <v>2</v>
      </c>
      <c r="D670" s="4"/>
      <c r="E670" s="4"/>
      <c r="F670" s="4"/>
      <c r="G670" s="4"/>
      <c r="H670" s="14" t="b">
        <f aca="false">FALSE()</f>
        <v>0</v>
      </c>
      <c r="I670" s="14" t="b">
        <f aca="false">FALSE()</f>
        <v>0</v>
      </c>
      <c r="J670" s="4"/>
      <c r="K670" s="4" t="s">
        <v>2728</v>
      </c>
      <c r="L670" s="4" t="s">
        <v>2729</v>
      </c>
      <c r="M670" s="4" t="s">
        <v>2730</v>
      </c>
      <c r="N670" s="6" t="n">
        <v>13388</v>
      </c>
      <c r="O670" s="6" t="n">
        <v>120425</v>
      </c>
      <c r="P670" s="4" t="s">
        <v>46</v>
      </c>
      <c r="Q670" s="6"/>
      <c r="R670" s="15" t="n">
        <v>45863</v>
      </c>
      <c r="S670" s="6"/>
      <c r="T670" s="15"/>
      <c r="U670" s="6"/>
      <c r="V670" s="15"/>
      <c r="W670" s="4" t="s">
        <v>47</v>
      </c>
      <c r="X670" s="4" t="s">
        <v>47</v>
      </c>
      <c r="Y670" s="4" t="s">
        <v>2731</v>
      </c>
      <c r="Z670" s="4" t="s">
        <v>2732</v>
      </c>
      <c r="AA670" s="6" t="n">
        <v>0</v>
      </c>
      <c r="AB670" s="6" t="n">
        <v>5440.02</v>
      </c>
      <c r="AC670" s="6" t="n">
        <v>2852.41</v>
      </c>
      <c r="AD670" s="14" t="b">
        <f aca="false">TRUE()</f>
        <v>1</v>
      </c>
    </row>
    <row r="671" customFormat="false" ht="15" hidden="false" customHeight="false" outlineLevel="0" collapsed="false">
      <c r="A671" s="14" t="b">
        <f aca="false">TRUE()</f>
        <v>1</v>
      </c>
      <c r="B671" s="14" t="b">
        <f aca="false">FALSE()</f>
        <v>0</v>
      </c>
      <c r="C671" s="4" t="n">
        <v>2</v>
      </c>
      <c r="D671" s="4"/>
      <c r="E671" s="4"/>
      <c r="F671" s="4"/>
      <c r="G671" s="4"/>
      <c r="H671" s="14" t="b">
        <f aca="false">FALSE()</f>
        <v>0</v>
      </c>
      <c r="I671" s="14" t="b">
        <f aca="false">FALSE()</f>
        <v>0</v>
      </c>
      <c r="J671" s="4"/>
      <c r="K671" s="4" t="s">
        <v>2733</v>
      </c>
      <c r="L671" s="4" t="s">
        <v>2734</v>
      </c>
      <c r="M671" s="4" t="s">
        <v>2735</v>
      </c>
      <c r="N671" s="6" t="n">
        <v>21412</v>
      </c>
      <c r="O671" s="6" t="n">
        <v>192705</v>
      </c>
      <c r="P671" s="4" t="s">
        <v>46</v>
      </c>
      <c r="Q671" s="6"/>
      <c r="R671" s="15" t="n">
        <v>42899</v>
      </c>
      <c r="S671" s="6"/>
      <c r="T671" s="15"/>
      <c r="U671" s="6"/>
      <c r="V671" s="15"/>
      <c r="W671" s="4" t="s">
        <v>47</v>
      </c>
      <c r="X671" s="4" t="s">
        <v>47</v>
      </c>
      <c r="Y671" s="4" t="s">
        <v>2736</v>
      </c>
      <c r="Z671" s="4" t="s">
        <v>2732</v>
      </c>
      <c r="AA671" s="6" t="n">
        <v>0</v>
      </c>
      <c r="AB671" s="6" t="n">
        <v>9148.06</v>
      </c>
      <c r="AC671" s="6" t="n">
        <v>4789.86</v>
      </c>
      <c r="AD671" s="14" t="b">
        <f aca="false">TRUE()</f>
        <v>1</v>
      </c>
    </row>
    <row r="672" customFormat="false" ht="15" hidden="false" customHeight="false" outlineLevel="0" collapsed="false">
      <c r="A672" s="14" t="b">
        <f aca="false">TRUE()</f>
        <v>1</v>
      </c>
      <c r="B672" s="14" t="b">
        <f aca="false">FALSE()</f>
        <v>0</v>
      </c>
      <c r="C672" s="4" t="n">
        <v>2</v>
      </c>
      <c r="D672" s="4"/>
      <c r="E672" s="4"/>
      <c r="F672" s="4"/>
      <c r="G672" s="4"/>
      <c r="H672" s="14" t="b">
        <f aca="false">FALSE()</f>
        <v>0</v>
      </c>
      <c r="I672" s="14" t="b">
        <f aca="false">FALSE()</f>
        <v>0</v>
      </c>
      <c r="J672" s="4"/>
      <c r="K672" s="4" t="s">
        <v>2737</v>
      </c>
      <c r="L672" s="4" t="s">
        <v>2738</v>
      </c>
      <c r="M672" s="4" t="s">
        <v>2739</v>
      </c>
      <c r="N672" s="6" t="n">
        <v>8662</v>
      </c>
      <c r="O672" s="6" t="n">
        <v>77947</v>
      </c>
      <c r="P672" s="4" t="s">
        <v>46</v>
      </c>
      <c r="Q672" s="6" t="n">
        <v>315000</v>
      </c>
      <c r="R672" s="15" t="n">
        <v>45580</v>
      </c>
      <c r="S672" s="6"/>
      <c r="T672" s="15"/>
      <c r="U672" s="6"/>
      <c r="V672" s="15"/>
      <c r="W672" s="4" t="s">
        <v>47</v>
      </c>
      <c r="X672" s="4" t="s">
        <v>47</v>
      </c>
      <c r="Y672" s="4" t="s">
        <v>2740</v>
      </c>
      <c r="Z672" s="4" t="s">
        <v>2715</v>
      </c>
      <c r="AA672" s="6" t="n">
        <v>0</v>
      </c>
      <c r="AB672" s="6" t="n">
        <v>4663.64</v>
      </c>
      <c r="AC672" s="6" t="n">
        <v>4988.43</v>
      </c>
      <c r="AD672" s="14" t="b">
        <f aca="false">FALSE()</f>
        <v>0</v>
      </c>
    </row>
    <row r="673" customFormat="false" ht="15" hidden="false" customHeight="false" outlineLevel="0" collapsed="false">
      <c r="A673" s="14" t="b">
        <f aca="false">TRUE()</f>
        <v>1</v>
      </c>
      <c r="B673" s="14" t="b">
        <f aca="false">FALSE()</f>
        <v>0</v>
      </c>
      <c r="C673" s="4" t="n">
        <v>3</v>
      </c>
      <c r="D673" s="4"/>
      <c r="E673" s="4"/>
      <c r="F673" s="4"/>
      <c r="G673" s="4" t="n">
        <v>2</v>
      </c>
      <c r="H673" s="14" t="b">
        <f aca="false">TRUE()</f>
        <v>1</v>
      </c>
      <c r="I673" s="14" t="b">
        <f aca="false">FALSE()</f>
        <v>0</v>
      </c>
      <c r="J673" s="4"/>
      <c r="K673" s="4" t="s">
        <v>2741</v>
      </c>
      <c r="L673" s="4" t="s">
        <v>2742</v>
      </c>
      <c r="M673" s="4" t="s">
        <v>2743</v>
      </c>
      <c r="N673" s="6" t="n">
        <v>6424</v>
      </c>
      <c r="O673" s="6" t="n">
        <v>57833</v>
      </c>
      <c r="P673" s="4" t="s">
        <v>46</v>
      </c>
      <c r="Q673" s="6"/>
      <c r="R673" s="15" t="n">
        <v>41662</v>
      </c>
      <c r="S673" s="6" t="n">
        <v>113000</v>
      </c>
      <c r="T673" s="15" t="n">
        <v>42321</v>
      </c>
      <c r="U673" s="6"/>
      <c r="V673" s="15"/>
      <c r="W673" s="4" t="s">
        <v>47</v>
      </c>
      <c r="X673" s="4" t="s">
        <v>47</v>
      </c>
      <c r="Y673" s="4" t="s">
        <v>2744</v>
      </c>
      <c r="Z673" s="4" t="s">
        <v>2715</v>
      </c>
      <c r="AA673" s="6" t="n">
        <v>0</v>
      </c>
      <c r="AB673" s="6" t="n">
        <v>3337.58</v>
      </c>
      <c r="AC673" s="6" t="n">
        <v>3572.87</v>
      </c>
      <c r="AD673" s="14" t="b">
        <f aca="false">FALSE()</f>
        <v>0</v>
      </c>
    </row>
    <row r="674" customFormat="false" ht="15" hidden="false" customHeight="false" outlineLevel="0" collapsed="false">
      <c r="A674" s="14" t="b">
        <f aca="false">TRUE()</f>
        <v>1</v>
      </c>
      <c r="B674" s="14" t="b">
        <f aca="false">FALSE()</f>
        <v>0</v>
      </c>
      <c r="C674" s="4" t="n">
        <v>3</v>
      </c>
      <c r="D674" s="4"/>
      <c r="E674" s="4"/>
      <c r="F674" s="4"/>
      <c r="G674" s="4" t="n">
        <v>3</v>
      </c>
      <c r="H674" s="14" t="b">
        <f aca="false">TRUE()</f>
        <v>1</v>
      </c>
      <c r="I674" s="14" t="b">
        <f aca="false">FALSE()</f>
        <v>0</v>
      </c>
      <c r="J674" s="4"/>
      <c r="K674" s="4" t="s">
        <v>2745</v>
      </c>
      <c r="L674" s="4" t="s">
        <v>2746</v>
      </c>
      <c r="M674" s="4" t="s">
        <v>2747</v>
      </c>
      <c r="N674" s="6" t="n">
        <v>48371</v>
      </c>
      <c r="O674" s="6" t="n">
        <v>294876</v>
      </c>
      <c r="P674" s="4" t="s">
        <v>46</v>
      </c>
      <c r="Q674" s="6"/>
      <c r="R674" s="15" t="n">
        <v>39001</v>
      </c>
      <c r="S674" s="6" t="n">
        <v>471991.89</v>
      </c>
      <c r="T674" s="15" t="n">
        <v>39420</v>
      </c>
      <c r="U674" s="6"/>
      <c r="V674" s="15"/>
      <c r="W674" s="4" t="s">
        <v>47</v>
      </c>
      <c r="X674" s="4" t="s">
        <v>47</v>
      </c>
      <c r="Y674" s="4" t="s">
        <v>2748</v>
      </c>
      <c r="Z674" s="4" t="s">
        <v>2732</v>
      </c>
      <c r="AA674" s="6" t="n">
        <v>0</v>
      </c>
      <c r="AB674" s="6" t="n">
        <v>17380.56</v>
      </c>
      <c r="AC674" s="6" t="n">
        <v>18563.75</v>
      </c>
      <c r="AD674" s="14" t="b">
        <f aca="false">FALSE()</f>
        <v>0</v>
      </c>
    </row>
    <row r="675" customFormat="false" ht="15" hidden="false" customHeight="false" outlineLevel="0" collapsed="false">
      <c r="A675" s="14" t="b">
        <f aca="false">TRUE()</f>
        <v>1</v>
      </c>
      <c r="B675" s="14" t="b">
        <f aca="false">FALSE()</f>
        <v>0</v>
      </c>
      <c r="C675" s="4" t="n">
        <v>2</v>
      </c>
      <c r="D675" s="4"/>
      <c r="E675" s="4"/>
      <c r="F675" s="4"/>
      <c r="G675" s="4"/>
      <c r="H675" s="14" t="b">
        <f aca="false">FALSE()</f>
        <v>0</v>
      </c>
      <c r="I675" s="14" t="b">
        <f aca="false">FALSE()</f>
        <v>0</v>
      </c>
      <c r="J675" s="4"/>
      <c r="K675" s="4" t="s">
        <v>2749</v>
      </c>
      <c r="L675" s="4" t="s">
        <v>2750</v>
      </c>
      <c r="M675" s="4" t="s">
        <v>2751</v>
      </c>
      <c r="N675" s="6" t="n">
        <v>175955</v>
      </c>
      <c r="O675" s="6" t="n">
        <v>469728</v>
      </c>
      <c r="P675" s="4" t="s">
        <v>46</v>
      </c>
      <c r="Q675" s="6"/>
      <c r="R675" s="15" t="n">
        <v>45894</v>
      </c>
      <c r="S675" s="6" t="n">
        <v>1440000</v>
      </c>
      <c r="T675" s="15" t="n">
        <v>45894</v>
      </c>
      <c r="U675" s="6"/>
      <c r="V675" s="15"/>
      <c r="W675" s="4" t="s">
        <v>47</v>
      </c>
      <c r="X675" s="4" t="s">
        <v>47</v>
      </c>
      <c r="Y675" s="4" t="s">
        <v>2752</v>
      </c>
      <c r="Z675" s="4" t="s">
        <v>2732</v>
      </c>
      <c r="AA675" s="6" t="n">
        <v>0</v>
      </c>
      <c r="AB675" s="6" t="n">
        <v>33363.58</v>
      </c>
      <c r="AC675" s="6" t="n">
        <v>17442.47</v>
      </c>
      <c r="AD675" s="14" t="b">
        <f aca="false">TRUE()</f>
        <v>1</v>
      </c>
    </row>
    <row r="676" customFormat="false" ht="15" hidden="false" customHeight="false" outlineLevel="0" collapsed="false">
      <c r="A676" s="14" t="b">
        <f aca="false">TRUE()</f>
        <v>1</v>
      </c>
      <c r="B676" s="14" t="b">
        <f aca="false">FALSE()</f>
        <v>0</v>
      </c>
      <c r="C676" s="4" t="n">
        <v>2</v>
      </c>
      <c r="D676" s="4"/>
      <c r="E676" s="4"/>
      <c r="F676" s="4"/>
      <c r="G676" s="4"/>
      <c r="H676" s="14" t="b">
        <f aca="false">FALSE()</f>
        <v>0</v>
      </c>
      <c r="I676" s="14" t="b">
        <f aca="false">FALSE()</f>
        <v>0</v>
      </c>
      <c r="J676" s="4"/>
      <c r="K676" s="4" t="s">
        <v>1820</v>
      </c>
      <c r="L676" s="4" t="s">
        <v>2753</v>
      </c>
      <c r="M676" s="4" t="s">
        <v>2754</v>
      </c>
      <c r="N676" s="6" t="n">
        <v>75136</v>
      </c>
      <c r="O676" s="6" t="n">
        <v>170526</v>
      </c>
      <c r="P676" s="4" t="s">
        <v>46</v>
      </c>
      <c r="Q676" s="6" t="n">
        <v>819000</v>
      </c>
      <c r="R676" s="15" t="n">
        <v>45819</v>
      </c>
      <c r="S676" s="6"/>
      <c r="T676" s="15"/>
      <c r="U676" s="6"/>
      <c r="V676" s="15"/>
      <c r="W676" s="4" t="s">
        <v>58</v>
      </c>
      <c r="X676" s="4" t="s">
        <v>47</v>
      </c>
      <c r="Y676" s="4" t="s">
        <v>2755</v>
      </c>
      <c r="Z676" s="4" t="s">
        <v>2732</v>
      </c>
      <c r="AA676" s="6" t="n">
        <v>0</v>
      </c>
      <c r="AB676" s="6" t="n">
        <v>12015.92</v>
      </c>
      <c r="AC676" s="6" t="n">
        <v>6288.32</v>
      </c>
      <c r="AD676" s="14" t="b">
        <f aca="false">TRUE()</f>
        <v>1</v>
      </c>
    </row>
    <row r="677" customFormat="false" ht="15" hidden="false" customHeight="false" outlineLevel="0" collapsed="false">
      <c r="A677" s="14" t="b">
        <f aca="false">TRUE()</f>
        <v>1</v>
      </c>
      <c r="B677" s="14" t="b">
        <f aca="false">FALSE()</f>
        <v>0</v>
      </c>
      <c r="C677" s="4" t="n">
        <v>3</v>
      </c>
      <c r="D677" s="4"/>
      <c r="E677" s="4"/>
      <c r="F677" s="4"/>
      <c r="G677" s="4"/>
      <c r="H677" s="14" t="b">
        <f aca="false">FALSE()</f>
        <v>0</v>
      </c>
      <c r="I677" s="14" t="b">
        <f aca="false">FALSE()</f>
        <v>0</v>
      </c>
      <c r="J677" s="4"/>
      <c r="K677" s="4" t="s">
        <v>2756</v>
      </c>
      <c r="L677" s="4" t="s">
        <v>2757</v>
      </c>
      <c r="M677" s="4" t="s">
        <v>2758</v>
      </c>
      <c r="N677" s="6" t="n">
        <v>52956</v>
      </c>
      <c r="O677" s="6" t="n">
        <v>139328</v>
      </c>
      <c r="P677" s="4" t="s">
        <v>46</v>
      </c>
      <c r="Q677" s="6" t="n">
        <v>490000</v>
      </c>
      <c r="R677" s="15" t="n">
        <v>41989</v>
      </c>
      <c r="S677" s="6"/>
      <c r="T677" s="15"/>
      <c r="U677" s="6"/>
      <c r="V677" s="15"/>
      <c r="W677" s="4" t="s">
        <v>47</v>
      </c>
      <c r="X677" s="4" t="s">
        <v>47</v>
      </c>
      <c r="Y677" s="4" t="s">
        <v>2759</v>
      </c>
      <c r="Z677" s="4" t="s">
        <v>2732</v>
      </c>
      <c r="AA677" s="6" t="n">
        <v>0</v>
      </c>
      <c r="AB677" s="6" t="n">
        <v>10060.3</v>
      </c>
      <c r="AC677" s="6" t="n">
        <v>10749.37</v>
      </c>
      <c r="AD677" s="14" t="b">
        <f aca="false">FALSE()</f>
        <v>0</v>
      </c>
    </row>
    <row r="678" customFormat="false" ht="15" hidden="false" customHeight="false" outlineLevel="0" collapsed="false">
      <c r="A678" s="14" t="b">
        <f aca="false">TRUE()</f>
        <v>1</v>
      </c>
      <c r="B678" s="14" t="b">
        <f aca="false">FALSE()</f>
        <v>0</v>
      </c>
      <c r="C678" s="4" t="n">
        <v>3</v>
      </c>
      <c r="D678" s="4"/>
      <c r="E678" s="4"/>
      <c r="F678" s="4"/>
      <c r="G678" s="4"/>
      <c r="H678" s="14" t="b">
        <f aca="false">FALSE()</f>
        <v>0</v>
      </c>
      <c r="I678" s="14" t="b">
        <f aca="false">FALSE()</f>
        <v>0</v>
      </c>
      <c r="J678" s="4"/>
      <c r="K678" s="4" t="s">
        <v>2760</v>
      </c>
      <c r="L678" s="4" t="s">
        <v>2761</v>
      </c>
      <c r="M678" s="4" t="s">
        <v>2762</v>
      </c>
      <c r="N678" s="6" t="n">
        <v>68323</v>
      </c>
      <c r="O678" s="6" t="n">
        <v>216669</v>
      </c>
      <c r="P678" s="4" t="s">
        <v>46</v>
      </c>
      <c r="Q678" s="6"/>
      <c r="R678" s="15" t="n">
        <v>45338</v>
      </c>
      <c r="S678" s="6"/>
      <c r="T678" s="15"/>
      <c r="U678" s="6"/>
      <c r="V678" s="15"/>
      <c r="W678" s="4" t="s">
        <v>47</v>
      </c>
      <c r="X678" s="4" t="s">
        <v>47</v>
      </c>
      <c r="Y678" s="4" t="s">
        <v>2763</v>
      </c>
      <c r="Z678" s="4" t="s">
        <v>2732</v>
      </c>
      <c r="AA678" s="6" t="n">
        <v>0</v>
      </c>
      <c r="AB678" s="6" t="n">
        <v>10027.22</v>
      </c>
      <c r="AC678" s="6" t="n">
        <v>10714.05</v>
      </c>
      <c r="AD678" s="14" t="b">
        <f aca="false">FALSE()</f>
        <v>0</v>
      </c>
    </row>
    <row r="679" customFormat="false" ht="15" hidden="false" customHeight="false" outlineLevel="0" collapsed="false">
      <c r="A679" s="14" t="b">
        <f aca="false">TRUE()</f>
        <v>1</v>
      </c>
      <c r="B679" s="14" t="b">
        <f aca="false">FALSE()</f>
        <v>0</v>
      </c>
      <c r="C679" s="4" t="n">
        <v>2</v>
      </c>
      <c r="D679" s="4"/>
      <c r="E679" s="4"/>
      <c r="F679" s="4"/>
      <c r="G679" s="4"/>
      <c r="H679" s="14" t="b">
        <f aca="false">FALSE()</f>
        <v>0</v>
      </c>
      <c r="I679" s="14" t="b">
        <f aca="false">FALSE()</f>
        <v>0</v>
      </c>
      <c r="J679" s="4"/>
      <c r="K679" s="4" t="s">
        <v>2764</v>
      </c>
      <c r="L679" s="4" t="s">
        <v>2765</v>
      </c>
      <c r="M679" s="4" t="s">
        <v>2766</v>
      </c>
      <c r="N679" s="6" t="n">
        <v>77991</v>
      </c>
      <c r="O679" s="6" t="n">
        <v>250225</v>
      </c>
      <c r="P679" s="4" t="s">
        <v>46</v>
      </c>
      <c r="Q679" s="6" t="n">
        <v>660000</v>
      </c>
      <c r="R679" s="15" t="n">
        <v>36635</v>
      </c>
      <c r="S679" s="6" t="n">
        <v>485000</v>
      </c>
      <c r="T679" s="15" t="n">
        <v>37823</v>
      </c>
      <c r="U679" s="6" t="n">
        <v>250000</v>
      </c>
      <c r="V679" s="15" t="n">
        <v>44657</v>
      </c>
      <c r="W679" s="4" t="s">
        <v>47</v>
      </c>
      <c r="X679" s="4" t="s">
        <v>47</v>
      </c>
      <c r="Y679" s="4" t="s">
        <v>2767</v>
      </c>
      <c r="Z679" s="4" t="s">
        <v>2732</v>
      </c>
      <c r="AA679" s="6" t="n">
        <v>0</v>
      </c>
      <c r="AB679" s="6" t="n">
        <v>11936.7</v>
      </c>
      <c r="AC679" s="6" t="n">
        <v>6246.93</v>
      </c>
      <c r="AD679" s="14" t="b">
        <f aca="false">TRUE()</f>
        <v>1</v>
      </c>
    </row>
    <row r="680" customFormat="false" ht="15" hidden="false" customHeight="false" outlineLevel="0" collapsed="false">
      <c r="A680" s="14" t="b">
        <f aca="false">TRUE()</f>
        <v>1</v>
      </c>
      <c r="B680" s="14" t="b">
        <f aca="false">FALSE()</f>
        <v>0</v>
      </c>
      <c r="C680" s="4" t="n">
        <v>3</v>
      </c>
      <c r="D680" s="4"/>
      <c r="E680" s="4"/>
      <c r="F680" s="4"/>
      <c r="G680" s="4"/>
      <c r="H680" s="14" t="b">
        <f aca="false">TRUE()</f>
        <v>1</v>
      </c>
      <c r="I680" s="14" t="b">
        <f aca="false">FALSE()</f>
        <v>0</v>
      </c>
      <c r="J680" s="4"/>
      <c r="K680" s="4" t="s">
        <v>2768</v>
      </c>
      <c r="L680" s="4" t="s">
        <v>2769</v>
      </c>
      <c r="M680" s="4" t="s">
        <v>2770</v>
      </c>
      <c r="N680" s="6" t="n">
        <v>75947</v>
      </c>
      <c r="O680" s="6" t="n">
        <v>312287</v>
      </c>
      <c r="P680" s="4" t="s">
        <v>46</v>
      </c>
      <c r="Q680" s="6" t="n">
        <v>750000</v>
      </c>
      <c r="R680" s="15" t="n">
        <v>42341</v>
      </c>
      <c r="S680" s="6" t="n">
        <v>932000</v>
      </c>
      <c r="T680" s="15" t="n">
        <v>44606</v>
      </c>
      <c r="U680" s="6" t="n">
        <v>250000</v>
      </c>
      <c r="V680" s="15" t="n">
        <v>45546</v>
      </c>
      <c r="W680" s="4" t="s">
        <v>47</v>
      </c>
      <c r="X680" s="4" t="s">
        <v>47</v>
      </c>
      <c r="Y680" s="4" t="s">
        <v>2771</v>
      </c>
      <c r="Z680" s="4" t="s">
        <v>2732</v>
      </c>
      <c r="AA680" s="6" t="n">
        <v>0</v>
      </c>
      <c r="AB680" s="6" t="n">
        <v>14174</v>
      </c>
      <c r="AC680" s="6" t="n">
        <v>15140.75</v>
      </c>
      <c r="AD680" s="14" t="b">
        <f aca="false">FALSE()</f>
        <v>0</v>
      </c>
    </row>
    <row r="681" customFormat="false" ht="15" hidden="false" customHeight="false" outlineLevel="0" collapsed="false">
      <c r="A681" s="14" t="b">
        <f aca="false">TRUE()</f>
        <v>1</v>
      </c>
      <c r="B681" s="14" t="b">
        <f aca="false">FALSE()</f>
        <v>0</v>
      </c>
      <c r="C681" s="4" t="n">
        <v>3</v>
      </c>
      <c r="D681" s="4"/>
      <c r="E681" s="4"/>
      <c r="F681" s="4"/>
      <c r="G681" s="4" t="n">
        <v>3</v>
      </c>
      <c r="H681" s="14" t="b">
        <f aca="false">FALSE()</f>
        <v>0</v>
      </c>
      <c r="I681" s="14" t="b">
        <f aca="false">FALSE()</f>
        <v>0</v>
      </c>
      <c r="J681" s="4"/>
      <c r="K681" s="4" t="s">
        <v>2772</v>
      </c>
      <c r="L681" s="4" t="s">
        <v>2773</v>
      </c>
      <c r="M681" s="4" t="s">
        <v>2774</v>
      </c>
      <c r="N681" s="6" t="n">
        <v>141804</v>
      </c>
      <c r="O681" s="6" t="n">
        <v>316547</v>
      </c>
      <c r="P681" s="4" t="s">
        <v>46</v>
      </c>
      <c r="Q681" s="6" t="n">
        <v>910000</v>
      </c>
      <c r="R681" s="15" t="n">
        <v>44364</v>
      </c>
      <c r="S681" s="6"/>
      <c r="T681" s="15"/>
      <c r="U681" s="6"/>
      <c r="V681" s="15"/>
      <c r="W681" s="4" t="s">
        <v>47</v>
      </c>
      <c r="X681" s="4" t="s">
        <v>58</v>
      </c>
      <c r="Y681" s="4" t="s">
        <v>2775</v>
      </c>
      <c r="Z681" s="4" t="s">
        <v>2732</v>
      </c>
      <c r="AA681" s="6" t="n">
        <v>0</v>
      </c>
      <c r="AB681" s="6" t="n">
        <v>16787.74</v>
      </c>
      <c r="AC681" s="6" t="n">
        <v>17930.91</v>
      </c>
      <c r="AD681" s="14" t="b">
        <f aca="false">FALSE()</f>
        <v>0</v>
      </c>
    </row>
    <row r="682" customFormat="false" ht="15" hidden="false" customHeight="false" outlineLevel="0" collapsed="false">
      <c r="A682" s="14" t="b">
        <f aca="false">TRUE()</f>
        <v>1</v>
      </c>
      <c r="B682" s="14" t="b">
        <f aca="false">FALSE()</f>
        <v>0</v>
      </c>
      <c r="C682" s="4" t="n">
        <v>2</v>
      </c>
      <c r="D682" s="4"/>
      <c r="E682" s="4"/>
      <c r="F682" s="4"/>
      <c r="G682" s="4"/>
      <c r="H682" s="14" t="b">
        <f aca="false">FALSE()</f>
        <v>0</v>
      </c>
      <c r="I682" s="14" t="b">
        <f aca="false">FALSE()</f>
        <v>0</v>
      </c>
      <c r="J682" s="4"/>
      <c r="K682" s="4" t="s">
        <v>2776</v>
      </c>
      <c r="L682" s="4" t="s">
        <v>2777</v>
      </c>
      <c r="M682" s="4" t="s">
        <v>2778</v>
      </c>
      <c r="N682" s="6" t="n">
        <v>160372</v>
      </c>
      <c r="O682" s="6" t="n">
        <v>61240</v>
      </c>
      <c r="P682" s="4" t="s">
        <v>46</v>
      </c>
      <c r="Q682" s="6" t="n">
        <v>850000</v>
      </c>
      <c r="R682" s="15" t="n">
        <v>45796</v>
      </c>
      <c r="S682" s="6"/>
      <c r="T682" s="15"/>
      <c r="U682" s="6"/>
      <c r="V682" s="15"/>
      <c r="W682" s="4" t="s">
        <v>47</v>
      </c>
      <c r="X682" s="4" t="s">
        <v>47</v>
      </c>
      <c r="Y682" s="4" t="s">
        <v>2779</v>
      </c>
      <c r="Z682" s="4" t="s">
        <v>2732</v>
      </c>
      <c r="AA682" s="6" t="n">
        <v>0</v>
      </c>
      <c r="AB682" s="6" t="n">
        <v>7664.6</v>
      </c>
      <c r="AC682" s="6" t="n">
        <v>8191.96</v>
      </c>
      <c r="AD682" s="14" t="b">
        <f aca="false">FALSE()</f>
        <v>0</v>
      </c>
    </row>
    <row r="683" customFormat="false" ht="15" hidden="false" customHeight="false" outlineLevel="0" collapsed="false">
      <c r="A683" s="14" t="b">
        <f aca="false">TRUE()</f>
        <v>1</v>
      </c>
      <c r="B683" s="14" t="b">
        <f aca="false">FALSE()</f>
        <v>0</v>
      </c>
      <c r="C683" s="4" t="n">
        <v>3</v>
      </c>
      <c r="D683" s="4"/>
      <c r="E683" s="4"/>
      <c r="F683" s="4"/>
      <c r="G683" s="4"/>
      <c r="H683" s="14" t="b">
        <f aca="false">FALSE()</f>
        <v>0</v>
      </c>
      <c r="I683" s="14" t="b">
        <f aca="false">FALSE()</f>
        <v>0</v>
      </c>
      <c r="J683" s="4"/>
      <c r="K683" s="4" t="s">
        <v>2780</v>
      </c>
      <c r="L683" s="4" t="s">
        <v>2781</v>
      </c>
      <c r="M683" s="4" t="s">
        <v>2782</v>
      </c>
      <c r="N683" s="6" t="n">
        <v>96785</v>
      </c>
      <c r="O683" s="6" t="n">
        <v>161594</v>
      </c>
      <c r="P683" s="4" t="s">
        <v>46</v>
      </c>
      <c r="Q683" s="6" t="n">
        <v>835000</v>
      </c>
      <c r="R683" s="15" t="n">
        <v>45505</v>
      </c>
      <c r="S683" s="6"/>
      <c r="T683" s="15"/>
      <c r="U683" s="6"/>
      <c r="V683" s="15"/>
      <c r="W683" s="4" t="s">
        <v>47</v>
      </c>
      <c r="X683" s="4" t="s">
        <v>47</v>
      </c>
      <c r="Y683" s="4" t="s">
        <v>2783</v>
      </c>
      <c r="Z683" s="4" t="s">
        <v>2732</v>
      </c>
      <c r="AA683" s="6" t="n">
        <v>0</v>
      </c>
      <c r="AB683" s="6" t="n">
        <v>9631.6</v>
      </c>
      <c r="AC683" s="6" t="n">
        <v>10291.73</v>
      </c>
      <c r="AD683" s="14" t="b">
        <f aca="false">FALSE()</f>
        <v>0</v>
      </c>
    </row>
    <row r="684" customFormat="false" ht="15" hidden="false" customHeight="false" outlineLevel="0" collapsed="false">
      <c r="A684" s="14" t="b">
        <f aca="false">TRUE()</f>
        <v>1</v>
      </c>
      <c r="B684" s="14" t="b">
        <f aca="false">FALSE()</f>
        <v>0</v>
      </c>
      <c r="C684" s="4" t="n">
        <v>2</v>
      </c>
      <c r="D684" s="4"/>
      <c r="E684" s="4"/>
      <c r="F684" s="4"/>
      <c r="G684" s="4"/>
      <c r="H684" s="14" t="b">
        <f aca="false">FALSE()</f>
        <v>0</v>
      </c>
      <c r="I684" s="14" t="b">
        <f aca="false">FALSE()</f>
        <v>0</v>
      </c>
      <c r="J684" s="4"/>
      <c r="K684" s="4" t="s">
        <v>2784</v>
      </c>
      <c r="L684" s="4" t="s">
        <v>2785</v>
      </c>
      <c r="M684" s="4" t="s">
        <v>2786</v>
      </c>
      <c r="N684" s="6" t="n">
        <v>93714</v>
      </c>
      <c r="O684" s="6" t="n">
        <v>114661</v>
      </c>
      <c r="P684" s="4" t="s">
        <v>46</v>
      </c>
      <c r="Q684" s="6" t="n">
        <v>602000</v>
      </c>
      <c r="R684" s="15" t="n">
        <v>45684</v>
      </c>
      <c r="S684" s="6"/>
      <c r="T684" s="15"/>
      <c r="U684" s="6"/>
      <c r="V684" s="15"/>
      <c r="W684" s="4" t="s">
        <v>47</v>
      </c>
      <c r="X684" s="4" t="s">
        <v>47</v>
      </c>
      <c r="Y684" s="4" t="s">
        <v>2787</v>
      </c>
      <c r="Z684" s="4" t="s">
        <v>2732</v>
      </c>
      <c r="AA684" s="6" t="n">
        <v>0</v>
      </c>
      <c r="AB684" s="6" t="n">
        <v>7171.16</v>
      </c>
      <c r="AC684" s="6" t="n">
        <v>7665.21</v>
      </c>
      <c r="AD684" s="14" t="b">
        <f aca="false">FALSE()</f>
        <v>0</v>
      </c>
    </row>
    <row r="685" customFormat="false" ht="15" hidden="false" customHeight="false" outlineLevel="0" collapsed="false">
      <c r="A685" s="14" t="b">
        <f aca="false">TRUE()</f>
        <v>1</v>
      </c>
      <c r="B685" s="14" t="b">
        <f aca="false">FALSE()</f>
        <v>0</v>
      </c>
      <c r="C685" s="4" t="n">
        <v>2</v>
      </c>
      <c r="D685" s="4"/>
      <c r="E685" s="4"/>
      <c r="F685" s="4"/>
      <c r="G685" s="4"/>
      <c r="H685" s="14" t="b">
        <f aca="false">TRUE()</f>
        <v>1</v>
      </c>
      <c r="I685" s="14" t="b">
        <f aca="false">FALSE()</f>
        <v>0</v>
      </c>
      <c r="J685" s="4"/>
      <c r="K685" s="4" t="s">
        <v>2788</v>
      </c>
      <c r="L685" s="4" t="s">
        <v>2789</v>
      </c>
      <c r="M685" s="4" t="s">
        <v>2790</v>
      </c>
      <c r="N685" s="6" t="n">
        <v>136786</v>
      </c>
      <c r="O685" s="6" t="n">
        <v>99514</v>
      </c>
      <c r="P685" s="4" t="s">
        <v>46</v>
      </c>
      <c r="Q685" s="6" t="n">
        <v>710000</v>
      </c>
      <c r="R685" s="15" t="n">
        <v>41789</v>
      </c>
      <c r="S685" s="6" t="n">
        <v>518000</v>
      </c>
      <c r="T685" s="15" t="n">
        <v>43832</v>
      </c>
      <c r="U685" s="6" t="n">
        <v>26680</v>
      </c>
      <c r="V685" s="15" t="n">
        <v>45344</v>
      </c>
      <c r="W685" s="4" t="s">
        <v>58</v>
      </c>
      <c r="X685" s="4" t="s">
        <v>58</v>
      </c>
      <c r="Y685" s="4" t="s">
        <v>2791</v>
      </c>
      <c r="Z685" s="4" t="s">
        <v>2732</v>
      </c>
      <c r="AA685" s="6" t="n">
        <v>0</v>
      </c>
      <c r="AB685" s="6" t="n">
        <v>8808.54</v>
      </c>
      <c r="AC685" s="6" t="n">
        <v>4612.46</v>
      </c>
      <c r="AD685" s="14" t="b">
        <f aca="false">TRUE()</f>
        <v>1</v>
      </c>
    </row>
    <row r="686" customFormat="false" ht="15" hidden="false" customHeight="false" outlineLevel="0" collapsed="false">
      <c r="A686" s="14" t="b">
        <f aca="false">TRUE()</f>
        <v>1</v>
      </c>
      <c r="B686" s="14" t="b">
        <f aca="false">FALSE()</f>
        <v>0</v>
      </c>
      <c r="C686" s="4" t="n">
        <v>3</v>
      </c>
      <c r="D686" s="4"/>
      <c r="E686" s="4"/>
      <c r="F686" s="4"/>
      <c r="G686" s="4" t="n">
        <v>3</v>
      </c>
      <c r="H686" s="14" t="b">
        <f aca="false">TRUE()</f>
        <v>1</v>
      </c>
      <c r="I686" s="14" t="b">
        <f aca="false">FALSE()</f>
        <v>0</v>
      </c>
      <c r="J686" s="4"/>
      <c r="K686" s="4" t="s">
        <v>2792</v>
      </c>
      <c r="L686" s="4" t="s">
        <v>2793</v>
      </c>
      <c r="M686" s="4" t="s">
        <v>2794</v>
      </c>
      <c r="N686" s="6" t="n">
        <v>150790</v>
      </c>
      <c r="O686" s="6" t="n">
        <v>247760</v>
      </c>
      <c r="P686" s="4" t="s">
        <v>46</v>
      </c>
      <c r="Q686" s="6" t="n">
        <v>699000</v>
      </c>
      <c r="R686" s="15" t="n">
        <v>44663</v>
      </c>
      <c r="S686" s="6" t="n">
        <v>400000</v>
      </c>
      <c r="T686" s="15" t="n">
        <v>44729</v>
      </c>
      <c r="U686" s="6"/>
      <c r="V686" s="15"/>
      <c r="W686" s="4" t="s">
        <v>58</v>
      </c>
      <c r="X686" s="4" t="s">
        <v>47</v>
      </c>
      <c r="Y686" s="4" t="s">
        <v>2795</v>
      </c>
      <c r="Z686" s="4" t="s">
        <v>2732</v>
      </c>
      <c r="AA686" s="6" t="n">
        <v>0</v>
      </c>
      <c r="AB686" s="6" t="n">
        <v>14558.54</v>
      </c>
      <c r="AC686" s="6" t="n">
        <v>15551.24</v>
      </c>
      <c r="AD686" s="14" t="b">
        <f aca="false">FALSE()</f>
        <v>0</v>
      </c>
    </row>
    <row r="687" customFormat="false" ht="15" hidden="false" customHeight="false" outlineLevel="0" collapsed="false">
      <c r="A687" s="14" t="b">
        <f aca="false">TRUE()</f>
        <v>1</v>
      </c>
      <c r="B687" s="14" t="b">
        <f aca="false">FALSE()</f>
        <v>0</v>
      </c>
      <c r="C687" s="4" t="n">
        <v>3</v>
      </c>
      <c r="D687" s="4"/>
      <c r="E687" s="4"/>
      <c r="F687" s="4"/>
      <c r="G687" s="4"/>
      <c r="H687" s="14" t="b">
        <f aca="false">FALSE()</f>
        <v>0</v>
      </c>
      <c r="I687" s="14" t="b">
        <f aca="false">FALSE()</f>
        <v>0</v>
      </c>
      <c r="J687" s="4"/>
      <c r="K687" s="4" t="s">
        <v>2796</v>
      </c>
      <c r="L687" s="4" t="s">
        <v>2797</v>
      </c>
      <c r="M687" s="4" t="s">
        <v>2798</v>
      </c>
      <c r="N687" s="6" t="n">
        <v>131358</v>
      </c>
      <c r="O687" s="6" t="n">
        <v>242763</v>
      </c>
      <c r="P687" s="4" t="s">
        <v>46</v>
      </c>
      <c r="Q687" s="6"/>
      <c r="R687" s="15"/>
      <c r="S687" s="6" t="n">
        <v>828000</v>
      </c>
      <c r="T687" s="15" t="n">
        <v>43601</v>
      </c>
      <c r="U687" s="6" t="n">
        <v>103396</v>
      </c>
      <c r="V687" s="15" t="n">
        <v>43601</v>
      </c>
      <c r="W687" s="4" t="s">
        <v>47</v>
      </c>
      <c r="X687" s="4" t="s">
        <v>47</v>
      </c>
      <c r="Y687" s="4" t="s">
        <v>2799</v>
      </c>
      <c r="Z687" s="4" t="s">
        <v>2732</v>
      </c>
      <c r="AA687" s="6" t="n">
        <v>0</v>
      </c>
      <c r="AB687" s="6" t="n">
        <v>18096.64</v>
      </c>
      <c r="AC687" s="6" t="n">
        <v>19328.16</v>
      </c>
      <c r="AD687" s="14" t="b">
        <f aca="false">FALSE()</f>
        <v>0</v>
      </c>
    </row>
    <row r="688" customFormat="false" ht="15" hidden="false" customHeight="false" outlineLevel="0" collapsed="false">
      <c r="A688" s="14" t="b">
        <f aca="false">TRUE()</f>
        <v>1</v>
      </c>
      <c r="B688" s="14" t="b">
        <f aca="false">FALSE()</f>
        <v>0</v>
      </c>
      <c r="C688" s="4" t="n">
        <v>2</v>
      </c>
      <c r="D688" s="4"/>
      <c r="E688" s="4"/>
      <c r="F688" s="4"/>
      <c r="G688" s="4" t="n">
        <v>2</v>
      </c>
      <c r="H688" s="14" t="b">
        <f aca="false">FALSE()</f>
        <v>0</v>
      </c>
      <c r="I688" s="14" t="b">
        <f aca="false">FALSE()</f>
        <v>0</v>
      </c>
      <c r="J688" s="4"/>
      <c r="K688" s="4" t="s">
        <v>2800</v>
      </c>
      <c r="L688" s="4" t="s">
        <v>2801</v>
      </c>
      <c r="M688" s="4" t="s">
        <v>2802</v>
      </c>
      <c r="N688" s="6" t="n">
        <v>4801</v>
      </c>
      <c r="O688" s="6" t="n">
        <v>43202</v>
      </c>
      <c r="P688" s="4" t="s">
        <v>46</v>
      </c>
      <c r="Q688" s="6" t="n">
        <v>136000</v>
      </c>
      <c r="R688" s="15" t="n">
        <v>44319</v>
      </c>
      <c r="S688" s="6"/>
      <c r="T688" s="15"/>
      <c r="U688" s="6"/>
      <c r="V688" s="15"/>
      <c r="W688" s="4" t="s">
        <v>47</v>
      </c>
      <c r="X688" s="4" t="s">
        <v>47</v>
      </c>
      <c r="Y688" s="4" t="s">
        <v>2803</v>
      </c>
      <c r="Z688" s="4" t="s">
        <v>2732</v>
      </c>
      <c r="AA688" s="6" t="n">
        <v>0</v>
      </c>
      <c r="AB688" s="6" t="n">
        <v>2968.98</v>
      </c>
      <c r="AC688" s="6" t="n">
        <v>3179.38</v>
      </c>
      <c r="AD688" s="14" t="b">
        <f aca="false">FALSE()</f>
        <v>0</v>
      </c>
    </row>
    <row r="689" customFormat="false" ht="15" hidden="false" customHeight="false" outlineLevel="0" collapsed="false">
      <c r="A689" s="14" t="b">
        <f aca="false">TRUE()</f>
        <v>1</v>
      </c>
      <c r="B689" s="14" t="b">
        <f aca="false">FALSE()</f>
        <v>0</v>
      </c>
      <c r="C689" s="4" t="n">
        <v>2</v>
      </c>
      <c r="D689" s="4"/>
      <c r="E689" s="4"/>
      <c r="F689" s="4"/>
      <c r="G689" s="4"/>
      <c r="H689" s="14" t="b">
        <f aca="false">FALSE()</f>
        <v>0</v>
      </c>
      <c r="I689" s="14" t="b">
        <f aca="false">FALSE()</f>
        <v>0</v>
      </c>
      <c r="J689" s="4"/>
      <c r="K689" s="4" t="s">
        <v>2804</v>
      </c>
      <c r="L689" s="4" t="s">
        <v>2805</v>
      </c>
      <c r="M689" s="4" t="s">
        <v>2806</v>
      </c>
      <c r="N689" s="6" t="n">
        <v>6369</v>
      </c>
      <c r="O689" s="6" t="n">
        <v>57325</v>
      </c>
      <c r="P689" s="4" t="s">
        <v>46</v>
      </c>
      <c r="Q689" s="6" t="n">
        <v>190500</v>
      </c>
      <c r="R689" s="15" t="n">
        <v>44796</v>
      </c>
      <c r="S689" s="6"/>
      <c r="T689" s="15"/>
      <c r="U689" s="6"/>
      <c r="V689" s="15"/>
      <c r="W689" s="4" t="s">
        <v>47</v>
      </c>
      <c r="X689" s="4" t="s">
        <v>47</v>
      </c>
      <c r="Y689" s="4" t="s">
        <v>2807</v>
      </c>
      <c r="Z689" s="4" t="s">
        <v>2732</v>
      </c>
      <c r="AA689" s="6" t="n">
        <v>0</v>
      </c>
      <c r="AB689" s="6" t="n">
        <v>4133.56</v>
      </c>
      <c r="AC689" s="6" t="n">
        <v>4422.58</v>
      </c>
      <c r="AD689" s="14" t="b">
        <f aca="false">FALSE()</f>
        <v>0</v>
      </c>
    </row>
    <row r="690" customFormat="false" ht="15" hidden="false" customHeight="false" outlineLevel="0" collapsed="false">
      <c r="A690" s="14" t="b">
        <f aca="false">TRUE()</f>
        <v>1</v>
      </c>
      <c r="B690" s="14" t="b">
        <f aca="false">FALSE()</f>
        <v>0</v>
      </c>
      <c r="C690" s="4" t="n">
        <v>2</v>
      </c>
      <c r="D690" s="4"/>
      <c r="E690" s="4"/>
      <c r="F690" s="4"/>
      <c r="G690" s="4"/>
      <c r="H690" s="14" t="b">
        <f aca="false">FALSE()</f>
        <v>0</v>
      </c>
      <c r="I690" s="14" t="b">
        <f aca="false">FALSE()</f>
        <v>0</v>
      </c>
      <c r="J690" s="4"/>
      <c r="K690" s="4" t="s">
        <v>2808</v>
      </c>
      <c r="L690" s="4" t="s">
        <v>2809</v>
      </c>
      <c r="M690" s="4" t="s">
        <v>2810</v>
      </c>
      <c r="N690" s="6" t="n">
        <v>6369</v>
      </c>
      <c r="O690" s="6" t="n">
        <v>57325</v>
      </c>
      <c r="P690" s="4" t="s">
        <v>46</v>
      </c>
      <c r="Q690" s="6" t="n">
        <v>224000</v>
      </c>
      <c r="R690" s="15" t="n">
        <v>45839</v>
      </c>
      <c r="S690" s="6"/>
      <c r="T690" s="15"/>
      <c r="U690" s="6"/>
      <c r="V690" s="15"/>
      <c r="W690" s="4" t="s">
        <v>47</v>
      </c>
      <c r="X690" s="4" t="s">
        <v>47</v>
      </c>
      <c r="Y690" s="4" t="s">
        <v>2811</v>
      </c>
      <c r="Z690" s="4" t="s">
        <v>2732</v>
      </c>
      <c r="AA690" s="6" t="n">
        <v>0</v>
      </c>
      <c r="AB690" s="6" t="n">
        <v>3539.8</v>
      </c>
      <c r="AC690" s="6" t="n">
        <v>1859.55</v>
      </c>
      <c r="AD690" s="14" t="b">
        <f aca="false">TRUE()</f>
        <v>1</v>
      </c>
    </row>
    <row r="691" customFormat="false" ht="15" hidden="false" customHeight="false" outlineLevel="0" collapsed="false">
      <c r="A691" s="14" t="b">
        <f aca="false">TRUE()</f>
        <v>1</v>
      </c>
      <c r="B691" s="14" t="b">
        <f aca="false">FALSE()</f>
        <v>0</v>
      </c>
      <c r="C691" s="4" t="n">
        <v>2</v>
      </c>
      <c r="D691" s="4"/>
      <c r="E691" s="4"/>
      <c r="F691" s="4"/>
      <c r="G691" s="4"/>
      <c r="H691" s="14" t="b">
        <f aca="false">FALSE()</f>
        <v>0</v>
      </c>
      <c r="I691" s="14" t="b">
        <f aca="false">FALSE()</f>
        <v>0</v>
      </c>
      <c r="J691" s="4"/>
      <c r="K691" s="4" t="s">
        <v>2812</v>
      </c>
      <c r="L691" s="4" t="s">
        <v>2813</v>
      </c>
      <c r="M691" s="4" t="s">
        <v>2814</v>
      </c>
      <c r="N691" s="6" t="n">
        <v>4477</v>
      </c>
      <c r="O691" s="6" t="n">
        <v>40304</v>
      </c>
      <c r="P691" s="4" t="s">
        <v>46</v>
      </c>
      <c r="Q691" s="6" t="n">
        <v>53000</v>
      </c>
      <c r="R691" s="15" t="n">
        <v>41493</v>
      </c>
      <c r="S691" s="6"/>
      <c r="T691" s="15"/>
      <c r="U691" s="6"/>
      <c r="V691" s="15"/>
      <c r="W691" s="4" t="s">
        <v>47</v>
      </c>
      <c r="X691" s="4" t="s">
        <v>47</v>
      </c>
      <c r="Y691" s="4" t="s">
        <v>2815</v>
      </c>
      <c r="Z691" s="4" t="s">
        <v>2732</v>
      </c>
      <c r="AA691" s="6" t="n">
        <v>0</v>
      </c>
      <c r="AB691" s="6" t="n">
        <v>2729.86</v>
      </c>
      <c r="AC691" s="6" t="n">
        <v>1436.35</v>
      </c>
      <c r="AD691" s="14" t="b">
        <f aca="false">TRUE()</f>
        <v>1</v>
      </c>
    </row>
    <row r="692" customFormat="false" ht="15" hidden="false" customHeight="false" outlineLevel="0" collapsed="false">
      <c r="A692" s="14" t="b">
        <f aca="false">TRUE()</f>
        <v>1</v>
      </c>
      <c r="B692" s="14" t="b">
        <f aca="false">FALSE()</f>
        <v>0</v>
      </c>
      <c r="C692" s="4" t="n">
        <v>2</v>
      </c>
      <c r="D692" s="4"/>
      <c r="E692" s="4"/>
      <c r="F692" s="4"/>
      <c r="G692" s="4"/>
      <c r="H692" s="14" t="b">
        <f aca="false">FALSE()</f>
        <v>0</v>
      </c>
      <c r="I692" s="14" t="b">
        <f aca="false">FALSE()</f>
        <v>0</v>
      </c>
      <c r="J692" s="4"/>
      <c r="K692" s="4" t="s">
        <v>2816</v>
      </c>
      <c r="L692" s="4" t="s">
        <v>2817</v>
      </c>
      <c r="M692" s="4" t="s">
        <v>2818</v>
      </c>
      <c r="N692" s="6" t="n">
        <v>4801</v>
      </c>
      <c r="O692" s="6" t="n">
        <v>43202</v>
      </c>
      <c r="P692" s="4" t="s">
        <v>46</v>
      </c>
      <c r="Q692" s="6" t="n">
        <v>211500</v>
      </c>
      <c r="R692" s="15" t="n">
        <v>45800</v>
      </c>
      <c r="S692" s="6"/>
      <c r="T692" s="15"/>
      <c r="U692" s="6"/>
      <c r="V692" s="15"/>
      <c r="W692" s="4" t="s">
        <v>47</v>
      </c>
      <c r="X692" s="4" t="s">
        <v>47</v>
      </c>
      <c r="Y692" s="4" t="s">
        <v>2819</v>
      </c>
      <c r="Z692" s="4" t="s">
        <v>2732</v>
      </c>
      <c r="AA692" s="6" t="n">
        <v>0</v>
      </c>
      <c r="AB692" s="6" t="n">
        <v>3562.74</v>
      </c>
      <c r="AC692" s="6" t="n">
        <v>1871.53</v>
      </c>
      <c r="AD692" s="14" t="b">
        <f aca="false">TRUE()</f>
        <v>1</v>
      </c>
    </row>
    <row r="693" customFormat="false" ht="15" hidden="false" customHeight="false" outlineLevel="0" collapsed="false">
      <c r="A693" s="14" t="b">
        <f aca="false">TRUE()</f>
        <v>1</v>
      </c>
      <c r="B693" s="14" t="b">
        <f aca="false">FALSE()</f>
        <v>0</v>
      </c>
      <c r="C693" s="4" t="n">
        <v>3</v>
      </c>
      <c r="D693" s="4"/>
      <c r="E693" s="4"/>
      <c r="F693" s="4"/>
      <c r="G693" s="4" t="n">
        <v>2</v>
      </c>
      <c r="H693" s="14" t="b">
        <f aca="false">FALSE()</f>
        <v>0</v>
      </c>
      <c r="I693" s="14" t="b">
        <f aca="false">FALSE()</f>
        <v>0</v>
      </c>
      <c r="J693" s="4"/>
      <c r="K693" s="4" t="s">
        <v>2820</v>
      </c>
      <c r="L693" s="4" t="s">
        <v>2821</v>
      </c>
      <c r="M693" s="4" t="s">
        <v>2822</v>
      </c>
      <c r="N693" s="6" t="n">
        <v>4801</v>
      </c>
      <c r="O693" s="6" t="n">
        <v>43202</v>
      </c>
      <c r="P693" s="4" t="s">
        <v>46</v>
      </c>
      <c r="Q693" s="6" t="n">
        <v>137500</v>
      </c>
      <c r="R693" s="15" t="n">
        <v>44469</v>
      </c>
      <c r="S693" s="6" t="n">
        <v>110000</v>
      </c>
      <c r="T693" s="15" t="n">
        <v>44469</v>
      </c>
      <c r="U693" s="6"/>
      <c r="V693" s="15"/>
      <c r="W693" s="4" t="s">
        <v>47</v>
      </c>
      <c r="X693" s="4" t="s">
        <v>47</v>
      </c>
      <c r="Y693" s="4" t="s">
        <v>2823</v>
      </c>
      <c r="Z693" s="4" t="s">
        <v>2732</v>
      </c>
      <c r="AA693" s="6" t="n">
        <v>0</v>
      </c>
      <c r="AB693" s="6" t="n">
        <v>2968.98</v>
      </c>
      <c r="AC693" s="6" t="n">
        <v>3179.38</v>
      </c>
      <c r="AD693" s="14" t="b">
        <f aca="false">FALSE()</f>
        <v>0</v>
      </c>
    </row>
    <row r="694" customFormat="false" ht="15" hidden="false" customHeight="false" outlineLevel="0" collapsed="false">
      <c r="A694" s="14" t="b">
        <f aca="false">TRUE()</f>
        <v>1</v>
      </c>
      <c r="B694" s="14" t="b">
        <f aca="false">FALSE()</f>
        <v>0</v>
      </c>
      <c r="C694" s="4" t="n">
        <v>2</v>
      </c>
      <c r="D694" s="4"/>
      <c r="E694" s="4"/>
      <c r="F694" s="4"/>
      <c r="G694" s="4"/>
      <c r="H694" s="14" t="b">
        <f aca="false">FALSE()</f>
        <v>0</v>
      </c>
      <c r="I694" s="14" t="b">
        <f aca="false">FALSE()</f>
        <v>0</v>
      </c>
      <c r="J694" s="4"/>
      <c r="K694" s="4" t="s">
        <v>2824</v>
      </c>
      <c r="L694" s="4" t="s">
        <v>2825</v>
      </c>
      <c r="M694" s="4" t="s">
        <v>2826</v>
      </c>
      <c r="N694" s="6" t="n">
        <v>6369</v>
      </c>
      <c r="O694" s="6" t="n">
        <v>57325</v>
      </c>
      <c r="P694" s="4" t="s">
        <v>46</v>
      </c>
      <c r="Q694" s="6" t="n">
        <v>220000</v>
      </c>
      <c r="R694" s="15" t="n">
        <v>45597</v>
      </c>
      <c r="S694" s="6"/>
      <c r="T694" s="15"/>
      <c r="U694" s="6"/>
      <c r="V694" s="15"/>
      <c r="W694" s="4" t="s">
        <v>47</v>
      </c>
      <c r="X694" s="4" t="s">
        <v>47</v>
      </c>
      <c r="Y694" s="4" t="s">
        <v>2827</v>
      </c>
      <c r="Z694" s="4" t="s">
        <v>2732</v>
      </c>
      <c r="AA694" s="6" t="n">
        <v>0</v>
      </c>
      <c r="AB694" s="6" t="n">
        <v>4133.56</v>
      </c>
      <c r="AC694" s="6" t="n">
        <v>4422.58</v>
      </c>
      <c r="AD694" s="14" t="b">
        <f aca="false">FALSE()</f>
        <v>0</v>
      </c>
    </row>
    <row r="695" customFormat="false" ht="15" hidden="false" customHeight="false" outlineLevel="0" collapsed="false">
      <c r="A695" s="14" t="b">
        <f aca="false">TRUE()</f>
        <v>1</v>
      </c>
      <c r="B695" s="14" t="b">
        <f aca="false">FALSE()</f>
        <v>0</v>
      </c>
      <c r="C695" s="4" t="n">
        <v>3</v>
      </c>
      <c r="D695" s="4"/>
      <c r="E695" s="4"/>
      <c r="F695" s="4"/>
      <c r="G695" s="4" t="n">
        <v>2</v>
      </c>
      <c r="H695" s="14" t="b">
        <f aca="false">TRUE()</f>
        <v>1</v>
      </c>
      <c r="I695" s="14" t="b">
        <f aca="false">FALSE()</f>
        <v>0</v>
      </c>
      <c r="J695" s="4"/>
      <c r="K695" s="4" t="s">
        <v>2828</v>
      </c>
      <c r="L695" s="4" t="s">
        <v>2829</v>
      </c>
      <c r="M695" s="4" t="s">
        <v>2830</v>
      </c>
      <c r="N695" s="6" t="n">
        <v>13009</v>
      </c>
      <c r="O695" s="6" t="n">
        <v>117018</v>
      </c>
      <c r="P695" s="4" t="s">
        <v>46</v>
      </c>
      <c r="Q695" s="6" t="n">
        <v>260000</v>
      </c>
      <c r="R695" s="15" t="n">
        <v>36825</v>
      </c>
      <c r="S695" s="6" t="n">
        <v>229100</v>
      </c>
      <c r="T695" s="15" t="n">
        <v>39769</v>
      </c>
      <c r="U695" s="6"/>
      <c r="V695" s="15"/>
      <c r="W695" s="4" t="s">
        <v>58</v>
      </c>
      <c r="X695" s="4" t="s">
        <v>58</v>
      </c>
      <c r="Y695" s="4" t="s">
        <v>2831</v>
      </c>
      <c r="Z695" s="4" t="s">
        <v>2732</v>
      </c>
      <c r="AA695" s="6" t="n">
        <v>0</v>
      </c>
      <c r="AB695" s="6" t="n">
        <v>9650.48</v>
      </c>
      <c r="AC695" s="6" t="n">
        <v>10311.89</v>
      </c>
      <c r="AD695" s="14" t="b">
        <f aca="false">FALSE()</f>
        <v>0</v>
      </c>
    </row>
    <row r="696" customFormat="false" ht="15" hidden="false" customHeight="false" outlineLevel="0" collapsed="false">
      <c r="A696" s="14" t="b">
        <f aca="false">TRUE()</f>
        <v>1</v>
      </c>
      <c r="B696" s="14" t="b">
        <f aca="false">FALSE()</f>
        <v>0</v>
      </c>
      <c r="C696" s="4" t="n">
        <v>2</v>
      </c>
      <c r="D696" s="4"/>
      <c r="E696" s="4"/>
      <c r="F696" s="4"/>
      <c r="G696" s="4"/>
      <c r="H696" s="14" t="b">
        <f aca="false">FALSE()</f>
        <v>0</v>
      </c>
      <c r="I696" s="14" t="b">
        <f aca="false">FALSE()</f>
        <v>0</v>
      </c>
      <c r="J696" s="4"/>
      <c r="K696" s="4" t="s">
        <v>2832</v>
      </c>
      <c r="L696" s="4" t="s">
        <v>2833</v>
      </c>
      <c r="M696" s="4" t="s">
        <v>2834</v>
      </c>
      <c r="N696" s="6" t="n">
        <v>124902</v>
      </c>
      <c r="O696" s="6" t="n">
        <v>238341</v>
      </c>
      <c r="P696" s="4" t="s">
        <v>46</v>
      </c>
      <c r="Q696" s="6"/>
      <c r="R696" s="15" t="n">
        <v>45875</v>
      </c>
      <c r="S696" s="6" t="n">
        <v>779000</v>
      </c>
      <c r="T696" s="15" t="n">
        <v>45875</v>
      </c>
      <c r="U696" s="6"/>
      <c r="V696" s="15"/>
      <c r="W696" s="4" t="s">
        <v>47</v>
      </c>
      <c r="X696" s="4" t="s">
        <v>47</v>
      </c>
      <c r="Y696" s="4" t="s">
        <v>2835</v>
      </c>
      <c r="Z696" s="4" t="s">
        <v>2732</v>
      </c>
      <c r="AA696" s="6" t="n">
        <v>0</v>
      </c>
      <c r="AB696" s="6" t="n">
        <v>17163.52</v>
      </c>
      <c r="AC696" s="6" t="n">
        <v>8977.94</v>
      </c>
      <c r="AD696" s="14" t="b">
        <f aca="false">TRUE()</f>
        <v>1</v>
      </c>
    </row>
    <row r="697" customFormat="false" ht="15" hidden="false" customHeight="false" outlineLevel="0" collapsed="false">
      <c r="A697" s="14" t="b">
        <f aca="false">TRUE()</f>
        <v>1</v>
      </c>
      <c r="B697" s="14" t="b">
        <f aca="false">FALSE()</f>
        <v>0</v>
      </c>
      <c r="C697" s="4" t="n">
        <v>2</v>
      </c>
      <c r="D697" s="4"/>
      <c r="E697" s="4"/>
      <c r="F697" s="4"/>
      <c r="G697" s="4"/>
      <c r="H697" s="14" t="b">
        <f aca="false">TRUE()</f>
        <v>1</v>
      </c>
      <c r="I697" s="14" t="b">
        <f aca="false">FALSE()</f>
        <v>0</v>
      </c>
      <c r="J697" s="4"/>
      <c r="K697" s="4" t="s">
        <v>2836</v>
      </c>
      <c r="L697" s="4" t="s">
        <v>2837</v>
      </c>
      <c r="M697" s="4" t="s">
        <v>2838</v>
      </c>
      <c r="N697" s="6" t="n">
        <v>129108</v>
      </c>
      <c r="O697" s="6" t="n">
        <v>184465</v>
      </c>
      <c r="P697" s="4" t="s">
        <v>46</v>
      </c>
      <c r="Q697" s="6" t="n">
        <v>575000</v>
      </c>
      <c r="R697" s="15" t="n">
        <v>43076</v>
      </c>
      <c r="S697" s="6" t="n">
        <v>675000</v>
      </c>
      <c r="T697" s="15" t="n">
        <v>43748</v>
      </c>
      <c r="U697" s="6" t="n">
        <v>300000</v>
      </c>
      <c r="V697" s="15" t="n">
        <v>43376</v>
      </c>
      <c r="W697" s="4" t="s">
        <v>58</v>
      </c>
      <c r="X697" s="4" t="s">
        <v>58</v>
      </c>
      <c r="Y697" s="4" t="s">
        <v>2839</v>
      </c>
      <c r="Z697" s="4" t="s">
        <v>2732</v>
      </c>
      <c r="AA697" s="6" t="n">
        <v>0</v>
      </c>
      <c r="AB697" s="6" t="n">
        <v>14897.54</v>
      </c>
      <c r="AC697" s="6" t="n">
        <v>7793.96</v>
      </c>
      <c r="AD697" s="14" t="b">
        <f aca="false">TRUE()</f>
        <v>1</v>
      </c>
    </row>
    <row r="698" customFormat="false" ht="15" hidden="false" customHeight="false" outlineLevel="0" collapsed="false">
      <c r="A698" s="14" t="b">
        <f aca="false">TRUE()</f>
        <v>1</v>
      </c>
      <c r="B698" s="14" t="b">
        <f aca="false">FALSE()</f>
        <v>0</v>
      </c>
      <c r="C698" s="4" t="n">
        <v>2</v>
      </c>
      <c r="D698" s="4"/>
      <c r="E698" s="4"/>
      <c r="F698" s="4"/>
      <c r="G698" s="4"/>
      <c r="H698" s="14" t="b">
        <f aca="false">FALSE()</f>
        <v>0</v>
      </c>
      <c r="I698" s="14" t="b">
        <f aca="false">FALSE()</f>
        <v>0</v>
      </c>
      <c r="J698" s="4"/>
      <c r="K698" s="4" t="s">
        <v>2840</v>
      </c>
      <c r="L698" s="4" t="s">
        <v>2841</v>
      </c>
      <c r="M698" s="4" t="s">
        <v>2842</v>
      </c>
      <c r="N698" s="6" t="n">
        <v>18341</v>
      </c>
      <c r="O698" s="6" t="n">
        <v>76628</v>
      </c>
      <c r="P698" s="4" t="s">
        <v>46</v>
      </c>
      <c r="Q698" s="6" t="n">
        <v>516000</v>
      </c>
      <c r="R698" s="15" t="n">
        <v>45476</v>
      </c>
      <c r="S698" s="6"/>
      <c r="T698" s="15"/>
      <c r="U698" s="6"/>
      <c r="V698" s="15"/>
      <c r="W698" s="4" t="s">
        <v>58</v>
      </c>
      <c r="X698" s="4" t="s">
        <v>47</v>
      </c>
      <c r="Y698" s="4" t="s">
        <v>2843</v>
      </c>
      <c r="Z698" s="4" t="s">
        <v>910</v>
      </c>
      <c r="AA698" s="6" t="n">
        <v>0</v>
      </c>
      <c r="AB698" s="6" t="n">
        <v>7378.64</v>
      </c>
      <c r="AC698" s="6" t="n">
        <v>3865.34</v>
      </c>
      <c r="AD698" s="14" t="b">
        <f aca="false">TRUE()</f>
        <v>1</v>
      </c>
    </row>
    <row r="699" customFormat="false" ht="15" hidden="false" customHeight="false" outlineLevel="0" collapsed="false">
      <c r="A699" s="14" t="b">
        <f aca="false">TRUE()</f>
        <v>1</v>
      </c>
      <c r="B699" s="14" t="b">
        <f aca="false">FALSE()</f>
        <v>0</v>
      </c>
      <c r="C699" s="4" t="n">
        <v>2</v>
      </c>
      <c r="D699" s="4"/>
      <c r="E699" s="4"/>
      <c r="F699" s="4"/>
      <c r="G699" s="4"/>
      <c r="H699" s="14" t="b">
        <f aca="false">FALSE()</f>
        <v>0</v>
      </c>
      <c r="I699" s="14" t="b">
        <f aca="false">FALSE()</f>
        <v>0</v>
      </c>
      <c r="J699" s="4"/>
      <c r="K699" s="4" t="s">
        <v>2844</v>
      </c>
      <c r="L699" s="4" t="s">
        <v>2845</v>
      </c>
      <c r="M699" s="4" t="s">
        <v>2846</v>
      </c>
      <c r="N699" s="6" t="n">
        <v>8067</v>
      </c>
      <c r="O699" s="6" t="n">
        <v>72605</v>
      </c>
      <c r="P699" s="4" t="s">
        <v>46</v>
      </c>
      <c r="Q699" s="6" t="n">
        <v>161500</v>
      </c>
      <c r="R699" s="15" t="n">
        <v>37540</v>
      </c>
      <c r="S699" s="6" t="n">
        <v>147520</v>
      </c>
      <c r="T699" s="15" t="n">
        <v>40667</v>
      </c>
      <c r="U699" s="6"/>
      <c r="V699" s="15"/>
      <c r="W699" s="4" t="s">
        <v>47</v>
      </c>
      <c r="X699" s="4" t="s">
        <v>47</v>
      </c>
      <c r="Y699" s="4" t="s">
        <v>2847</v>
      </c>
      <c r="Z699" s="4" t="s">
        <v>910</v>
      </c>
      <c r="AA699" s="6" t="n">
        <v>0</v>
      </c>
      <c r="AB699" s="6" t="n">
        <v>5024.7</v>
      </c>
      <c r="AC699" s="6" t="n">
        <v>2635.41</v>
      </c>
      <c r="AD699" s="14" t="b">
        <f aca="false">TRUE()</f>
        <v>1</v>
      </c>
    </row>
    <row r="700" customFormat="false" ht="15" hidden="false" customHeight="false" outlineLevel="0" collapsed="false">
      <c r="A700" s="14" t="b">
        <f aca="false">TRUE()</f>
        <v>1</v>
      </c>
      <c r="B700" s="14" t="b">
        <f aca="false">FALSE()</f>
        <v>0</v>
      </c>
      <c r="C700" s="4" t="n">
        <v>2</v>
      </c>
      <c r="D700" s="4"/>
      <c r="E700" s="4"/>
      <c r="F700" s="4"/>
      <c r="G700" s="4"/>
      <c r="H700" s="14" t="b">
        <f aca="false">TRUE()</f>
        <v>1</v>
      </c>
      <c r="I700" s="14" t="b">
        <f aca="false">FALSE()</f>
        <v>0</v>
      </c>
      <c r="J700" s="4"/>
      <c r="K700" s="4" t="s">
        <v>2848</v>
      </c>
      <c r="L700" s="4" t="s">
        <v>2849</v>
      </c>
      <c r="M700" s="4" t="s">
        <v>2850</v>
      </c>
      <c r="N700" s="6" t="n">
        <v>5461</v>
      </c>
      <c r="O700" s="6" t="n">
        <v>49139</v>
      </c>
      <c r="P700" s="4" t="s">
        <v>46</v>
      </c>
      <c r="Q700" s="6"/>
      <c r="R700" s="15"/>
      <c r="S700" s="6"/>
      <c r="T700" s="15"/>
      <c r="U700" s="6"/>
      <c r="V700" s="15"/>
      <c r="W700" s="4" t="s">
        <v>47</v>
      </c>
      <c r="X700" s="4" t="s">
        <v>58</v>
      </c>
      <c r="Y700" s="4" t="s">
        <v>2851</v>
      </c>
      <c r="Z700" s="4" t="s">
        <v>910</v>
      </c>
      <c r="AA700" s="6" t="n">
        <v>0</v>
      </c>
      <c r="AB700" s="6" t="n">
        <v>2268.68</v>
      </c>
      <c r="AC700" s="6" t="n">
        <v>1195.39</v>
      </c>
      <c r="AD700" s="14" t="b">
        <f aca="false">TRUE()</f>
        <v>1</v>
      </c>
    </row>
    <row r="701" customFormat="false" ht="15" hidden="false" customHeight="false" outlineLevel="0" collapsed="false">
      <c r="A701" s="14" t="b">
        <f aca="false">TRUE()</f>
        <v>1</v>
      </c>
      <c r="B701" s="14" t="b">
        <f aca="false">FALSE()</f>
        <v>0</v>
      </c>
      <c r="C701" s="4" t="n">
        <v>2</v>
      </c>
      <c r="D701" s="4"/>
      <c r="E701" s="4"/>
      <c r="F701" s="4"/>
      <c r="G701" s="4"/>
      <c r="H701" s="14" t="b">
        <f aca="false">FALSE()</f>
        <v>0</v>
      </c>
      <c r="I701" s="14" t="b">
        <f aca="false">FALSE()</f>
        <v>0</v>
      </c>
      <c r="J701" s="4"/>
      <c r="K701" s="4" t="s">
        <v>2852</v>
      </c>
      <c r="L701" s="4" t="s">
        <v>2853</v>
      </c>
      <c r="M701" s="4" t="s">
        <v>2854</v>
      </c>
      <c r="N701" s="6" t="n">
        <v>5461</v>
      </c>
      <c r="O701" s="6" t="n">
        <v>49139</v>
      </c>
      <c r="P701" s="4" t="s">
        <v>46</v>
      </c>
      <c r="Q701" s="6" t="n">
        <v>160000</v>
      </c>
      <c r="R701" s="15" t="n">
        <v>44699</v>
      </c>
      <c r="S701" s="6" t="n">
        <v>128000</v>
      </c>
      <c r="T701" s="15" t="n">
        <v>44699</v>
      </c>
      <c r="U701" s="6"/>
      <c r="V701" s="15"/>
      <c r="W701" s="4" t="s">
        <v>47</v>
      </c>
      <c r="X701" s="4" t="s">
        <v>47</v>
      </c>
      <c r="Y701" s="4" t="s">
        <v>2855</v>
      </c>
      <c r="Z701" s="4" t="s">
        <v>910</v>
      </c>
      <c r="AA701" s="6" t="n">
        <v>0</v>
      </c>
      <c r="AB701" s="6" t="n">
        <v>3620.6</v>
      </c>
      <c r="AC701" s="6" t="n">
        <v>1901.76</v>
      </c>
      <c r="AD701" s="14" t="b">
        <f aca="false">TRUE()</f>
        <v>1</v>
      </c>
    </row>
    <row r="702" customFormat="false" ht="15" hidden="false" customHeight="false" outlineLevel="0" collapsed="false">
      <c r="A702" s="14" t="b">
        <f aca="false">TRUE()</f>
        <v>1</v>
      </c>
      <c r="B702" s="14" t="b">
        <f aca="false">FALSE()</f>
        <v>0</v>
      </c>
      <c r="C702" s="4" t="n">
        <v>2</v>
      </c>
      <c r="D702" s="4"/>
      <c r="E702" s="4"/>
      <c r="F702" s="4"/>
      <c r="G702" s="4" t="n">
        <v>2</v>
      </c>
      <c r="H702" s="14" t="b">
        <f aca="false">FALSE()</f>
        <v>0</v>
      </c>
      <c r="I702" s="14" t="b">
        <f aca="false">FALSE()</f>
        <v>0</v>
      </c>
      <c r="J702" s="4"/>
      <c r="K702" s="4" t="s">
        <v>2856</v>
      </c>
      <c r="L702" s="4" t="s">
        <v>2857</v>
      </c>
      <c r="M702" s="4" t="s">
        <v>2858</v>
      </c>
      <c r="N702" s="6" t="n">
        <v>6067</v>
      </c>
      <c r="O702" s="6" t="n">
        <v>54665</v>
      </c>
      <c r="P702" s="4" t="s">
        <v>46</v>
      </c>
      <c r="Q702" s="6" t="n">
        <v>225000</v>
      </c>
      <c r="R702" s="15" t="n">
        <v>44862</v>
      </c>
      <c r="S702" s="6"/>
      <c r="T702" s="15"/>
      <c r="U702" s="6"/>
      <c r="V702" s="15"/>
      <c r="W702" s="4" t="s">
        <v>47</v>
      </c>
      <c r="X702" s="4" t="s">
        <v>47</v>
      </c>
      <c r="Y702" s="4" t="s">
        <v>2859</v>
      </c>
      <c r="Z702" s="4" t="s">
        <v>910</v>
      </c>
      <c r="AA702" s="6" t="n">
        <v>0</v>
      </c>
      <c r="AB702" s="6" t="n">
        <v>4097.02</v>
      </c>
      <c r="AC702" s="6" t="n">
        <v>2150.69</v>
      </c>
      <c r="AD702" s="14" t="b">
        <f aca="false">TRUE()</f>
        <v>1</v>
      </c>
    </row>
    <row r="703" customFormat="false" ht="15" hidden="false" customHeight="false" outlineLevel="0" collapsed="false">
      <c r="A703" s="14" t="b">
        <f aca="false">TRUE()</f>
        <v>1</v>
      </c>
      <c r="B703" s="14" t="b">
        <f aca="false">FALSE()</f>
        <v>0</v>
      </c>
      <c r="C703" s="4" t="n">
        <v>2</v>
      </c>
      <c r="D703" s="4"/>
      <c r="E703" s="4"/>
      <c r="F703" s="4"/>
      <c r="G703" s="4"/>
      <c r="H703" s="14" t="b">
        <f aca="false">FALSE()</f>
        <v>0</v>
      </c>
      <c r="I703" s="14" t="b">
        <f aca="false">FALSE()</f>
        <v>0</v>
      </c>
      <c r="J703" s="4"/>
      <c r="K703" s="4" t="s">
        <v>2860</v>
      </c>
      <c r="L703" s="4" t="s">
        <v>2861</v>
      </c>
      <c r="M703" s="4" t="s">
        <v>2862</v>
      </c>
      <c r="N703" s="6" t="n">
        <v>6175</v>
      </c>
      <c r="O703" s="6" t="n">
        <v>55552</v>
      </c>
      <c r="P703" s="4" t="s">
        <v>46</v>
      </c>
      <c r="Q703" s="6"/>
      <c r="R703" s="15" t="n">
        <v>45846</v>
      </c>
      <c r="S703" s="6" t="n">
        <v>205600</v>
      </c>
      <c r="T703" s="15" t="n">
        <v>45846</v>
      </c>
      <c r="U703" s="6"/>
      <c r="V703" s="15"/>
      <c r="W703" s="4" t="s">
        <v>47</v>
      </c>
      <c r="X703" s="4" t="s">
        <v>47</v>
      </c>
      <c r="Y703" s="4" t="s">
        <v>2863</v>
      </c>
      <c r="Z703" s="4" t="s">
        <v>910</v>
      </c>
      <c r="AA703" s="6" t="n">
        <v>0</v>
      </c>
      <c r="AB703" s="6" t="n">
        <v>4174.32</v>
      </c>
      <c r="AC703" s="6" t="n">
        <v>2191.08</v>
      </c>
      <c r="AD703" s="14" t="b">
        <f aca="false">TRUE()</f>
        <v>1</v>
      </c>
    </row>
    <row r="704" customFormat="false" ht="15" hidden="false" customHeight="false" outlineLevel="0" collapsed="false">
      <c r="A704" s="14" t="b">
        <f aca="false">TRUE()</f>
        <v>1</v>
      </c>
      <c r="B704" s="14" t="b">
        <f aca="false">FALSE()</f>
        <v>0</v>
      </c>
      <c r="C704" s="4" t="n">
        <v>3</v>
      </c>
      <c r="D704" s="4"/>
      <c r="E704" s="4"/>
      <c r="F704" s="4"/>
      <c r="G704" s="4"/>
      <c r="H704" s="14" t="b">
        <f aca="false">FALSE()</f>
        <v>0</v>
      </c>
      <c r="I704" s="14" t="b">
        <f aca="false">FALSE()</f>
        <v>0</v>
      </c>
      <c r="J704" s="4"/>
      <c r="K704" s="4" t="s">
        <v>2864</v>
      </c>
      <c r="L704" s="4" t="s">
        <v>2865</v>
      </c>
      <c r="M704" s="4" t="s">
        <v>2866</v>
      </c>
      <c r="N704" s="6" t="n">
        <v>4358</v>
      </c>
      <c r="O704" s="6" t="n">
        <v>39168</v>
      </c>
      <c r="P704" s="4" t="s">
        <v>46</v>
      </c>
      <c r="Q704" s="6" t="n">
        <v>127000</v>
      </c>
      <c r="R704" s="15" t="n">
        <v>39021</v>
      </c>
      <c r="S704" s="6" t="n">
        <v>101520</v>
      </c>
      <c r="T704" s="15" t="n">
        <v>39021</v>
      </c>
      <c r="U704" s="6" t="n">
        <v>25380</v>
      </c>
      <c r="V704" s="15" t="n">
        <v>39021</v>
      </c>
      <c r="W704" s="4" t="s">
        <v>47</v>
      </c>
      <c r="X704" s="4" t="s">
        <v>58</v>
      </c>
      <c r="Y704" s="4" t="s">
        <v>2867</v>
      </c>
      <c r="Z704" s="4" t="s">
        <v>910</v>
      </c>
      <c r="AA704" s="6" t="n">
        <v>0</v>
      </c>
      <c r="AB704" s="6" t="n">
        <v>3381.76</v>
      </c>
      <c r="AC704" s="6" t="n">
        <v>3620.03</v>
      </c>
      <c r="AD704" s="14" t="b">
        <f aca="false">FALSE()</f>
        <v>0</v>
      </c>
    </row>
    <row r="705" customFormat="false" ht="15" hidden="false" customHeight="false" outlineLevel="0" collapsed="false">
      <c r="A705" s="14" t="b">
        <f aca="false">TRUE()</f>
        <v>1</v>
      </c>
      <c r="B705" s="14" t="b">
        <f aca="false">FALSE()</f>
        <v>0</v>
      </c>
      <c r="C705" s="4" t="n">
        <v>2</v>
      </c>
      <c r="D705" s="4"/>
      <c r="E705" s="4"/>
      <c r="F705" s="4"/>
      <c r="G705" s="4"/>
      <c r="H705" s="14" t="b">
        <f aca="false">FALSE()</f>
        <v>0</v>
      </c>
      <c r="I705" s="14" t="b">
        <f aca="false">FALSE()</f>
        <v>0</v>
      </c>
      <c r="J705" s="4"/>
      <c r="K705" s="4" t="s">
        <v>2868</v>
      </c>
      <c r="L705" s="4" t="s">
        <v>2869</v>
      </c>
      <c r="M705" s="4" t="s">
        <v>2870</v>
      </c>
      <c r="N705" s="6" t="n">
        <v>5731</v>
      </c>
      <c r="O705" s="6" t="n">
        <v>51550</v>
      </c>
      <c r="P705" s="4" t="s">
        <v>46</v>
      </c>
      <c r="Q705" s="6" t="n">
        <v>170000</v>
      </c>
      <c r="R705" s="15" t="n">
        <v>44972</v>
      </c>
      <c r="S705" s="6"/>
      <c r="T705" s="15"/>
      <c r="U705" s="6"/>
      <c r="V705" s="15"/>
      <c r="W705" s="4" t="s">
        <v>47</v>
      </c>
      <c r="X705" s="4" t="s">
        <v>47</v>
      </c>
      <c r="Y705" s="4" t="s">
        <v>2871</v>
      </c>
      <c r="Z705" s="4" t="s">
        <v>910</v>
      </c>
      <c r="AA705" s="6" t="n">
        <v>0</v>
      </c>
      <c r="AB705" s="6" t="n">
        <v>3828.9</v>
      </c>
      <c r="AC705" s="6" t="n">
        <v>2010.6</v>
      </c>
      <c r="AD705" s="14" t="b">
        <f aca="false">TRUE()</f>
        <v>1</v>
      </c>
    </row>
    <row r="706" customFormat="false" ht="15" hidden="false" customHeight="false" outlineLevel="0" collapsed="false">
      <c r="A706" s="14" t="b">
        <f aca="false">TRUE()</f>
        <v>1</v>
      </c>
      <c r="B706" s="14" t="b">
        <f aca="false">FALSE()</f>
        <v>0</v>
      </c>
      <c r="C706" s="4" t="n">
        <v>2</v>
      </c>
      <c r="D706" s="4"/>
      <c r="E706" s="4"/>
      <c r="F706" s="4"/>
      <c r="G706" s="4"/>
      <c r="H706" s="14" t="b">
        <f aca="false">FALSE()</f>
        <v>0</v>
      </c>
      <c r="I706" s="14" t="b">
        <f aca="false">FALSE()</f>
        <v>0</v>
      </c>
      <c r="J706" s="4"/>
      <c r="K706" s="4" t="s">
        <v>2872</v>
      </c>
      <c r="L706" s="4" t="s">
        <v>2873</v>
      </c>
      <c r="M706" s="4" t="s">
        <v>2874</v>
      </c>
      <c r="N706" s="6" t="n">
        <v>5353</v>
      </c>
      <c r="O706" s="6" t="n">
        <v>48176</v>
      </c>
      <c r="P706" s="4" t="s">
        <v>46</v>
      </c>
      <c r="Q706" s="6" t="n">
        <v>180000</v>
      </c>
      <c r="R706" s="15" t="n">
        <v>45856</v>
      </c>
      <c r="S706" s="6"/>
      <c r="T706" s="15"/>
      <c r="U706" s="6"/>
      <c r="V706" s="15"/>
      <c r="W706" s="4" t="s">
        <v>47</v>
      </c>
      <c r="X706" s="4" t="s">
        <v>47</v>
      </c>
      <c r="Y706" s="4" t="s">
        <v>2875</v>
      </c>
      <c r="Z706" s="4" t="s">
        <v>910</v>
      </c>
      <c r="AA706" s="6" t="n">
        <v>0</v>
      </c>
      <c r="AB706" s="6" t="n">
        <v>3537.38</v>
      </c>
      <c r="AC706" s="6" t="n">
        <v>1858.28</v>
      </c>
      <c r="AD706" s="14" t="b">
        <f aca="false">TRUE()</f>
        <v>1</v>
      </c>
    </row>
    <row r="707" customFormat="false" ht="15" hidden="false" customHeight="false" outlineLevel="0" collapsed="false">
      <c r="A707" s="14" t="b">
        <f aca="false">TRUE()</f>
        <v>1</v>
      </c>
      <c r="B707" s="14" t="b">
        <f aca="false">FALSE()</f>
        <v>0</v>
      </c>
      <c r="C707" s="4" t="n">
        <v>2</v>
      </c>
      <c r="D707" s="4"/>
      <c r="E707" s="4"/>
      <c r="F707" s="4"/>
      <c r="G707" s="4" t="n">
        <v>2</v>
      </c>
      <c r="H707" s="14" t="b">
        <f aca="false">TRUE()</f>
        <v>1</v>
      </c>
      <c r="I707" s="14" t="b">
        <f aca="false">FALSE()</f>
        <v>0</v>
      </c>
      <c r="J707" s="4"/>
      <c r="K707" s="4" t="s">
        <v>2876</v>
      </c>
      <c r="L707" s="4" t="s">
        <v>2877</v>
      </c>
      <c r="M707" s="4" t="s">
        <v>2878</v>
      </c>
      <c r="N707" s="6" t="n">
        <v>10198</v>
      </c>
      <c r="O707" s="6" t="n">
        <v>91832</v>
      </c>
      <c r="P707" s="4" t="s">
        <v>46</v>
      </c>
      <c r="Q707" s="6" t="n">
        <v>250000</v>
      </c>
      <c r="R707" s="15" t="n">
        <v>42426</v>
      </c>
      <c r="S707" s="6"/>
      <c r="T707" s="15"/>
      <c r="U707" s="6"/>
      <c r="V707" s="15"/>
      <c r="W707" s="4" t="s">
        <v>47</v>
      </c>
      <c r="X707" s="4" t="s">
        <v>47</v>
      </c>
      <c r="Y707" s="4" t="s">
        <v>2879</v>
      </c>
      <c r="Z707" s="4" t="s">
        <v>910</v>
      </c>
      <c r="AA707" s="6" t="n">
        <v>0</v>
      </c>
      <c r="AB707" s="6" t="n">
        <v>7305.66</v>
      </c>
      <c r="AC707" s="6" t="n">
        <v>7808.79</v>
      </c>
      <c r="AD707" s="14" t="b">
        <f aca="false">FALSE()</f>
        <v>0</v>
      </c>
    </row>
    <row r="708" customFormat="false" ht="15" hidden="false" customHeight="false" outlineLevel="0" collapsed="false">
      <c r="A708" s="14" t="b">
        <f aca="false">TRUE()</f>
        <v>1</v>
      </c>
      <c r="B708" s="14" t="b">
        <f aca="false">FALSE()</f>
        <v>0</v>
      </c>
      <c r="C708" s="4" t="n">
        <v>2</v>
      </c>
      <c r="D708" s="4"/>
      <c r="E708" s="4"/>
      <c r="F708" s="4"/>
      <c r="G708" s="4" t="n">
        <v>2</v>
      </c>
      <c r="H708" s="14" t="b">
        <f aca="false">FALSE()</f>
        <v>0</v>
      </c>
      <c r="I708" s="14" t="b">
        <f aca="false">FALSE()</f>
        <v>0</v>
      </c>
      <c r="J708" s="4"/>
      <c r="K708" s="4" t="s">
        <v>2880</v>
      </c>
      <c r="L708" s="4" t="s">
        <v>2881</v>
      </c>
      <c r="M708" s="4" t="s">
        <v>2882</v>
      </c>
      <c r="N708" s="6" t="n">
        <v>6964</v>
      </c>
      <c r="O708" s="6" t="n">
        <v>62613</v>
      </c>
      <c r="P708" s="4" t="s">
        <v>46</v>
      </c>
      <c r="Q708" s="6" t="n">
        <v>175000</v>
      </c>
      <c r="R708" s="15" t="n">
        <v>45931</v>
      </c>
      <c r="S708" s="6"/>
      <c r="T708" s="15"/>
      <c r="U708" s="6"/>
      <c r="V708" s="15"/>
      <c r="W708" s="4" t="s">
        <v>47</v>
      </c>
      <c r="X708" s="4" t="s">
        <v>47</v>
      </c>
      <c r="Y708" s="4" t="s">
        <v>2883</v>
      </c>
      <c r="Z708" s="4" t="s">
        <v>910</v>
      </c>
      <c r="AA708" s="6" t="n">
        <v>0</v>
      </c>
      <c r="AB708" s="6" t="n">
        <v>4784.24</v>
      </c>
      <c r="AC708" s="6" t="n">
        <v>5117.18</v>
      </c>
      <c r="AD708" s="14" t="b">
        <f aca="false">FALSE()</f>
        <v>0</v>
      </c>
    </row>
    <row r="709" customFormat="false" ht="15" hidden="false" customHeight="false" outlineLevel="0" collapsed="false">
      <c r="A709" s="14" t="b">
        <f aca="false">TRUE()</f>
        <v>1</v>
      </c>
      <c r="B709" s="14" t="b">
        <f aca="false">FALSE()</f>
        <v>0</v>
      </c>
      <c r="C709" s="4" t="n">
        <v>2</v>
      </c>
      <c r="D709" s="4"/>
      <c r="E709" s="4"/>
      <c r="F709" s="4"/>
      <c r="G709" s="4" t="n">
        <v>3</v>
      </c>
      <c r="H709" s="14" t="b">
        <f aca="false">FALSE()</f>
        <v>0</v>
      </c>
      <c r="I709" s="14" t="b">
        <f aca="false">FALSE()</f>
        <v>0</v>
      </c>
      <c r="J709" s="4"/>
      <c r="K709" s="4" t="s">
        <v>2884</v>
      </c>
      <c r="L709" s="4" t="s">
        <v>2885</v>
      </c>
      <c r="M709" s="4" t="s">
        <v>2886</v>
      </c>
      <c r="N709" s="6" t="n">
        <v>14210</v>
      </c>
      <c r="O709" s="6" t="n">
        <v>127908</v>
      </c>
      <c r="P709" s="4" t="s">
        <v>46</v>
      </c>
      <c r="Q709" s="6" t="n">
        <v>365000</v>
      </c>
      <c r="R709" s="15" t="n">
        <v>45629</v>
      </c>
      <c r="S709" s="6" t="n">
        <v>375000</v>
      </c>
      <c r="T709" s="15" t="n">
        <v>45870</v>
      </c>
      <c r="U709" s="6"/>
      <c r="V709" s="15"/>
      <c r="W709" s="4" t="s">
        <v>47</v>
      </c>
      <c r="X709" s="4" t="s">
        <v>47</v>
      </c>
      <c r="Y709" s="4" t="s">
        <v>2887</v>
      </c>
      <c r="Z709" s="4" t="s">
        <v>2732</v>
      </c>
      <c r="AA709" s="6" t="n">
        <v>0</v>
      </c>
      <c r="AB709" s="6" t="n">
        <v>5698.68</v>
      </c>
      <c r="AC709" s="6" t="n">
        <v>2987.56</v>
      </c>
      <c r="AD709" s="14" t="b">
        <f aca="false">TRUE()</f>
        <v>1</v>
      </c>
    </row>
    <row r="710" customFormat="false" ht="15" hidden="false" customHeight="false" outlineLevel="0" collapsed="false">
      <c r="A710" s="14" t="b">
        <f aca="false">TRUE()</f>
        <v>1</v>
      </c>
      <c r="B710" s="14" t="b">
        <f aca="false">FALSE()</f>
        <v>0</v>
      </c>
      <c r="C710" s="4" t="n">
        <v>2</v>
      </c>
      <c r="D710" s="4"/>
      <c r="E710" s="4"/>
      <c r="F710" s="4"/>
      <c r="G710" s="4"/>
      <c r="H710" s="14" t="b">
        <f aca="false">FALSE()</f>
        <v>0</v>
      </c>
      <c r="I710" s="14" t="b">
        <f aca="false">FALSE()</f>
        <v>0</v>
      </c>
      <c r="J710" s="4"/>
      <c r="K710" s="4" t="s">
        <v>2749</v>
      </c>
      <c r="L710" s="4" t="s">
        <v>2888</v>
      </c>
      <c r="M710" s="4" t="s">
        <v>2889</v>
      </c>
      <c r="N710" s="6" t="n">
        <v>14880</v>
      </c>
      <c r="O710" s="6" t="n">
        <v>133942</v>
      </c>
      <c r="P710" s="4" t="s">
        <v>46</v>
      </c>
      <c r="Q710" s="6" t="n">
        <v>447500</v>
      </c>
      <c r="R710" s="15" t="n">
        <v>43910</v>
      </c>
      <c r="S710" s="6"/>
      <c r="T710" s="15"/>
      <c r="U710" s="6"/>
      <c r="V710" s="15"/>
      <c r="W710" s="4" t="s">
        <v>47</v>
      </c>
      <c r="X710" s="4" t="s">
        <v>47</v>
      </c>
      <c r="Y710" s="4" t="s">
        <v>2890</v>
      </c>
      <c r="Z710" s="4" t="s">
        <v>2732</v>
      </c>
      <c r="AA710" s="6" t="n">
        <v>0</v>
      </c>
      <c r="AB710" s="6" t="n">
        <v>8231.62</v>
      </c>
      <c r="AC710" s="6" t="n">
        <v>8797.25</v>
      </c>
      <c r="AD710" s="14" t="b">
        <f aca="false">FALSE()</f>
        <v>0</v>
      </c>
    </row>
    <row r="711" customFormat="false" ht="15" hidden="false" customHeight="false" outlineLevel="0" collapsed="false">
      <c r="A711" s="14" t="b">
        <f aca="false">TRUE()</f>
        <v>1</v>
      </c>
      <c r="B711" s="14" t="b">
        <f aca="false">FALSE()</f>
        <v>0</v>
      </c>
      <c r="C711" s="4" t="n">
        <v>2</v>
      </c>
      <c r="D711" s="4"/>
      <c r="E711" s="4"/>
      <c r="F711" s="4"/>
      <c r="G711" s="4"/>
      <c r="H711" s="14" t="b">
        <f aca="false">TRUE()</f>
        <v>1</v>
      </c>
      <c r="I711" s="14" t="b">
        <f aca="false">FALSE()</f>
        <v>0</v>
      </c>
      <c r="J711" s="4"/>
      <c r="K711" s="4" t="s">
        <v>2891</v>
      </c>
      <c r="L711" s="4" t="s">
        <v>2892</v>
      </c>
      <c r="M711" s="4" t="s">
        <v>2893</v>
      </c>
      <c r="N711" s="6" t="n">
        <v>11960</v>
      </c>
      <c r="O711" s="6" t="n">
        <v>107588</v>
      </c>
      <c r="P711" s="4" t="s">
        <v>46</v>
      </c>
      <c r="Q711" s="6" t="n">
        <v>332000</v>
      </c>
      <c r="R711" s="15" t="n">
        <v>38547</v>
      </c>
      <c r="S711" s="6"/>
      <c r="T711" s="15"/>
      <c r="U711" s="6"/>
      <c r="V711" s="15"/>
      <c r="W711" s="4" t="s">
        <v>47</v>
      </c>
      <c r="X711" s="4" t="s">
        <v>58</v>
      </c>
      <c r="Y711" s="4" t="s">
        <v>2894</v>
      </c>
      <c r="Z711" s="4" t="s">
        <v>2732</v>
      </c>
      <c r="AA711" s="6" t="n">
        <v>0</v>
      </c>
      <c r="AB711" s="6" t="n">
        <v>6988.06</v>
      </c>
      <c r="AC711" s="6" t="n">
        <v>7469.75</v>
      </c>
      <c r="AD711" s="14" t="b">
        <f aca="false">FALSE()</f>
        <v>0</v>
      </c>
    </row>
    <row r="712" customFormat="false" ht="15" hidden="false" customHeight="false" outlineLevel="0" collapsed="false">
      <c r="A712" s="14" t="b">
        <f aca="false">TRUE()</f>
        <v>1</v>
      </c>
      <c r="B712" s="14" t="b">
        <f aca="false">FALSE()</f>
        <v>0</v>
      </c>
      <c r="C712" s="4" t="n">
        <v>2</v>
      </c>
      <c r="D712" s="4"/>
      <c r="E712" s="4"/>
      <c r="F712" s="4"/>
      <c r="G712" s="4" t="n">
        <v>3</v>
      </c>
      <c r="H712" s="14" t="b">
        <f aca="false">FALSE()</f>
        <v>0</v>
      </c>
      <c r="I712" s="14" t="b">
        <f aca="false">FALSE()</f>
        <v>0</v>
      </c>
      <c r="J712" s="4"/>
      <c r="K712" s="4" t="s">
        <v>2895</v>
      </c>
      <c r="L712" s="4" t="s">
        <v>2896</v>
      </c>
      <c r="M712" s="4" t="s">
        <v>2897</v>
      </c>
      <c r="N712" s="6" t="n">
        <v>9278</v>
      </c>
      <c r="O712" s="6" t="n">
        <v>83495</v>
      </c>
      <c r="P712" s="4" t="s">
        <v>46</v>
      </c>
      <c r="Q712" s="6" t="n">
        <v>240000</v>
      </c>
      <c r="R712" s="15" t="n">
        <v>44231</v>
      </c>
      <c r="S712" s="6"/>
      <c r="T712" s="15"/>
      <c r="U712" s="6"/>
      <c r="V712" s="15"/>
      <c r="W712" s="4" t="s">
        <v>47</v>
      </c>
      <c r="X712" s="4" t="s">
        <v>47</v>
      </c>
      <c r="Y712" s="4" t="s">
        <v>2898</v>
      </c>
      <c r="Z712" s="4" t="s">
        <v>910</v>
      </c>
      <c r="AA712" s="6" t="n">
        <v>0</v>
      </c>
      <c r="AB712" s="6" t="n">
        <v>6586.44</v>
      </c>
      <c r="AC712" s="6" t="n">
        <v>7041.02</v>
      </c>
      <c r="AD712" s="14" t="b">
        <f aca="false">FALSE()</f>
        <v>0</v>
      </c>
    </row>
    <row r="713" customFormat="false" ht="15" hidden="false" customHeight="false" outlineLevel="0" collapsed="false">
      <c r="A713" s="14" t="b">
        <f aca="false">TRUE()</f>
        <v>1</v>
      </c>
      <c r="B713" s="14" t="b">
        <f aca="false">FALSE()</f>
        <v>0</v>
      </c>
      <c r="C713" s="4" t="n">
        <v>2</v>
      </c>
      <c r="D713" s="4"/>
      <c r="E713" s="4"/>
      <c r="F713" s="4"/>
      <c r="G713" s="4"/>
      <c r="H713" s="14" t="b">
        <f aca="false">FALSE()</f>
        <v>0</v>
      </c>
      <c r="I713" s="14" t="b">
        <f aca="false">FALSE()</f>
        <v>0</v>
      </c>
      <c r="J713" s="4"/>
      <c r="K713" s="4" t="s">
        <v>2899</v>
      </c>
      <c r="L713" s="4" t="s">
        <v>2900</v>
      </c>
      <c r="M713" s="4" t="s">
        <v>2901</v>
      </c>
      <c r="N713" s="6" t="n">
        <v>8521</v>
      </c>
      <c r="O713" s="6" t="n">
        <v>76671</v>
      </c>
      <c r="P713" s="4" t="s">
        <v>46</v>
      </c>
      <c r="Q713" s="6"/>
      <c r="R713" s="15" t="n">
        <v>43045</v>
      </c>
      <c r="S713" s="6"/>
      <c r="T713" s="15"/>
      <c r="U713" s="6"/>
      <c r="V713" s="15"/>
      <c r="W713" s="4" t="s">
        <v>47</v>
      </c>
      <c r="X713" s="4" t="s">
        <v>47</v>
      </c>
      <c r="Y713" s="4" t="s">
        <v>2902</v>
      </c>
      <c r="Z713" s="4" t="s">
        <v>910</v>
      </c>
      <c r="AA713" s="6" t="n">
        <v>0</v>
      </c>
      <c r="AB713" s="6" t="n">
        <v>5997.44</v>
      </c>
      <c r="AC713" s="6" t="n">
        <v>3143.66</v>
      </c>
      <c r="AD713" s="14" t="b">
        <f aca="false">TRUE()</f>
        <v>1</v>
      </c>
    </row>
    <row r="714" customFormat="false" ht="15" hidden="false" customHeight="false" outlineLevel="0" collapsed="false">
      <c r="A714" s="14" t="b">
        <f aca="false">TRUE()</f>
        <v>1</v>
      </c>
      <c r="B714" s="14" t="b">
        <f aca="false">FALSE()</f>
        <v>0</v>
      </c>
      <c r="C714" s="4" t="n">
        <v>2</v>
      </c>
      <c r="D714" s="4"/>
      <c r="E714" s="4"/>
      <c r="F714" s="4"/>
      <c r="G714" s="4"/>
      <c r="H714" s="14" t="b">
        <f aca="false">FALSE()</f>
        <v>0</v>
      </c>
      <c r="I714" s="14" t="b">
        <f aca="false">FALSE()</f>
        <v>0</v>
      </c>
      <c r="J714" s="4"/>
      <c r="K714" s="4" t="s">
        <v>2903</v>
      </c>
      <c r="L714" s="4" t="s">
        <v>2904</v>
      </c>
      <c r="M714" s="4" t="s">
        <v>2905</v>
      </c>
      <c r="N714" s="6" t="n">
        <v>8521</v>
      </c>
      <c r="O714" s="6" t="n">
        <v>76671</v>
      </c>
      <c r="P714" s="4" t="s">
        <v>46</v>
      </c>
      <c r="Q714" s="6" t="n">
        <v>217000</v>
      </c>
      <c r="R714" s="15" t="n">
        <v>42962</v>
      </c>
      <c r="S714" s="6"/>
      <c r="T714" s="15"/>
      <c r="U714" s="6"/>
      <c r="V714" s="15"/>
      <c r="W714" s="4" t="s">
        <v>47</v>
      </c>
      <c r="X714" s="4" t="s">
        <v>47</v>
      </c>
      <c r="Y714" s="4" t="s">
        <v>2906</v>
      </c>
      <c r="Z714" s="4" t="s">
        <v>910</v>
      </c>
      <c r="AA714" s="6" t="n">
        <v>0</v>
      </c>
      <c r="AB714" s="6" t="n">
        <v>5997.44</v>
      </c>
      <c r="AC714" s="6" t="n">
        <v>6412.26</v>
      </c>
      <c r="AD714" s="14" t="b">
        <f aca="false">FALSE()</f>
        <v>0</v>
      </c>
    </row>
    <row r="715" customFormat="false" ht="15" hidden="false" customHeight="false" outlineLevel="0" collapsed="false">
      <c r="A715" s="14" t="b">
        <f aca="false">TRUE()</f>
        <v>1</v>
      </c>
      <c r="B715" s="14" t="b">
        <f aca="false">FALSE()</f>
        <v>0</v>
      </c>
      <c r="C715" s="4" t="n">
        <v>2</v>
      </c>
      <c r="D715" s="4"/>
      <c r="E715" s="4"/>
      <c r="F715" s="4"/>
      <c r="G715" s="4" t="n">
        <v>3</v>
      </c>
      <c r="H715" s="14" t="b">
        <f aca="false">FALSE()</f>
        <v>0</v>
      </c>
      <c r="I715" s="14" t="b">
        <f aca="false">FALSE()</f>
        <v>0</v>
      </c>
      <c r="J715" s="4"/>
      <c r="K715" s="4" t="s">
        <v>2907</v>
      </c>
      <c r="L715" s="4" t="s">
        <v>2908</v>
      </c>
      <c r="M715" s="4" t="s">
        <v>2909</v>
      </c>
      <c r="N715" s="6" t="n">
        <v>35686</v>
      </c>
      <c r="O715" s="6" t="n">
        <v>183524</v>
      </c>
      <c r="P715" s="4" t="s">
        <v>46</v>
      </c>
      <c r="Q715" s="6" t="n">
        <v>556000</v>
      </c>
      <c r="R715" s="15" t="n">
        <v>42600</v>
      </c>
      <c r="S715" s="6"/>
      <c r="T715" s="15"/>
      <c r="U715" s="6"/>
      <c r="V715" s="15"/>
      <c r="W715" s="4" t="s">
        <v>47</v>
      </c>
      <c r="X715" s="4" t="s">
        <v>47</v>
      </c>
      <c r="Y715" s="4" t="s">
        <v>2910</v>
      </c>
      <c r="Z715" s="4" t="s">
        <v>2911</v>
      </c>
      <c r="AA715" s="6" t="n">
        <v>0</v>
      </c>
      <c r="AB715" s="6" t="n">
        <v>12108.9</v>
      </c>
      <c r="AC715" s="6" t="n">
        <v>6336.9</v>
      </c>
      <c r="AD715" s="14" t="b">
        <f aca="false">TRUE()</f>
        <v>1</v>
      </c>
    </row>
    <row r="716" customFormat="false" ht="15" hidden="false" customHeight="false" outlineLevel="0" collapsed="false">
      <c r="A716" s="14" t="b">
        <f aca="false">TRUE()</f>
        <v>1</v>
      </c>
      <c r="B716" s="14" t="b">
        <f aca="false">FALSE()</f>
        <v>0</v>
      </c>
      <c r="C716" s="4" t="n">
        <v>3</v>
      </c>
      <c r="D716" s="4"/>
      <c r="E716" s="4"/>
      <c r="F716" s="4"/>
      <c r="G716" s="4" t="n">
        <v>3</v>
      </c>
      <c r="H716" s="14" t="b">
        <f aca="false">FALSE()</f>
        <v>0</v>
      </c>
      <c r="I716" s="14" t="b">
        <f aca="false">FALSE()</f>
        <v>0</v>
      </c>
      <c r="J716" s="4"/>
      <c r="K716" s="4" t="s">
        <v>2912</v>
      </c>
      <c r="L716" s="4" t="s">
        <v>2913</v>
      </c>
      <c r="M716" s="4" t="s">
        <v>2914</v>
      </c>
      <c r="N716" s="6" t="n">
        <v>33718</v>
      </c>
      <c r="O716" s="6" t="n">
        <v>89972</v>
      </c>
      <c r="P716" s="4" t="s">
        <v>46</v>
      </c>
      <c r="Q716" s="6" t="n">
        <v>420000</v>
      </c>
      <c r="R716" s="15" t="n">
        <v>45387</v>
      </c>
      <c r="S716" s="6" t="n">
        <v>500000</v>
      </c>
      <c r="T716" s="15" t="n">
        <v>45933</v>
      </c>
      <c r="U716" s="6"/>
      <c r="V716" s="15"/>
      <c r="W716" s="4" t="s">
        <v>58</v>
      </c>
      <c r="X716" s="4" t="s">
        <v>47</v>
      </c>
      <c r="Y716" s="4" t="s">
        <v>2915</v>
      </c>
      <c r="Z716" s="4" t="s">
        <v>2911</v>
      </c>
      <c r="AA716" s="6" t="n">
        <v>0</v>
      </c>
      <c r="AB716" s="6" t="n">
        <v>6632.62</v>
      </c>
      <c r="AC716" s="6" t="n">
        <v>7090.32</v>
      </c>
      <c r="AD716" s="14" t="b">
        <f aca="false">FALSE()</f>
        <v>0</v>
      </c>
    </row>
    <row r="717" customFormat="false" ht="15" hidden="false" customHeight="false" outlineLevel="0" collapsed="false">
      <c r="A717" s="14" t="b">
        <f aca="false">TRUE()</f>
        <v>1</v>
      </c>
      <c r="B717" s="14" t="b">
        <f aca="false">FALSE()</f>
        <v>0</v>
      </c>
      <c r="C717" s="4" t="n">
        <v>2</v>
      </c>
      <c r="D717" s="4"/>
      <c r="E717" s="4"/>
      <c r="F717" s="4"/>
      <c r="G717" s="4"/>
      <c r="H717" s="14" t="b">
        <f aca="false">FALSE()</f>
        <v>0</v>
      </c>
      <c r="I717" s="14" t="b">
        <f aca="false">FALSE()</f>
        <v>0</v>
      </c>
      <c r="J717" s="4"/>
      <c r="K717" s="4" t="s">
        <v>2916</v>
      </c>
      <c r="L717" s="4" t="s">
        <v>2917</v>
      </c>
      <c r="M717" s="4" t="s">
        <v>2918</v>
      </c>
      <c r="N717" s="6" t="n">
        <v>77623</v>
      </c>
      <c r="O717" s="6" t="n">
        <v>44381</v>
      </c>
      <c r="P717" s="4" t="s">
        <v>46</v>
      </c>
      <c r="Q717" s="6" t="n">
        <v>400000</v>
      </c>
      <c r="R717" s="15" t="n">
        <v>45805</v>
      </c>
      <c r="S717" s="6"/>
      <c r="T717" s="15"/>
      <c r="U717" s="6"/>
      <c r="V717" s="15"/>
      <c r="W717" s="4" t="s">
        <v>47</v>
      </c>
      <c r="X717" s="4" t="s">
        <v>47</v>
      </c>
      <c r="Y717" s="4" t="s">
        <v>2919</v>
      </c>
      <c r="Z717" s="4" t="s">
        <v>2911</v>
      </c>
      <c r="AA717" s="6" t="n">
        <v>0</v>
      </c>
      <c r="AB717" s="6" t="n">
        <v>6029.08</v>
      </c>
      <c r="AC717" s="6" t="n">
        <v>3160.19</v>
      </c>
      <c r="AD717" s="14" t="b">
        <f aca="false">TRUE()</f>
        <v>1</v>
      </c>
    </row>
    <row r="718" customFormat="false" ht="15" hidden="false" customHeight="false" outlineLevel="0" collapsed="false">
      <c r="A718" s="14" t="b">
        <f aca="false">TRUE()</f>
        <v>1</v>
      </c>
      <c r="B718" s="14" t="b">
        <f aca="false">FALSE()</f>
        <v>0</v>
      </c>
      <c r="C718" s="4" t="n">
        <v>2</v>
      </c>
      <c r="D718" s="4"/>
      <c r="E718" s="4"/>
      <c r="F718" s="4"/>
      <c r="G718" s="4"/>
      <c r="H718" s="14" t="b">
        <f aca="false">FALSE()</f>
        <v>0</v>
      </c>
      <c r="I718" s="14" t="b">
        <f aca="false">FALSE()</f>
        <v>0</v>
      </c>
      <c r="J718" s="4"/>
      <c r="K718" s="4" t="s">
        <v>2920</v>
      </c>
      <c r="L718" s="4" t="s">
        <v>2921</v>
      </c>
      <c r="M718" s="4" t="s">
        <v>2922</v>
      </c>
      <c r="N718" s="6" t="n">
        <v>77634</v>
      </c>
      <c r="O718" s="6" t="n">
        <v>363231</v>
      </c>
      <c r="P718" s="4" t="s">
        <v>46</v>
      </c>
      <c r="Q718" s="6" t="n">
        <v>1950000</v>
      </c>
      <c r="R718" s="15" t="n">
        <v>45594</v>
      </c>
      <c r="S718" s="6" t="n">
        <v>1560000</v>
      </c>
      <c r="T718" s="15" t="n">
        <v>45594</v>
      </c>
      <c r="U718" s="6"/>
      <c r="V718" s="15"/>
      <c r="W718" s="4" t="s">
        <v>47</v>
      </c>
      <c r="X718" s="4" t="s">
        <v>47</v>
      </c>
      <c r="Y718" s="4" t="s">
        <v>2923</v>
      </c>
      <c r="Z718" s="4" t="s">
        <v>2911</v>
      </c>
      <c r="AA718" s="6" t="n">
        <v>0</v>
      </c>
      <c r="AB718" s="6" t="n">
        <v>21390.88</v>
      </c>
      <c r="AC718" s="6" t="n">
        <v>11186.73</v>
      </c>
      <c r="AD718" s="14" t="b">
        <f aca="false">TRUE()</f>
        <v>1</v>
      </c>
    </row>
    <row r="719" customFormat="false" ht="15" hidden="false" customHeight="false" outlineLevel="0" collapsed="false">
      <c r="A719" s="14" t="b">
        <f aca="false">TRUE()</f>
        <v>1</v>
      </c>
      <c r="B719" s="14" t="b">
        <f aca="false">FALSE()</f>
        <v>0</v>
      </c>
      <c r="C719" s="4" t="n">
        <v>3</v>
      </c>
      <c r="D719" s="4"/>
      <c r="E719" s="4"/>
      <c r="F719" s="4"/>
      <c r="G719" s="4"/>
      <c r="H719" s="14" t="b">
        <f aca="false">FALSE()</f>
        <v>0</v>
      </c>
      <c r="I719" s="14" t="b">
        <f aca="false">FALSE()</f>
        <v>0</v>
      </c>
      <c r="J719" s="4"/>
      <c r="K719" s="4" t="s">
        <v>2924</v>
      </c>
      <c r="L719" s="4" t="s">
        <v>2925</v>
      </c>
      <c r="M719" s="4" t="s">
        <v>2926</v>
      </c>
      <c r="N719" s="6" t="n">
        <v>111925</v>
      </c>
      <c r="O719" s="6" t="n">
        <v>161096</v>
      </c>
      <c r="P719" s="4" t="s">
        <v>46</v>
      </c>
      <c r="Q719" s="6" t="n">
        <v>710000</v>
      </c>
      <c r="R719" s="15" t="n">
        <v>44201</v>
      </c>
      <c r="S719" s="6" t="n">
        <v>515000</v>
      </c>
      <c r="T719" s="15" t="n">
        <v>44405</v>
      </c>
      <c r="U719" s="6"/>
      <c r="V719" s="15"/>
      <c r="W719" s="4" t="s">
        <v>47</v>
      </c>
      <c r="X719" s="4" t="s">
        <v>47</v>
      </c>
      <c r="Y719" s="4" t="s">
        <v>2927</v>
      </c>
      <c r="Z719" s="4" t="s">
        <v>2732</v>
      </c>
      <c r="AA719" s="6" t="n">
        <v>0</v>
      </c>
      <c r="AB719" s="6" t="n">
        <v>13203.88</v>
      </c>
      <c r="AC719" s="6" t="n">
        <v>14105.14</v>
      </c>
      <c r="AD719" s="14" t="b">
        <f aca="false">FALSE()</f>
        <v>0</v>
      </c>
    </row>
    <row r="720" customFormat="false" ht="15" hidden="false" customHeight="false" outlineLevel="0" collapsed="false">
      <c r="A720" s="14" t="b">
        <f aca="false">TRUE()</f>
        <v>1</v>
      </c>
      <c r="B720" s="14" t="b">
        <f aca="false">FALSE()</f>
        <v>0</v>
      </c>
      <c r="C720" s="4" t="n">
        <v>2</v>
      </c>
      <c r="D720" s="4"/>
      <c r="E720" s="4"/>
      <c r="F720" s="4"/>
      <c r="G720" s="4"/>
      <c r="H720" s="14" t="b">
        <f aca="false">FALSE()</f>
        <v>0</v>
      </c>
      <c r="I720" s="14" t="b">
        <f aca="false">FALSE()</f>
        <v>0</v>
      </c>
      <c r="J720" s="4"/>
      <c r="K720" s="4" t="s">
        <v>2928</v>
      </c>
      <c r="L720" s="4" t="s">
        <v>2929</v>
      </c>
      <c r="M720" s="4" t="s">
        <v>2930</v>
      </c>
      <c r="N720" s="6" t="n">
        <v>224942</v>
      </c>
      <c r="O720" s="6" t="n">
        <v>328054</v>
      </c>
      <c r="P720" s="4" t="s">
        <v>46</v>
      </c>
      <c r="Q720" s="6"/>
      <c r="R720" s="15" t="n">
        <v>33927</v>
      </c>
      <c r="S720" s="6"/>
      <c r="T720" s="15"/>
      <c r="U720" s="6"/>
      <c r="V720" s="15"/>
      <c r="W720" s="4" t="s">
        <v>47</v>
      </c>
      <c r="X720" s="4" t="s">
        <v>47</v>
      </c>
      <c r="Y720" s="4" t="s">
        <v>2931</v>
      </c>
      <c r="Z720" s="4" t="s">
        <v>2732</v>
      </c>
      <c r="AA720" s="6" t="n">
        <v>0</v>
      </c>
      <c r="AB720" s="6" t="n">
        <v>26542.64</v>
      </c>
      <c r="AC720" s="6" t="n">
        <v>13878.53</v>
      </c>
      <c r="AD720" s="14" t="b">
        <f aca="false">TRUE()</f>
        <v>1</v>
      </c>
    </row>
    <row r="721" customFormat="false" ht="15" hidden="false" customHeight="false" outlineLevel="0" collapsed="false">
      <c r="A721" s="14" t="b">
        <f aca="false">TRUE()</f>
        <v>1</v>
      </c>
      <c r="B721" s="14" t="b">
        <f aca="false">FALSE()</f>
        <v>0</v>
      </c>
      <c r="C721" s="4" t="n">
        <v>2</v>
      </c>
      <c r="D721" s="4"/>
      <c r="E721" s="4"/>
      <c r="F721" s="4"/>
      <c r="G721" s="4"/>
      <c r="H721" s="14" t="b">
        <f aca="false">TRUE()</f>
        <v>1</v>
      </c>
      <c r="I721" s="14" t="b">
        <f aca="false">FALSE()</f>
        <v>0</v>
      </c>
      <c r="J721" s="4"/>
      <c r="K721" s="4" t="s">
        <v>2932</v>
      </c>
      <c r="L721" s="4" t="s">
        <v>2933</v>
      </c>
      <c r="M721" s="4" t="s">
        <v>2934</v>
      </c>
      <c r="N721" s="6" t="n">
        <v>280418</v>
      </c>
      <c r="O721" s="6" t="n">
        <v>696887</v>
      </c>
      <c r="P721" s="4" t="s">
        <v>46</v>
      </c>
      <c r="Q721" s="6" t="n">
        <v>2800000</v>
      </c>
      <c r="R721" s="15" t="n">
        <v>40788</v>
      </c>
      <c r="S721" s="6"/>
      <c r="T721" s="15"/>
      <c r="U721" s="6"/>
      <c r="V721" s="15"/>
      <c r="W721" s="4" t="s">
        <v>47</v>
      </c>
      <c r="X721" s="4" t="s">
        <v>47</v>
      </c>
      <c r="Y721" s="4" t="s">
        <v>2935</v>
      </c>
      <c r="Z721" s="4" t="s">
        <v>2732</v>
      </c>
      <c r="AA721" s="6" t="n">
        <v>0</v>
      </c>
      <c r="AB721" s="6" t="n">
        <v>36132.78</v>
      </c>
      <c r="AC721" s="6" t="n">
        <v>18889.38</v>
      </c>
      <c r="AD721" s="14" t="b">
        <f aca="false">TRUE()</f>
        <v>1</v>
      </c>
    </row>
    <row r="722" customFormat="false" ht="15" hidden="false" customHeight="false" outlineLevel="0" collapsed="false">
      <c r="A722" s="14" t="b">
        <f aca="false">TRUE()</f>
        <v>1</v>
      </c>
      <c r="B722" s="14" t="b">
        <f aca="false">FALSE()</f>
        <v>0</v>
      </c>
      <c r="C722" s="4" t="n">
        <v>2</v>
      </c>
      <c r="D722" s="4"/>
      <c r="E722" s="4"/>
      <c r="F722" s="4"/>
      <c r="G722" s="4"/>
      <c r="H722" s="14" t="b">
        <f aca="false">FALSE()</f>
        <v>0</v>
      </c>
      <c r="I722" s="14" t="b">
        <f aca="false">FALSE()</f>
        <v>0</v>
      </c>
      <c r="J722" s="4"/>
      <c r="K722" s="4" t="s">
        <v>2936</v>
      </c>
      <c r="L722" s="4" t="s">
        <v>2937</v>
      </c>
      <c r="M722" s="4" t="s">
        <v>2938</v>
      </c>
      <c r="N722" s="6" t="n">
        <v>10035</v>
      </c>
      <c r="O722" s="6" t="n">
        <v>90254</v>
      </c>
      <c r="P722" s="4" t="s">
        <v>46</v>
      </c>
      <c r="Q722" s="6"/>
      <c r="R722" s="15" t="n">
        <v>45534</v>
      </c>
      <c r="S722" s="6"/>
      <c r="T722" s="15"/>
      <c r="U722" s="6"/>
      <c r="V722" s="15"/>
      <c r="W722" s="4" t="s">
        <v>47</v>
      </c>
      <c r="X722" s="4" t="s">
        <v>47</v>
      </c>
      <c r="Y722" s="4" t="s">
        <v>2939</v>
      </c>
      <c r="Z722" s="4" t="s">
        <v>2940</v>
      </c>
      <c r="AA722" s="6" t="n">
        <v>0</v>
      </c>
      <c r="AB722" s="6" t="n">
        <v>4993.7</v>
      </c>
      <c r="AC722" s="6" t="n">
        <v>2619.21</v>
      </c>
      <c r="AD722" s="14" t="b">
        <f aca="false">TRUE()</f>
        <v>1</v>
      </c>
    </row>
    <row r="723" customFormat="false" ht="15" hidden="false" customHeight="false" outlineLevel="0" collapsed="false">
      <c r="A723" s="14" t="b">
        <f aca="false">TRUE()</f>
        <v>1</v>
      </c>
      <c r="B723" s="14" t="b">
        <f aca="false">FALSE()</f>
        <v>0</v>
      </c>
      <c r="C723" s="4" t="n">
        <v>2</v>
      </c>
      <c r="D723" s="4"/>
      <c r="E723" s="4"/>
      <c r="F723" s="4"/>
      <c r="G723" s="4"/>
      <c r="H723" s="14" t="b">
        <f aca="false">FALSE()</f>
        <v>0</v>
      </c>
      <c r="I723" s="14" t="b">
        <f aca="false">FALSE()</f>
        <v>0</v>
      </c>
      <c r="J723" s="4"/>
      <c r="K723" s="4" t="s">
        <v>2941</v>
      </c>
      <c r="L723" s="4" t="s">
        <v>2942</v>
      </c>
      <c r="M723" s="4" t="s">
        <v>2943</v>
      </c>
      <c r="N723" s="6" t="n">
        <v>8965</v>
      </c>
      <c r="O723" s="6" t="n">
        <v>80618</v>
      </c>
      <c r="P723" s="4" t="s">
        <v>46</v>
      </c>
      <c r="Q723" s="6"/>
      <c r="R723" s="15"/>
      <c r="S723" s="6"/>
      <c r="T723" s="15"/>
      <c r="U723" s="6"/>
      <c r="V723" s="15"/>
      <c r="W723" s="4" t="s">
        <v>47</v>
      </c>
      <c r="X723" s="4" t="s">
        <v>47</v>
      </c>
      <c r="Y723" s="4" t="s">
        <v>2944</v>
      </c>
      <c r="Z723" s="4" t="s">
        <v>2940</v>
      </c>
      <c r="AA723" s="6" t="n">
        <v>0</v>
      </c>
      <c r="AB723" s="6" t="n">
        <v>5308.82</v>
      </c>
      <c r="AC723" s="6" t="n">
        <v>5677.17</v>
      </c>
      <c r="AD723" s="14" t="b">
        <f aca="false">FALSE()</f>
        <v>0</v>
      </c>
    </row>
    <row r="724" customFormat="false" ht="15" hidden="false" customHeight="false" outlineLevel="0" collapsed="false">
      <c r="A724" s="14" t="b">
        <f aca="false">TRUE()</f>
        <v>1</v>
      </c>
      <c r="B724" s="14" t="b">
        <f aca="false">FALSE()</f>
        <v>0</v>
      </c>
      <c r="C724" s="4" t="n">
        <v>2</v>
      </c>
      <c r="D724" s="4"/>
      <c r="E724" s="4"/>
      <c r="F724" s="4"/>
      <c r="G724" s="4"/>
      <c r="H724" s="14" t="b">
        <f aca="false">FALSE()</f>
        <v>0</v>
      </c>
      <c r="I724" s="14" t="b">
        <f aca="false">FALSE()</f>
        <v>0</v>
      </c>
      <c r="J724" s="4"/>
      <c r="K724" s="4" t="s">
        <v>2945</v>
      </c>
      <c r="L724" s="4" t="s">
        <v>2946</v>
      </c>
      <c r="M724" s="4" t="s">
        <v>2947</v>
      </c>
      <c r="N724" s="6" t="n">
        <v>8911</v>
      </c>
      <c r="O724" s="6" t="n">
        <v>80153</v>
      </c>
      <c r="P724" s="4" t="s">
        <v>46</v>
      </c>
      <c r="Q724" s="6"/>
      <c r="R724" s="15" t="n">
        <v>43122</v>
      </c>
      <c r="S724" s="6"/>
      <c r="T724" s="15"/>
      <c r="U724" s="6"/>
      <c r="V724" s="15"/>
      <c r="W724" s="4" t="s">
        <v>47</v>
      </c>
      <c r="X724" s="4" t="s">
        <v>58</v>
      </c>
      <c r="Y724" s="4" t="s">
        <v>2948</v>
      </c>
      <c r="Z724" s="4" t="s">
        <v>2940</v>
      </c>
      <c r="AA724" s="6" t="n">
        <v>0</v>
      </c>
      <c r="AB724" s="6" t="n">
        <v>4754.5</v>
      </c>
      <c r="AC724" s="6" t="n">
        <v>5085.43</v>
      </c>
      <c r="AD724" s="14" t="b">
        <f aca="false">FALSE()</f>
        <v>0</v>
      </c>
    </row>
    <row r="725" customFormat="false" ht="15" hidden="false" customHeight="false" outlineLevel="0" collapsed="false">
      <c r="A725" s="14" t="b">
        <f aca="false">TRUE()</f>
        <v>1</v>
      </c>
      <c r="B725" s="14" t="b">
        <f aca="false">FALSE()</f>
        <v>0</v>
      </c>
      <c r="C725" s="4" t="n">
        <v>2</v>
      </c>
      <c r="D725" s="4"/>
      <c r="E725" s="4"/>
      <c r="F725" s="4"/>
      <c r="G725" s="4"/>
      <c r="H725" s="14" t="b">
        <f aca="false">FALSE()</f>
        <v>0</v>
      </c>
      <c r="I725" s="14" t="b">
        <f aca="false">FALSE()</f>
        <v>0</v>
      </c>
      <c r="J725" s="4"/>
      <c r="K725" s="4" t="s">
        <v>2949</v>
      </c>
      <c r="L725" s="4" t="s">
        <v>2950</v>
      </c>
      <c r="M725" s="4" t="s">
        <v>2951</v>
      </c>
      <c r="N725" s="6" t="n">
        <v>205953</v>
      </c>
      <c r="O725" s="6" t="n">
        <v>395111</v>
      </c>
      <c r="P725" s="4" t="s">
        <v>46</v>
      </c>
      <c r="Q725" s="6"/>
      <c r="R725" s="15" t="n">
        <v>41942</v>
      </c>
      <c r="S725" s="6"/>
      <c r="T725" s="15"/>
      <c r="U725" s="6"/>
      <c r="V725" s="15"/>
      <c r="W725" s="4" t="s">
        <v>47</v>
      </c>
      <c r="X725" s="4" t="s">
        <v>58</v>
      </c>
      <c r="Y725" s="4" t="s">
        <v>2952</v>
      </c>
      <c r="Z725" s="4" t="s">
        <v>2732</v>
      </c>
      <c r="AA725" s="6" t="n">
        <v>0</v>
      </c>
      <c r="AB725" s="6" t="n">
        <v>21809.42</v>
      </c>
      <c r="AC725" s="6" t="n">
        <v>11405.42</v>
      </c>
      <c r="AD725" s="14" t="b">
        <f aca="false">TRUE()</f>
        <v>1</v>
      </c>
    </row>
    <row r="726" customFormat="false" ht="15" hidden="false" customHeight="false" outlineLevel="0" collapsed="false">
      <c r="A726" s="14" t="b">
        <f aca="false">TRUE()</f>
        <v>1</v>
      </c>
      <c r="B726" s="14" t="b">
        <f aca="false">FALSE()</f>
        <v>0</v>
      </c>
      <c r="C726" s="4" t="n">
        <v>2</v>
      </c>
      <c r="D726" s="4"/>
      <c r="E726" s="4"/>
      <c r="F726" s="4"/>
      <c r="G726" s="4"/>
      <c r="H726" s="14" t="b">
        <f aca="false">FALSE()</f>
        <v>0</v>
      </c>
      <c r="I726" s="14" t="b">
        <f aca="false">FALSE()</f>
        <v>0</v>
      </c>
      <c r="J726" s="4"/>
      <c r="K726" s="4" t="s">
        <v>2953</v>
      </c>
      <c r="L726" s="4" t="s">
        <v>2954</v>
      </c>
      <c r="M726" s="4" t="s">
        <v>2955</v>
      </c>
      <c r="N726" s="6" t="n">
        <v>204255</v>
      </c>
      <c r="O726" s="6" t="n">
        <v>269885</v>
      </c>
      <c r="P726" s="4" t="s">
        <v>46</v>
      </c>
      <c r="Q726" s="6"/>
      <c r="R726" s="15" t="n">
        <v>44446</v>
      </c>
      <c r="S726" s="6"/>
      <c r="T726" s="15"/>
      <c r="U726" s="6"/>
      <c r="V726" s="15"/>
      <c r="W726" s="4" t="s">
        <v>47</v>
      </c>
      <c r="X726" s="4" t="s">
        <v>47</v>
      </c>
      <c r="Y726" s="4" t="s">
        <v>2956</v>
      </c>
      <c r="Z726" s="4" t="s">
        <v>2732</v>
      </c>
      <c r="AA726" s="6" t="n">
        <v>0</v>
      </c>
      <c r="AB726" s="6" t="n">
        <v>17078.08</v>
      </c>
      <c r="AC726" s="6" t="n">
        <v>8933.3</v>
      </c>
      <c r="AD726" s="14" t="b">
        <f aca="false">TRUE()</f>
        <v>1</v>
      </c>
    </row>
    <row r="727" customFormat="false" ht="15" hidden="false" customHeight="false" outlineLevel="0" collapsed="false">
      <c r="A727" s="14" t="b">
        <f aca="false">TRUE()</f>
        <v>1</v>
      </c>
      <c r="B727" s="14" t="b">
        <f aca="false">FALSE()</f>
        <v>0</v>
      </c>
      <c r="C727" s="4" t="n">
        <v>3</v>
      </c>
      <c r="D727" s="4"/>
      <c r="E727" s="4"/>
      <c r="F727" s="4"/>
      <c r="G727" s="4"/>
      <c r="H727" s="14" t="b">
        <f aca="false">FALSE()</f>
        <v>0</v>
      </c>
      <c r="I727" s="14" t="b">
        <f aca="false">FALSE()</f>
        <v>0</v>
      </c>
      <c r="J727" s="4"/>
      <c r="K727" s="4" t="s">
        <v>2957</v>
      </c>
      <c r="L727" s="4" t="s">
        <v>2958</v>
      </c>
      <c r="M727" s="4" t="s">
        <v>2959</v>
      </c>
      <c r="N727" s="6" t="n">
        <v>295774</v>
      </c>
      <c r="O727" s="6" t="n">
        <v>516498</v>
      </c>
      <c r="P727" s="4" t="s">
        <v>46</v>
      </c>
      <c r="Q727" s="6" t="n">
        <v>2700000</v>
      </c>
      <c r="R727" s="15" t="n">
        <v>45198</v>
      </c>
      <c r="S727" s="6" t="n">
        <v>1350000</v>
      </c>
      <c r="T727" s="15" t="n">
        <v>45198</v>
      </c>
      <c r="U727" s="6"/>
      <c r="V727" s="15"/>
      <c r="W727" s="4" t="s">
        <v>47</v>
      </c>
      <c r="X727" s="4" t="s">
        <v>47</v>
      </c>
      <c r="Y727" s="4" t="s">
        <v>2960</v>
      </c>
      <c r="Z727" s="4" t="s">
        <v>2732</v>
      </c>
      <c r="AA727" s="6" t="n">
        <v>0</v>
      </c>
      <c r="AB727" s="6" t="n">
        <v>29980.86</v>
      </c>
      <c r="AC727" s="6" t="n">
        <v>32014.57</v>
      </c>
      <c r="AD727" s="14" t="b">
        <f aca="false">FALSE()</f>
        <v>0</v>
      </c>
    </row>
    <row r="728" customFormat="false" ht="15" hidden="false" customHeight="false" outlineLevel="0" collapsed="false">
      <c r="A728" s="14" t="b">
        <f aca="false">TRUE()</f>
        <v>1</v>
      </c>
      <c r="B728" s="14" t="b">
        <f aca="false">FALSE()</f>
        <v>0</v>
      </c>
      <c r="C728" s="4" t="n">
        <v>3</v>
      </c>
      <c r="D728" s="4"/>
      <c r="E728" s="4"/>
      <c r="F728" s="4"/>
      <c r="G728" s="4" t="n">
        <v>3</v>
      </c>
      <c r="H728" s="14" t="b">
        <f aca="false">TRUE()</f>
        <v>1</v>
      </c>
      <c r="I728" s="14" t="b">
        <f aca="false">FALSE()</f>
        <v>0</v>
      </c>
      <c r="J728" s="4"/>
      <c r="K728" s="4" t="s">
        <v>2961</v>
      </c>
      <c r="L728" s="4" t="s">
        <v>2962</v>
      </c>
      <c r="M728" s="4" t="s">
        <v>2963</v>
      </c>
      <c r="N728" s="6" t="n">
        <v>545469</v>
      </c>
      <c r="O728" s="6" t="n">
        <v>691166</v>
      </c>
      <c r="P728" s="4" t="s">
        <v>46</v>
      </c>
      <c r="Q728" s="6" t="n">
        <v>4250000</v>
      </c>
      <c r="R728" s="15" t="n">
        <v>39884</v>
      </c>
      <c r="S728" s="6" t="n">
        <v>16523013.75</v>
      </c>
      <c r="T728" s="15" t="n">
        <v>44952</v>
      </c>
      <c r="U728" s="6"/>
      <c r="V728" s="15"/>
      <c r="W728" s="4" t="s">
        <v>58</v>
      </c>
      <c r="X728" s="4" t="s">
        <v>47</v>
      </c>
      <c r="Y728" s="4" t="s">
        <v>2964</v>
      </c>
      <c r="Z728" s="4" t="s">
        <v>2732</v>
      </c>
      <c r="AA728" s="6" t="n">
        <v>0</v>
      </c>
      <c r="AB728" s="6" t="n">
        <v>45799.82</v>
      </c>
      <c r="AC728" s="6" t="n">
        <v>48901.31</v>
      </c>
      <c r="AD728" s="14" t="b">
        <f aca="false">FALSE()</f>
        <v>0</v>
      </c>
    </row>
    <row r="729" customFormat="false" ht="15" hidden="false" customHeight="false" outlineLevel="0" collapsed="false">
      <c r="A729" s="14" t="b">
        <f aca="false">TRUE()</f>
        <v>1</v>
      </c>
      <c r="B729" s="14" t="b">
        <f aca="false">FALSE()</f>
        <v>0</v>
      </c>
      <c r="C729" s="4" t="n">
        <v>3</v>
      </c>
      <c r="D729" s="4"/>
      <c r="E729" s="4"/>
      <c r="F729" s="4"/>
      <c r="G729" s="4"/>
      <c r="H729" s="14" t="b">
        <f aca="false">FALSE()</f>
        <v>0</v>
      </c>
      <c r="I729" s="14" t="b">
        <f aca="false">FALSE()</f>
        <v>0</v>
      </c>
      <c r="J729" s="4"/>
      <c r="K729" s="4" t="s">
        <v>2965</v>
      </c>
      <c r="L729" s="4" t="s">
        <v>2966</v>
      </c>
      <c r="M729" s="4" t="s">
        <v>2967</v>
      </c>
      <c r="N729" s="6" t="n">
        <v>90000</v>
      </c>
      <c r="O729" s="6" t="n">
        <v>360000</v>
      </c>
      <c r="P729" s="4" t="s">
        <v>46</v>
      </c>
      <c r="Q729" s="6" t="n">
        <v>1350000</v>
      </c>
      <c r="R729" s="15" t="n">
        <v>45125</v>
      </c>
      <c r="S729" s="6" t="n">
        <v>726200</v>
      </c>
      <c r="T729" s="15" t="n">
        <v>45125</v>
      </c>
      <c r="U729" s="6"/>
      <c r="V729" s="15"/>
      <c r="W729" s="4" t="s">
        <v>58</v>
      </c>
      <c r="X729" s="4" t="s">
        <v>58</v>
      </c>
      <c r="Y729" s="4" t="s">
        <v>2968</v>
      </c>
      <c r="Z729" s="4" t="s">
        <v>2732</v>
      </c>
      <c r="AA729" s="6" t="n">
        <v>0</v>
      </c>
      <c r="AB729" s="6" t="n">
        <v>16476.44</v>
      </c>
      <c r="AC729" s="6" t="n">
        <v>17598.6</v>
      </c>
      <c r="AD729" s="14" t="b">
        <f aca="false">FALSE()</f>
        <v>0</v>
      </c>
    </row>
    <row r="730" customFormat="false" ht="15" hidden="false" customHeight="false" outlineLevel="0" collapsed="false">
      <c r="A730" s="14" t="b">
        <f aca="false">TRUE()</f>
        <v>1</v>
      </c>
      <c r="B730" s="14" t="b">
        <f aca="false">FALSE()</f>
        <v>0</v>
      </c>
      <c r="C730" s="4" t="n">
        <v>2</v>
      </c>
      <c r="D730" s="4"/>
      <c r="E730" s="4"/>
      <c r="F730" s="4"/>
      <c r="G730" s="4"/>
      <c r="H730" s="14" t="b">
        <f aca="false">FALSE()</f>
        <v>0</v>
      </c>
      <c r="I730" s="14" t="b">
        <f aca="false">FALSE()</f>
        <v>0</v>
      </c>
      <c r="J730" s="4"/>
      <c r="K730" s="4" t="s">
        <v>2969</v>
      </c>
      <c r="L730" s="4" t="s">
        <v>2970</v>
      </c>
      <c r="M730" s="4" t="s">
        <v>2971</v>
      </c>
      <c r="N730" s="6" t="n">
        <v>63348</v>
      </c>
      <c r="O730" s="6" t="n">
        <v>58904</v>
      </c>
      <c r="P730" s="4" t="s">
        <v>46</v>
      </c>
      <c r="Q730" s="6" t="n">
        <v>650000</v>
      </c>
      <c r="R730" s="15" t="n">
        <v>45833</v>
      </c>
      <c r="S730" s="6"/>
      <c r="T730" s="15"/>
      <c r="U730" s="6"/>
      <c r="V730" s="15"/>
      <c r="W730" s="4" t="s">
        <v>47</v>
      </c>
      <c r="X730" s="4" t="s">
        <v>47</v>
      </c>
      <c r="Y730" s="4" t="s">
        <v>2972</v>
      </c>
      <c r="Z730" s="4" t="s">
        <v>2732</v>
      </c>
      <c r="AA730" s="6" t="n">
        <v>0</v>
      </c>
      <c r="AB730" s="6" t="n">
        <v>6054.28</v>
      </c>
      <c r="AC730" s="6" t="n">
        <v>3173.36</v>
      </c>
      <c r="AD730" s="14" t="b">
        <f aca="false">TRUE()</f>
        <v>1</v>
      </c>
    </row>
    <row r="731" customFormat="false" ht="15" hidden="false" customHeight="false" outlineLevel="0" collapsed="false">
      <c r="A731" s="14" t="b">
        <f aca="false">TRUE()</f>
        <v>1</v>
      </c>
      <c r="B731" s="14" t="b">
        <f aca="false">FALSE()</f>
        <v>0</v>
      </c>
      <c r="C731" s="4" t="n">
        <v>2</v>
      </c>
      <c r="D731" s="4"/>
      <c r="E731" s="4"/>
      <c r="F731" s="4"/>
      <c r="G731" s="4"/>
      <c r="H731" s="14" t="b">
        <f aca="false">FALSE()</f>
        <v>0</v>
      </c>
      <c r="I731" s="14" t="b">
        <f aca="false">FALSE()</f>
        <v>0</v>
      </c>
      <c r="J731" s="4"/>
      <c r="K731" s="4" t="s">
        <v>2969</v>
      </c>
      <c r="L731" s="4" t="s">
        <v>2973</v>
      </c>
      <c r="M731" s="4" t="s">
        <v>2974</v>
      </c>
      <c r="N731" s="6" t="n">
        <v>140885</v>
      </c>
      <c r="O731" s="6" t="n">
        <v>80045</v>
      </c>
      <c r="P731" s="4" t="s">
        <v>46</v>
      </c>
      <c r="Q731" s="6" t="n">
        <v>650000</v>
      </c>
      <c r="R731" s="15" t="n">
        <v>45833</v>
      </c>
      <c r="S731" s="6"/>
      <c r="T731" s="15"/>
      <c r="U731" s="6"/>
      <c r="V731" s="15"/>
      <c r="W731" s="4" t="s">
        <v>47</v>
      </c>
      <c r="X731" s="4" t="s">
        <v>47</v>
      </c>
      <c r="Y731" s="4" t="s">
        <v>2975</v>
      </c>
      <c r="Z731" s="4" t="s">
        <v>2732</v>
      </c>
      <c r="AA731" s="6" t="n">
        <v>0</v>
      </c>
      <c r="AB731" s="6" t="n">
        <v>10544.94</v>
      </c>
      <c r="AC731" s="6" t="n">
        <v>5519.73</v>
      </c>
      <c r="AD731" s="14" t="b">
        <f aca="false">TRUE()</f>
        <v>1</v>
      </c>
    </row>
    <row r="732" customFormat="false" ht="15" hidden="false" customHeight="false" outlineLevel="0" collapsed="false">
      <c r="A732" s="14" t="b">
        <f aca="false">TRUE()</f>
        <v>1</v>
      </c>
      <c r="B732" s="14" t="b">
        <f aca="false">FALSE()</f>
        <v>0</v>
      </c>
      <c r="C732" s="4" t="n">
        <v>3</v>
      </c>
      <c r="D732" s="4"/>
      <c r="E732" s="4"/>
      <c r="F732" s="4"/>
      <c r="G732" s="4" t="n">
        <v>3</v>
      </c>
      <c r="H732" s="14" t="b">
        <f aca="false">FALSE()</f>
        <v>0</v>
      </c>
      <c r="I732" s="14" t="b">
        <f aca="false">FALSE()</f>
        <v>0</v>
      </c>
      <c r="J732" s="4"/>
      <c r="K732" s="4" t="s">
        <v>2976</v>
      </c>
      <c r="L732" s="4" t="s">
        <v>2977</v>
      </c>
      <c r="M732" s="4" t="s">
        <v>2978</v>
      </c>
      <c r="N732" s="6" t="n">
        <v>161129</v>
      </c>
      <c r="O732" s="6" t="n">
        <v>107805</v>
      </c>
      <c r="P732" s="4" t="s">
        <v>46</v>
      </c>
      <c r="Q732" s="6" t="n">
        <v>298000</v>
      </c>
      <c r="R732" s="15" t="n">
        <v>44963</v>
      </c>
      <c r="S732" s="6"/>
      <c r="T732" s="15"/>
      <c r="U732" s="6"/>
      <c r="V732" s="15"/>
      <c r="W732" s="4" t="s">
        <v>58</v>
      </c>
      <c r="X732" s="4" t="s">
        <v>47</v>
      </c>
      <c r="Y732" s="4" t="s">
        <v>2979</v>
      </c>
      <c r="Z732" s="4" t="s">
        <v>2732</v>
      </c>
      <c r="AA732" s="6" t="n">
        <v>0</v>
      </c>
      <c r="AB732" s="6" t="n">
        <v>12922.24</v>
      </c>
      <c r="AC732" s="6" t="n">
        <v>13804.49</v>
      </c>
      <c r="AD732" s="14" t="b">
        <f aca="false">FALSE()</f>
        <v>0</v>
      </c>
    </row>
    <row r="733" customFormat="false" ht="15" hidden="false" customHeight="false" outlineLevel="0" collapsed="false">
      <c r="A733" s="14" t="b">
        <f aca="false">TRUE()</f>
        <v>1</v>
      </c>
      <c r="B733" s="14" t="b">
        <f aca="false">FALSE()</f>
        <v>0</v>
      </c>
      <c r="C733" s="4" t="n">
        <v>2</v>
      </c>
      <c r="D733" s="4"/>
      <c r="E733" s="4"/>
      <c r="F733" s="4"/>
      <c r="G733" s="4"/>
      <c r="H733" s="14" t="b">
        <f aca="false">FALSE()</f>
        <v>0</v>
      </c>
      <c r="I733" s="14" t="b">
        <f aca="false">FALSE()</f>
        <v>0</v>
      </c>
      <c r="J733" s="4"/>
      <c r="K733" s="4" t="s">
        <v>2980</v>
      </c>
      <c r="L733" s="4" t="s">
        <v>2981</v>
      </c>
      <c r="M733" s="4" t="s">
        <v>2982</v>
      </c>
      <c r="N733" s="6" t="n">
        <v>310708</v>
      </c>
      <c r="O733" s="6" t="n">
        <v>516487</v>
      </c>
      <c r="P733" s="4" t="s">
        <v>46</v>
      </c>
      <c r="Q733" s="6" t="n">
        <v>1700000</v>
      </c>
      <c r="R733" s="15" t="n">
        <v>42311</v>
      </c>
      <c r="S733" s="6"/>
      <c r="T733" s="15"/>
      <c r="U733" s="6"/>
      <c r="V733" s="15"/>
      <c r="W733" s="4" t="s">
        <v>47</v>
      </c>
      <c r="X733" s="4" t="s">
        <v>47</v>
      </c>
      <c r="Y733" s="4" t="s">
        <v>2983</v>
      </c>
      <c r="Z733" s="4" t="s">
        <v>2732</v>
      </c>
      <c r="AA733" s="6" t="n">
        <v>0</v>
      </c>
      <c r="AB733" s="6" t="n">
        <v>40569</v>
      </c>
      <c r="AC733" s="6" t="n">
        <v>21207.3</v>
      </c>
      <c r="AD733" s="14" t="b">
        <f aca="false">TRUE()</f>
        <v>1</v>
      </c>
    </row>
    <row r="734" customFormat="false" ht="15" hidden="false" customHeight="false" outlineLevel="0" collapsed="false">
      <c r="A734" s="14" t="b">
        <f aca="false">TRUE()</f>
        <v>1</v>
      </c>
      <c r="B734" s="14" t="b">
        <f aca="false">FALSE()</f>
        <v>0</v>
      </c>
      <c r="C734" s="4" t="n">
        <v>2</v>
      </c>
      <c r="D734" s="4"/>
      <c r="E734" s="4"/>
      <c r="F734" s="4"/>
      <c r="G734" s="4"/>
      <c r="H734" s="14" t="b">
        <f aca="false">FALSE()</f>
        <v>0</v>
      </c>
      <c r="I734" s="14" t="b">
        <f aca="false">FALSE()</f>
        <v>0</v>
      </c>
      <c r="J734" s="4"/>
      <c r="K734" s="4" t="s">
        <v>2984</v>
      </c>
      <c r="L734" s="4" t="s">
        <v>2985</v>
      </c>
      <c r="M734" s="4" t="s">
        <v>2986</v>
      </c>
      <c r="N734" s="6" t="n">
        <v>87407</v>
      </c>
      <c r="O734" s="6" t="n">
        <v>132969</v>
      </c>
      <c r="P734" s="4" t="s">
        <v>46</v>
      </c>
      <c r="Q734" s="6" t="n">
        <v>685000</v>
      </c>
      <c r="R734" s="15" t="n">
        <v>45538</v>
      </c>
      <c r="S734" s="6" t="n">
        <v>1500000</v>
      </c>
      <c r="T734" s="15" t="n">
        <v>45826</v>
      </c>
      <c r="U734" s="6"/>
      <c r="V734" s="15"/>
      <c r="W734" s="4" t="s">
        <v>47</v>
      </c>
      <c r="X734" s="4" t="s">
        <v>47</v>
      </c>
      <c r="Y734" s="4" t="s">
        <v>2987</v>
      </c>
      <c r="Z734" s="4" t="s">
        <v>1611</v>
      </c>
      <c r="AA734" s="6" t="n">
        <v>0</v>
      </c>
      <c r="AB734" s="6" t="n">
        <v>15305.5</v>
      </c>
      <c r="AC734" s="6" t="n">
        <v>8007.12</v>
      </c>
      <c r="AD734" s="14" t="b">
        <f aca="false">TRUE()</f>
        <v>1</v>
      </c>
    </row>
    <row r="735" customFormat="false" ht="15" hidden="false" customHeight="false" outlineLevel="0" collapsed="false">
      <c r="A735" s="14" t="b">
        <f aca="false">TRUE()</f>
        <v>1</v>
      </c>
      <c r="B735" s="14" t="b">
        <f aca="false">FALSE()</f>
        <v>0</v>
      </c>
      <c r="C735" s="4" t="n">
        <v>3</v>
      </c>
      <c r="D735" s="4"/>
      <c r="E735" s="4"/>
      <c r="F735" s="4"/>
      <c r="G735" s="4" t="n">
        <v>2</v>
      </c>
      <c r="H735" s="14" t="b">
        <f aca="false">TRUE()</f>
        <v>1</v>
      </c>
      <c r="I735" s="14" t="b">
        <f aca="false">FALSE()</f>
        <v>0</v>
      </c>
      <c r="J735" s="4"/>
      <c r="K735" s="4" t="s">
        <v>2988</v>
      </c>
      <c r="L735" s="4" t="s">
        <v>2989</v>
      </c>
      <c r="M735" s="4" t="s">
        <v>2990</v>
      </c>
      <c r="N735" s="6" t="n">
        <v>26576</v>
      </c>
      <c r="O735" s="6" t="n">
        <v>53542</v>
      </c>
      <c r="P735" s="4" t="s">
        <v>46</v>
      </c>
      <c r="Q735" s="6" t="n">
        <v>108000</v>
      </c>
      <c r="R735" s="15" t="n">
        <v>36187</v>
      </c>
      <c r="S735" s="6" t="n">
        <v>96000</v>
      </c>
      <c r="T735" s="15" t="n">
        <v>42352</v>
      </c>
      <c r="U735" s="6"/>
      <c r="V735" s="15"/>
      <c r="W735" s="4" t="s">
        <v>47</v>
      </c>
      <c r="X735" s="4" t="s">
        <v>47</v>
      </c>
      <c r="Y735" s="4" t="s">
        <v>2991</v>
      </c>
      <c r="Z735" s="4" t="s">
        <v>1641</v>
      </c>
      <c r="AA735" s="6" t="n">
        <v>0</v>
      </c>
      <c r="AB735" s="6" t="n">
        <v>5483.42</v>
      </c>
      <c r="AC735" s="6" t="n">
        <v>5863.55</v>
      </c>
      <c r="AD735" s="14" t="b">
        <f aca="false">FALSE()</f>
        <v>0</v>
      </c>
    </row>
    <row r="736" customFormat="false" ht="15" hidden="false" customHeight="false" outlineLevel="0" collapsed="false">
      <c r="A736" s="14" t="b">
        <f aca="false">TRUE()</f>
        <v>1</v>
      </c>
      <c r="B736" s="14" t="b">
        <f aca="false">FALSE()</f>
        <v>0</v>
      </c>
      <c r="C736" s="4" t="n">
        <v>2</v>
      </c>
      <c r="D736" s="4"/>
      <c r="E736" s="4"/>
      <c r="F736" s="4"/>
      <c r="G736" s="4"/>
      <c r="H736" s="14" t="b">
        <f aca="false">FALSE()</f>
        <v>0</v>
      </c>
      <c r="I736" s="14" t="b">
        <f aca="false">FALSE()</f>
        <v>0</v>
      </c>
      <c r="J736" s="4"/>
      <c r="K736" s="4" t="s">
        <v>2992</v>
      </c>
      <c r="L736" s="4" t="s">
        <v>2993</v>
      </c>
      <c r="M736" s="4" t="s">
        <v>2994</v>
      </c>
      <c r="N736" s="6" t="n">
        <v>26576</v>
      </c>
      <c r="O736" s="6" t="n">
        <v>55267</v>
      </c>
      <c r="P736" s="4" t="s">
        <v>46</v>
      </c>
      <c r="Q736" s="6"/>
      <c r="R736" s="15"/>
      <c r="S736" s="6"/>
      <c r="T736" s="15"/>
      <c r="U736" s="6"/>
      <c r="V736" s="15"/>
      <c r="W736" s="4" t="s">
        <v>47</v>
      </c>
      <c r="X736" s="4" t="s">
        <v>58</v>
      </c>
      <c r="Y736" s="4" t="s">
        <v>2995</v>
      </c>
      <c r="Z736" s="4" t="s">
        <v>1641</v>
      </c>
      <c r="AA736" s="6" t="n">
        <v>0</v>
      </c>
      <c r="AB736" s="6" t="n">
        <v>6222.86</v>
      </c>
      <c r="AC736" s="6" t="n">
        <v>6652.9</v>
      </c>
      <c r="AD736" s="14" t="b">
        <f aca="false">FALSE()</f>
        <v>0</v>
      </c>
    </row>
    <row r="737" customFormat="false" ht="15" hidden="false" customHeight="false" outlineLevel="0" collapsed="false">
      <c r="A737" s="14" t="b">
        <f aca="false">TRUE()</f>
        <v>1</v>
      </c>
      <c r="B737" s="14" t="b">
        <f aca="false">FALSE()</f>
        <v>0</v>
      </c>
      <c r="C737" s="4" t="n">
        <v>2</v>
      </c>
      <c r="D737" s="4"/>
      <c r="E737" s="4"/>
      <c r="F737" s="4"/>
      <c r="G737" s="4"/>
      <c r="H737" s="14" t="b">
        <f aca="false">TRUE()</f>
        <v>1</v>
      </c>
      <c r="I737" s="14" t="b">
        <f aca="false">FALSE()</f>
        <v>0</v>
      </c>
      <c r="J737" s="4"/>
      <c r="K737" s="4" t="s">
        <v>2996</v>
      </c>
      <c r="L737" s="4" t="s">
        <v>2997</v>
      </c>
      <c r="M737" s="4" t="s">
        <v>2998</v>
      </c>
      <c r="N737" s="6" t="n">
        <v>19175</v>
      </c>
      <c r="O737" s="6" t="n">
        <v>39141</v>
      </c>
      <c r="P737" s="4" t="s">
        <v>46</v>
      </c>
      <c r="Q737" s="6" t="n">
        <v>86000</v>
      </c>
      <c r="R737" s="15" t="n">
        <v>41599</v>
      </c>
      <c r="S737" s="6"/>
      <c r="T737" s="15"/>
      <c r="U737" s="6"/>
      <c r="V737" s="15"/>
      <c r="W737" s="4" t="s">
        <v>47</v>
      </c>
      <c r="X737" s="4" t="s">
        <v>58</v>
      </c>
      <c r="Y737" s="4" t="s">
        <v>2999</v>
      </c>
      <c r="Z737" s="4" t="s">
        <v>1641</v>
      </c>
      <c r="AA737" s="6" t="n">
        <v>0</v>
      </c>
      <c r="AB737" s="6" t="n">
        <v>4434</v>
      </c>
      <c r="AC737" s="6" t="n">
        <v>4743.3</v>
      </c>
      <c r="AD737" s="14" t="b">
        <f aca="false">FALSE()</f>
        <v>0</v>
      </c>
    </row>
    <row r="738" customFormat="false" ht="15" hidden="false" customHeight="false" outlineLevel="0" collapsed="false">
      <c r="A738" s="14" t="b">
        <f aca="false">TRUE()</f>
        <v>1</v>
      </c>
      <c r="B738" s="14" t="b">
        <f aca="false">FALSE()</f>
        <v>0</v>
      </c>
      <c r="C738" s="4" t="n">
        <v>2</v>
      </c>
      <c r="D738" s="4"/>
      <c r="E738" s="4"/>
      <c r="F738" s="4"/>
      <c r="G738" s="4"/>
      <c r="H738" s="14" t="b">
        <f aca="false">FALSE()</f>
        <v>0</v>
      </c>
      <c r="I738" s="14" t="b">
        <f aca="false">FALSE()</f>
        <v>0</v>
      </c>
      <c r="J738" s="4"/>
      <c r="K738" s="4" t="s">
        <v>3000</v>
      </c>
      <c r="L738" s="4" t="s">
        <v>3001</v>
      </c>
      <c r="M738" s="4" t="s">
        <v>3002</v>
      </c>
      <c r="N738" s="6" t="n">
        <v>18741</v>
      </c>
      <c r="O738" s="6" t="n">
        <v>43214</v>
      </c>
      <c r="P738" s="4" t="s">
        <v>46</v>
      </c>
      <c r="Q738" s="6" t="n">
        <v>153000</v>
      </c>
      <c r="R738" s="15" t="n">
        <v>43929</v>
      </c>
      <c r="S738" s="6"/>
      <c r="T738" s="15"/>
      <c r="U738" s="6"/>
      <c r="V738" s="15"/>
      <c r="W738" s="4" t="s">
        <v>47</v>
      </c>
      <c r="X738" s="4" t="s">
        <v>58</v>
      </c>
      <c r="Y738" s="4" t="s">
        <v>3003</v>
      </c>
      <c r="Z738" s="4" t="s">
        <v>1641</v>
      </c>
      <c r="AA738" s="6" t="n">
        <v>0</v>
      </c>
      <c r="AB738" s="6" t="n">
        <v>4102.4</v>
      </c>
      <c r="AC738" s="6" t="n">
        <v>4389.31</v>
      </c>
      <c r="AD738" s="14" t="b">
        <f aca="false">FALSE()</f>
        <v>0</v>
      </c>
    </row>
    <row r="739" customFormat="false" ht="15" hidden="false" customHeight="false" outlineLevel="0" collapsed="false">
      <c r="A739" s="14" t="b">
        <f aca="false">TRUE()</f>
        <v>1</v>
      </c>
      <c r="B739" s="14" t="b">
        <f aca="false">FALSE()</f>
        <v>0</v>
      </c>
      <c r="C739" s="4" t="n">
        <v>2</v>
      </c>
      <c r="D739" s="4"/>
      <c r="E739" s="4"/>
      <c r="F739" s="4"/>
      <c r="G739" s="4"/>
      <c r="H739" s="14" t="b">
        <f aca="false">FALSE()</f>
        <v>0</v>
      </c>
      <c r="I739" s="14" t="b">
        <f aca="false">FALSE()</f>
        <v>0</v>
      </c>
      <c r="J739" s="4"/>
      <c r="K739" s="4" t="s">
        <v>3004</v>
      </c>
      <c r="L739" s="4" t="s">
        <v>3005</v>
      </c>
      <c r="M739" s="4" t="s">
        <v>3006</v>
      </c>
      <c r="N739" s="6" t="n">
        <v>20221</v>
      </c>
      <c r="O739" s="6" t="n">
        <v>51861</v>
      </c>
      <c r="P739" s="4" t="s">
        <v>46</v>
      </c>
      <c r="Q739" s="6" t="n">
        <v>362000</v>
      </c>
      <c r="R739" s="15" t="n">
        <v>44217</v>
      </c>
      <c r="S739" s="6"/>
      <c r="T739" s="15"/>
      <c r="U739" s="6"/>
      <c r="V739" s="15"/>
      <c r="W739" s="4" t="s">
        <v>47</v>
      </c>
      <c r="X739" s="4" t="s">
        <v>58</v>
      </c>
      <c r="Y739" s="4" t="s">
        <v>3007</v>
      </c>
      <c r="Z739" s="4" t="s">
        <v>1641</v>
      </c>
      <c r="AA739" s="6" t="n">
        <v>0</v>
      </c>
      <c r="AB739" s="6" t="n">
        <v>4872.42</v>
      </c>
      <c r="AC739" s="6" t="n">
        <v>5211.31</v>
      </c>
      <c r="AD739" s="14" t="b">
        <f aca="false">FALSE()</f>
        <v>0</v>
      </c>
    </row>
    <row r="740" customFormat="false" ht="15" hidden="false" customHeight="false" outlineLevel="0" collapsed="false">
      <c r="A740" s="14" t="b">
        <f aca="false">TRUE()</f>
        <v>1</v>
      </c>
      <c r="B740" s="14" t="b">
        <f aca="false">FALSE()</f>
        <v>0</v>
      </c>
      <c r="C740" s="4" t="n">
        <v>2</v>
      </c>
      <c r="D740" s="4"/>
      <c r="E740" s="4"/>
      <c r="F740" s="4"/>
      <c r="G740" s="4"/>
      <c r="H740" s="14" t="b">
        <f aca="false">TRUE()</f>
        <v>1</v>
      </c>
      <c r="I740" s="14" t="b">
        <f aca="false">FALSE()</f>
        <v>0</v>
      </c>
      <c r="J740" s="4"/>
      <c r="K740" s="4" t="s">
        <v>3008</v>
      </c>
      <c r="L740" s="4" t="s">
        <v>3009</v>
      </c>
      <c r="M740" s="4" t="s">
        <v>3010</v>
      </c>
      <c r="N740" s="6" t="n">
        <v>20266</v>
      </c>
      <c r="O740" s="6" t="n">
        <v>47755</v>
      </c>
      <c r="P740" s="4" t="s">
        <v>46</v>
      </c>
      <c r="Q740" s="6" t="n">
        <v>107000</v>
      </c>
      <c r="R740" s="15" t="n">
        <v>42037</v>
      </c>
      <c r="S740" s="6"/>
      <c r="T740" s="15"/>
      <c r="U740" s="6"/>
      <c r="V740" s="15"/>
      <c r="W740" s="4" t="s">
        <v>47</v>
      </c>
      <c r="X740" s="4" t="s">
        <v>58</v>
      </c>
      <c r="Y740" s="4" t="s">
        <v>3011</v>
      </c>
      <c r="Z740" s="4" t="s">
        <v>1641</v>
      </c>
      <c r="AA740" s="6" t="n">
        <v>0</v>
      </c>
      <c r="AB740" s="6" t="n">
        <v>5171.92</v>
      </c>
      <c r="AC740" s="6" t="n">
        <v>5531.03</v>
      </c>
      <c r="AD740" s="14" t="b">
        <f aca="false">FALSE()</f>
        <v>0</v>
      </c>
    </row>
    <row r="741" customFormat="false" ht="15" hidden="false" customHeight="false" outlineLevel="0" collapsed="false">
      <c r="A741" s="14" t="b">
        <f aca="false">TRUE()</f>
        <v>1</v>
      </c>
      <c r="B741" s="14" t="b">
        <f aca="false">FALSE()</f>
        <v>0</v>
      </c>
      <c r="C741" s="4" t="n">
        <v>2</v>
      </c>
      <c r="D741" s="4"/>
      <c r="E741" s="4"/>
      <c r="F741" s="4"/>
      <c r="G741" s="4"/>
      <c r="H741" s="14" t="b">
        <f aca="false">FALSE()</f>
        <v>0</v>
      </c>
      <c r="I741" s="14" t="b">
        <f aca="false">FALSE()</f>
        <v>0</v>
      </c>
      <c r="J741" s="4"/>
      <c r="K741" s="4" t="s">
        <v>3012</v>
      </c>
      <c r="L741" s="4" t="s">
        <v>3013</v>
      </c>
      <c r="M741" s="4" t="s">
        <v>3014</v>
      </c>
      <c r="N741" s="6" t="n">
        <v>39207</v>
      </c>
      <c r="O741" s="6" t="n">
        <v>110444</v>
      </c>
      <c r="P741" s="4" t="s">
        <v>46</v>
      </c>
      <c r="Q741" s="6" t="n">
        <v>326000</v>
      </c>
      <c r="R741" s="15" t="n">
        <v>39247</v>
      </c>
      <c r="S741" s="6" t="n">
        <v>244000</v>
      </c>
      <c r="T741" s="15" t="n">
        <v>44005</v>
      </c>
      <c r="U741" s="6"/>
      <c r="V741" s="15"/>
      <c r="W741" s="4" t="s">
        <v>47</v>
      </c>
      <c r="X741" s="4" t="s">
        <v>47</v>
      </c>
      <c r="Y741" s="4" t="s">
        <v>3015</v>
      </c>
      <c r="Z741" s="4" t="s">
        <v>1641</v>
      </c>
      <c r="AA741" s="6" t="n">
        <v>0</v>
      </c>
      <c r="AB741" s="6" t="n">
        <v>10770.3</v>
      </c>
      <c r="AC741" s="6" t="n">
        <v>5637.48</v>
      </c>
      <c r="AD741" s="14" t="b">
        <f aca="false">TRUE()</f>
        <v>1</v>
      </c>
    </row>
    <row r="742" customFormat="false" ht="15" hidden="false" customHeight="false" outlineLevel="0" collapsed="false">
      <c r="A742" s="14" t="b">
        <f aca="false">TRUE()</f>
        <v>1</v>
      </c>
      <c r="B742" s="14" t="b">
        <f aca="false">FALSE()</f>
        <v>0</v>
      </c>
      <c r="C742" s="4" t="n">
        <v>3</v>
      </c>
      <c r="D742" s="4"/>
      <c r="E742" s="4"/>
      <c r="F742" s="4"/>
      <c r="G742" s="4"/>
      <c r="H742" s="14" t="b">
        <f aca="false">FALSE()</f>
        <v>0</v>
      </c>
      <c r="I742" s="14" t="b">
        <f aca="false">FALSE()</f>
        <v>0</v>
      </c>
      <c r="J742" s="4"/>
      <c r="K742" s="4" t="s">
        <v>3016</v>
      </c>
      <c r="L742" s="4" t="s">
        <v>3017</v>
      </c>
      <c r="M742" s="4" t="s">
        <v>3018</v>
      </c>
      <c r="N742" s="6" t="n">
        <v>40109</v>
      </c>
      <c r="O742" s="6" t="n">
        <v>116510</v>
      </c>
      <c r="P742" s="4" t="s">
        <v>46</v>
      </c>
      <c r="Q742" s="6" t="n">
        <v>273000</v>
      </c>
      <c r="R742" s="15" t="n">
        <v>38274</v>
      </c>
      <c r="S742" s="6"/>
      <c r="T742" s="15"/>
      <c r="U742" s="6"/>
      <c r="V742" s="15"/>
      <c r="W742" s="4" t="s">
        <v>47</v>
      </c>
      <c r="X742" s="4" t="s">
        <v>47</v>
      </c>
      <c r="Y742" s="4" t="s">
        <v>3019</v>
      </c>
      <c r="Z742" s="4" t="s">
        <v>1641</v>
      </c>
      <c r="AA742" s="6" t="n">
        <v>0</v>
      </c>
      <c r="AB742" s="6" t="n">
        <v>11908.38</v>
      </c>
      <c r="AC742" s="6" t="n">
        <v>12722.2</v>
      </c>
      <c r="AD742" s="14" t="b">
        <f aca="false">FALSE()</f>
        <v>0</v>
      </c>
    </row>
    <row r="743" customFormat="false" ht="15" hidden="false" customHeight="false" outlineLevel="0" collapsed="false">
      <c r="A743" s="14" t="b">
        <f aca="false">TRUE()</f>
        <v>1</v>
      </c>
      <c r="B743" s="14" t="b">
        <f aca="false">FALSE()</f>
        <v>0</v>
      </c>
      <c r="C743" s="4" t="n">
        <v>2</v>
      </c>
      <c r="D743" s="4"/>
      <c r="E743" s="4"/>
      <c r="F743" s="4"/>
      <c r="G743" s="4"/>
      <c r="H743" s="14" t="b">
        <f aca="false">FALSE()</f>
        <v>0</v>
      </c>
      <c r="I743" s="14" t="b">
        <f aca="false">FALSE()</f>
        <v>0</v>
      </c>
      <c r="J743" s="4"/>
      <c r="K743" s="4" t="s">
        <v>3020</v>
      </c>
      <c r="L743" s="4" t="s">
        <v>3021</v>
      </c>
      <c r="M743" s="4" t="s">
        <v>3022</v>
      </c>
      <c r="N743" s="6" t="n">
        <v>19509</v>
      </c>
      <c r="O743" s="6" t="n">
        <v>60787</v>
      </c>
      <c r="P743" s="4" t="s">
        <v>46</v>
      </c>
      <c r="Q743" s="6" t="n">
        <v>293000</v>
      </c>
      <c r="R743" s="15" t="n">
        <v>45621</v>
      </c>
      <c r="S743" s="6"/>
      <c r="T743" s="15"/>
      <c r="U743" s="6"/>
      <c r="V743" s="15"/>
      <c r="W743" s="4" t="s">
        <v>47</v>
      </c>
      <c r="X743" s="4" t="s">
        <v>58</v>
      </c>
      <c r="Y743" s="4" t="s">
        <v>3023</v>
      </c>
      <c r="Z743" s="4" t="s">
        <v>2108</v>
      </c>
      <c r="AA743" s="6" t="n">
        <v>0</v>
      </c>
      <c r="AB743" s="6" t="n">
        <v>4512.66</v>
      </c>
      <c r="AC743" s="6" t="n">
        <v>4827.26</v>
      </c>
      <c r="AD743" s="14" t="b">
        <f aca="false">FALSE()</f>
        <v>0</v>
      </c>
    </row>
    <row r="744" customFormat="false" ht="15" hidden="false" customHeight="false" outlineLevel="0" collapsed="false">
      <c r="A744" s="14" t="b">
        <f aca="false">TRUE()</f>
        <v>1</v>
      </c>
      <c r="B744" s="14" t="b">
        <f aca="false">FALSE()</f>
        <v>0</v>
      </c>
      <c r="C744" s="4" t="n">
        <v>2</v>
      </c>
      <c r="D744" s="4"/>
      <c r="E744" s="4"/>
      <c r="F744" s="4"/>
      <c r="G744" s="4"/>
      <c r="H744" s="14" t="b">
        <f aca="false">TRUE()</f>
        <v>1</v>
      </c>
      <c r="I744" s="14" t="b">
        <f aca="false">FALSE()</f>
        <v>0</v>
      </c>
      <c r="J744" s="4"/>
      <c r="K744" s="4" t="s">
        <v>3024</v>
      </c>
      <c r="L744" s="4" t="s">
        <v>3025</v>
      </c>
      <c r="M744" s="4" t="s">
        <v>3026</v>
      </c>
      <c r="N744" s="6" t="n">
        <v>34722</v>
      </c>
      <c r="O744" s="6" t="n">
        <v>63547</v>
      </c>
      <c r="P744" s="4" t="s">
        <v>46</v>
      </c>
      <c r="Q744" s="6" t="n">
        <v>135000</v>
      </c>
      <c r="R744" s="15" t="n">
        <v>41556</v>
      </c>
      <c r="S744" s="6"/>
      <c r="T744" s="15"/>
      <c r="U744" s="6"/>
      <c r="V744" s="15"/>
      <c r="W744" s="4" t="s">
        <v>47</v>
      </c>
      <c r="X744" s="4" t="s">
        <v>58</v>
      </c>
      <c r="Y744" s="4" t="s">
        <v>3027</v>
      </c>
      <c r="Z744" s="4" t="s">
        <v>2108</v>
      </c>
      <c r="AA744" s="6" t="n">
        <v>0</v>
      </c>
      <c r="AB744" s="6" t="n">
        <v>5634.5</v>
      </c>
      <c r="AC744" s="6" t="n">
        <v>6024.83</v>
      </c>
      <c r="AD744" s="14" t="b">
        <f aca="false">FALSE()</f>
        <v>0</v>
      </c>
    </row>
    <row r="745" customFormat="false" ht="15" hidden="false" customHeight="false" outlineLevel="0" collapsed="false">
      <c r="A745" s="14" t="b">
        <f aca="false">TRUE()</f>
        <v>1</v>
      </c>
      <c r="B745" s="14" t="b">
        <f aca="false">FALSE()</f>
        <v>0</v>
      </c>
      <c r="C745" s="4" t="n">
        <v>3</v>
      </c>
      <c r="D745" s="4"/>
      <c r="E745" s="4"/>
      <c r="F745" s="4"/>
      <c r="G745" s="4"/>
      <c r="H745" s="14" t="b">
        <f aca="false">TRUE()</f>
        <v>1</v>
      </c>
      <c r="I745" s="14" t="b">
        <f aca="false">FALSE()</f>
        <v>0</v>
      </c>
      <c r="J745" s="4"/>
      <c r="K745" s="4" t="s">
        <v>3028</v>
      </c>
      <c r="L745" s="4" t="s">
        <v>3029</v>
      </c>
      <c r="M745" s="4" t="s">
        <v>3030</v>
      </c>
      <c r="N745" s="6" t="n">
        <v>68699</v>
      </c>
      <c r="O745" s="6" t="n">
        <v>96733</v>
      </c>
      <c r="P745" s="4" t="s">
        <v>46</v>
      </c>
      <c r="Q745" s="6"/>
      <c r="R745" s="15" t="n">
        <v>44126</v>
      </c>
      <c r="S745" s="6"/>
      <c r="T745" s="15"/>
      <c r="U745" s="6"/>
      <c r="V745" s="15"/>
      <c r="W745" s="4" t="s">
        <v>58</v>
      </c>
      <c r="X745" s="4" t="s">
        <v>47</v>
      </c>
      <c r="Y745" s="4" t="s">
        <v>3031</v>
      </c>
      <c r="Z745" s="4" t="s">
        <v>2108</v>
      </c>
      <c r="AA745" s="6" t="n">
        <v>0</v>
      </c>
      <c r="AB745" s="6" t="n">
        <v>9838.42</v>
      </c>
      <c r="AC745" s="6" t="n">
        <v>10512.51</v>
      </c>
      <c r="AD745" s="14" t="b">
        <f aca="false">FALSE()</f>
        <v>0</v>
      </c>
    </row>
    <row r="746" customFormat="false" ht="15" hidden="false" customHeight="false" outlineLevel="0" collapsed="false">
      <c r="A746" s="14" t="b">
        <f aca="false">TRUE()</f>
        <v>1</v>
      </c>
      <c r="B746" s="14" t="b">
        <f aca="false">FALSE()</f>
        <v>0</v>
      </c>
      <c r="C746" s="4" t="n">
        <v>2</v>
      </c>
      <c r="D746" s="4"/>
      <c r="E746" s="4"/>
      <c r="F746" s="4"/>
      <c r="G746" s="4"/>
      <c r="H746" s="14" t="b">
        <f aca="false">FALSE()</f>
        <v>0</v>
      </c>
      <c r="I746" s="14" t="b">
        <f aca="false">FALSE()</f>
        <v>0</v>
      </c>
      <c r="J746" s="4"/>
      <c r="K746" s="4" t="s">
        <v>3032</v>
      </c>
      <c r="L746" s="4" t="s">
        <v>3033</v>
      </c>
      <c r="M746" s="4" t="s">
        <v>3034</v>
      </c>
      <c r="N746" s="6" t="n">
        <v>22013</v>
      </c>
      <c r="O746" s="6" t="n">
        <v>41088</v>
      </c>
      <c r="P746" s="4" t="s">
        <v>46</v>
      </c>
      <c r="Q746" s="6" t="n">
        <v>156000</v>
      </c>
      <c r="R746" s="15" t="n">
        <v>44418</v>
      </c>
      <c r="S746" s="6"/>
      <c r="T746" s="15"/>
      <c r="U746" s="6"/>
      <c r="V746" s="15"/>
      <c r="W746" s="4" t="s">
        <v>47</v>
      </c>
      <c r="X746" s="4" t="s">
        <v>47</v>
      </c>
      <c r="Y746" s="4" t="s">
        <v>3035</v>
      </c>
      <c r="Z746" s="4" t="s">
        <v>2108</v>
      </c>
      <c r="AA746" s="6" t="n">
        <v>0</v>
      </c>
      <c r="AB746" s="6" t="n">
        <v>3439.34</v>
      </c>
      <c r="AC746" s="6" t="n">
        <v>1807.06</v>
      </c>
      <c r="AD746" s="14" t="b">
        <f aca="false">TRUE()</f>
        <v>1</v>
      </c>
    </row>
    <row r="747" customFormat="false" ht="15" hidden="false" customHeight="false" outlineLevel="0" collapsed="false">
      <c r="A747" s="14" t="b">
        <f aca="false">TRUE()</f>
        <v>1</v>
      </c>
      <c r="B747" s="14" t="b">
        <f aca="false">FALSE()</f>
        <v>0</v>
      </c>
      <c r="C747" s="4" t="n">
        <v>2</v>
      </c>
      <c r="D747" s="4"/>
      <c r="E747" s="4"/>
      <c r="F747" s="4"/>
      <c r="G747" s="4"/>
      <c r="H747" s="14" t="b">
        <f aca="false">FALSE()</f>
        <v>0</v>
      </c>
      <c r="I747" s="14" t="b">
        <f aca="false">FALSE()</f>
        <v>0</v>
      </c>
      <c r="J747" s="4"/>
      <c r="K747" s="4" t="s">
        <v>3036</v>
      </c>
      <c r="L747" s="4" t="s">
        <v>3037</v>
      </c>
      <c r="M747" s="4" t="s">
        <v>3038</v>
      </c>
      <c r="N747" s="6" t="n">
        <v>13177</v>
      </c>
      <c r="O747" s="6" t="n">
        <v>56691</v>
      </c>
      <c r="P747" s="4" t="s">
        <v>46</v>
      </c>
      <c r="Q747" s="6" t="n">
        <v>296000</v>
      </c>
      <c r="R747" s="15" t="n">
        <v>45594</v>
      </c>
      <c r="S747" s="6"/>
      <c r="T747" s="15"/>
      <c r="U747" s="6"/>
      <c r="V747" s="15"/>
      <c r="W747" s="4" t="s">
        <v>47</v>
      </c>
      <c r="X747" s="4" t="s">
        <v>47</v>
      </c>
      <c r="Y747" s="4" t="s">
        <v>3039</v>
      </c>
      <c r="Z747" s="4" t="s">
        <v>2108</v>
      </c>
      <c r="AA747" s="6" t="n">
        <v>0</v>
      </c>
      <c r="AB747" s="6" t="n">
        <v>4361.1</v>
      </c>
      <c r="AC747" s="6" t="n">
        <v>4665.47</v>
      </c>
      <c r="AD747" s="14" t="b">
        <f aca="false">FALSE()</f>
        <v>0</v>
      </c>
    </row>
    <row r="748" customFormat="false" ht="15" hidden="false" customHeight="false" outlineLevel="0" collapsed="false">
      <c r="A748" s="14" t="b">
        <f aca="false">TRUE()</f>
        <v>1</v>
      </c>
      <c r="B748" s="14" t="b">
        <f aca="false">FALSE()</f>
        <v>0</v>
      </c>
      <c r="C748" s="4" t="n">
        <v>2</v>
      </c>
      <c r="D748" s="4"/>
      <c r="E748" s="4"/>
      <c r="F748" s="4"/>
      <c r="G748" s="4"/>
      <c r="H748" s="14" t="b">
        <f aca="false">FALSE()</f>
        <v>0</v>
      </c>
      <c r="I748" s="14" t="b">
        <f aca="false">FALSE()</f>
        <v>0</v>
      </c>
      <c r="J748" s="4"/>
      <c r="K748" s="4" t="s">
        <v>3040</v>
      </c>
      <c r="L748" s="4" t="s">
        <v>3041</v>
      </c>
      <c r="M748" s="4" t="s">
        <v>3042</v>
      </c>
      <c r="N748" s="6" t="n">
        <v>19042</v>
      </c>
      <c r="O748" s="6" t="n">
        <v>69445</v>
      </c>
      <c r="P748" s="4" t="s">
        <v>46</v>
      </c>
      <c r="Q748" s="6" t="n">
        <v>133500</v>
      </c>
      <c r="R748" s="15" t="n">
        <v>35642</v>
      </c>
      <c r="S748" s="6"/>
      <c r="T748" s="15"/>
      <c r="U748" s="6"/>
      <c r="V748" s="15"/>
      <c r="W748" s="4" t="s">
        <v>47</v>
      </c>
      <c r="X748" s="4" t="s">
        <v>58</v>
      </c>
      <c r="Y748" s="4" t="s">
        <v>3043</v>
      </c>
      <c r="Z748" s="4" t="s">
        <v>2108</v>
      </c>
      <c r="AA748" s="6" t="n">
        <v>0</v>
      </c>
      <c r="AB748" s="6" t="n">
        <v>5023.94</v>
      </c>
      <c r="AC748" s="6" t="n">
        <v>5373.06</v>
      </c>
      <c r="AD748" s="14" t="b">
        <f aca="false">FALSE()</f>
        <v>0</v>
      </c>
    </row>
    <row r="749" customFormat="false" ht="15" hidden="false" customHeight="false" outlineLevel="0" collapsed="false">
      <c r="A749" s="14" t="b">
        <f aca="false">TRUE()</f>
        <v>1</v>
      </c>
      <c r="B749" s="14" t="b">
        <f aca="false">FALSE()</f>
        <v>0</v>
      </c>
      <c r="C749" s="4" t="n">
        <v>3</v>
      </c>
      <c r="D749" s="4"/>
      <c r="E749" s="4"/>
      <c r="F749" s="4"/>
      <c r="G749" s="4"/>
      <c r="H749" s="14" t="b">
        <f aca="false">FALSE()</f>
        <v>0</v>
      </c>
      <c r="I749" s="14" t="b">
        <f aca="false">FALSE()</f>
        <v>0</v>
      </c>
      <c r="J749" s="4"/>
      <c r="K749" s="4" t="s">
        <v>3044</v>
      </c>
      <c r="L749" s="4" t="s">
        <v>3045</v>
      </c>
      <c r="M749" s="4" t="s">
        <v>3046</v>
      </c>
      <c r="N749" s="6" t="n">
        <v>19042</v>
      </c>
      <c r="O749" s="6" t="n">
        <v>80529</v>
      </c>
      <c r="P749" s="4" t="s">
        <v>46</v>
      </c>
      <c r="Q749" s="6" t="n">
        <v>328000</v>
      </c>
      <c r="R749" s="15" t="n">
        <v>45509</v>
      </c>
      <c r="S749" s="6" t="n">
        <v>293250</v>
      </c>
      <c r="T749" s="15" t="n">
        <v>45761</v>
      </c>
      <c r="U749" s="6"/>
      <c r="V749" s="15"/>
      <c r="W749" s="4" t="s">
        <v>47</v>
      </c>
      <c r="X749" s="4" t="s">
        <v>58</v>
      </c>
      <c r="Y749" s="4" t="s">
        <v>3047</v>
      </c>
      <c r="Z749" s="4" t="s">
        <v>2108</v>
      </c>
      <c r="AA749" s="6" t="n">
        <v>0</v>
      </c>
      <c r="AB749" s="6" t="n">
        <v>5715.78</v>
      </c>
      <c r="AC749" s="6" t="n">
        <v>6111.6</v>
      </c>
      <c r="AD749" s="14" t="b">
        <f aca="false">FALSE()</f>
        <v>0</v>
      </c>
    </row>
    <row r="750" customFormat="false" ht="15" hidden="false" customHeight="false" outlineLevel="0" collapsed="false">
      <c r="A750" s="14" t="b">
        <f aca="false">TRUE()</f>
        <v>1</v>
      </c>
      <c r="B750" s="14" t="b">
        <f aca="false">FALSE()</f>
        <v>0</v>
      </c>
      <c r="C750" s="4" t="n">
        <v>2</v>
      </c>
      <c r="D750" s="4"/>
      <c r="E750" s="4"/>
      <c r="F750" s="4"/>
      <c r="G750" s="4"/>
      <c r="H750" s="14" t="b">
        <f aca="false">TRUE()</f>
        <v>1</v>
      </c>
      <c r="I750" s="14" t="b">
        <f aca="false">FALSE()</f>
        <v>0</v>
      </c>
      <c r="J750" s="4"/>
      <c r="K750" s="4" t="s">
        <v>3048</v>
      </c>
      <c r="L750" s="4" t="s">
        <v>3049</v>
      </c>
      <c r="M750" s="4" t="s">
        <v>3050</v>
      </c>
      <c r="N750" s="6" t="n">
        <v>19042</v>
      </c>
      <c r="O750" s="6" t="n">
        <v>80318</v>
      </c>
      <c r="P750" s="4" t="s">
        <v>46</v>
      </c>
      <c r="Q750" s="6" t="n">
        <v>280000</v>
      </c>
      <c r="R750" s="15" t="n">
        <v>44309</v>
      </c>
      <c r="S750" s="6"/>
      <c r="T750" s="15"/>
      <c r="U750" s="6"/>
      <c r="V750" s="15"/>
      <c r="W750" s="4" t="s">
        <v>47</v>
      </c>
      <c r="X750" s="4" t="s">
        <v>58</v>
      </c>
      <c r="Y750" s="4" t="s">
        <v>3051</v>
      </c>
      <c r="Z750" s="4" t="s">
        <v>2108</v>
      </c>
      <c r="AA750" s="6" t="n">
        <v>0</v>
      </c>
      <c r="AB750" s="6" t="n">
        <v>5702.6</v>
      </c>
      <c r="AC750" s="6" t="n">
        <v>2989.61</v>
      </c>
      <c r="AD750" s="14" t="b">
        <f aca="false">TRUE()</f>
        <v>1</v>
      </c>
    </row>
    <row r="751" customFormat="false" ht="15" hidden="false" customHeight="false" outlineLevel="0" collapsed="false">
      <c r="A751" s="14" t="b">
        <f aca="false">TRUE()</f>
        <v>1</v>
      </c>
      <c r="B751" s="14" t="b">
        <f aca="false">FALSE()</f>
        <v>0</v>
      </c>
      <c r="C751" s="4" t="n">
        <v>3</v>
      </c>
      <c r="D751" s="4"/>
      <c r="E751" s="4"/>
      <c r="F751" s="4"/>
      <c r="G751" s="4"/>
      <c r="H751" s="14" t="b">
        <f aca="false">FALSE()</f>
        <v>0</v>
      </c>
      <c r="I751" s="14" t="b">
        <f aca="false">FALSE()</f>
        <v>0</v>
      </c>
      <c r="J751" s="4"/>
      <c r="K751" s="4" t="s">
        <v>3052</v>
      </c>
      <c r="L751" s="4" t="s">
        <v>3053</v>
      </c>
      <c r="M751" s="4" t="s">
        <v>3054</v>
      </c>
      <c r="N751" s="6" t="n">
        <v>73641</v>
      </c>
      <c r="O751" s="6" t="n">
        <v>131166</v>
      </c>
      <c r="P751" s="4" t="s">
        <v>46</v>
      </c>
      <c r="Q751" s="6" t="n">
        <v>604000</v>
      </c>
      <c r="R751" s="15" t="n">
        <v>45673</v>
      </c>
      <c r="S751" s="6" t="n">
        <v>645000</v>
      </c>
      <c r="T751" s="15" t="n">
        <v>45673</v>
      </c>
      <c r="U751" s="6"/>
      <c r="V751" s="15"/>
      <c r="W751" s="4" t="s">
        <v>47</v>
      </c>
      <c r="X751" s="4" t="s">
        <v>47</v>
      </c>
      <c r="Y751" s="4" t="s">
        <v>3055</v>
      </c>
      <c r="Z751" s="4" t="s">
        <v>2108</v>
      </c>
      <c r="AA751" s="6" t="n">
        <v>0</v>
      </c>
      <c r="AB751" s="6" t="n">
        <v>11579.16</v>
      </c>
      <c r="AC751" s="6" t="n">
        <v>12370.75</v>
      </c>
      <c r="AD751" s="14" t="b">
        <f aca="false">FALSE()</f>
        <v>0</v>
      </c>
    </row>
    <row r="752" customFormat="false" ht="15" hidden="false" customHeight="false" outlineLevel="0" collapsed="false">
      <c r="A752" s="14" t="b">
        <f aca="false">TRUE()</f>
        <v>1</v>
      </c>
      <c r="B752" s="14" t="b">
        <f aca="false">FALSE()</f>
        <v>0</v>
      </c>
      <c r="C752" s="4" t="n">
        <v>2</v>
      </c>
      <c r="D752" s="4"/>
      <c r="E752" s="4"/>
      <c r="F752" s="4"/>
      <c r="G752" s="4"/>
      <c r="H752" s="14" t="b">
        <f aca="false">FALSE()</f>
        <v>0</v>
      </c>
      <c r="I752" s="14" t="b">
        <f aca="false">FALSE()</f>
        <v>0</v>
      </c>
      <c r="J752" s="4"/>
      <c r="K752" s="4" t="s">
        <v>3056</v>
      </c>
      <c r="L752" s="4" t="s">
        <v>3057</v>
      </c>
      <c r="M752" s="4" t="s">
        <v>3058</v>
      </c>
      <c r="N752" s="6" t="n">
        <v>6566</v>
      </c>
      <c r="O752" s="6" t="n">
        <v>50069</v>
      </c>
      <c r="P752" s="4" t="s">
        <v>46</v>
      </c>
      <c r="Q752" s="6" t="n">
        <v>235000</v>
      </c>
      <c r="R752" s="15" t="n">
        <v>45826</v>
      </c>
      <c r="S752" s="6"/>
      <c r="T752" s="15"/>
      <c r="U752" s="6"/>
      <c r="V752" s="15"/>
      <c r="W752" s="4" t="s">
        <v>47</v>
      </c>
      <c r="X752" s="4" t="s">
        <v>47</v>
      </c>
      <c r="Y752" s="4" t="s">
        <v>3059</v>
      </c>
      <c r="Z752" s="4" t="s">
        <v>2108</v>
      </c>
      <c r="AA752" s="6" t="n">
        <v>0</v>
      </c>
      <c r="AB752" s="6" t="n">
        <v>3473.32</v>
      </c>
      <c r="AC752" s="6" t="n">
        <v>1824.81</v>
      </c>
      <c r="AD752" s="14" t="b">
        <f aca="false">TRUE()</f>
        <v>1</v>
      </c>
    </row>
    <row r="753" customFormat="false" ht="15" hidden="false" customHeight="false" outlineLevel="0" collapsed="false">
      <c r="A753" s="14" t="b">
        <f aca="false">TRUE()</f>
        <v>1</v>
      </c>
      <c r="B753" s="14" t="b">
        <f aca="false">FALSE()</f>
        <v>0</v>
      </c>
      <c r="C753" s="4" t="n">
        <v>2</v>
      </c>
      <c r="D753" s="4"/>
      <c r="E753" s="4"/>
      <c r="F753" s="4"/>
      <c r="G753" s="4" t="n">
        <v>2</v>
      </c>
      <c r="H753" s="14" t="b">
        <f aca="false">FALSE()</f>
        <v>0</v>
      </c>
      <c r="I753" s="14" t="b">
        <f aca="false">FALSE()</f>
        <v>0</v>
      </c>
      <c r="J753" s="4"/>
      <c r="K753" s="4" t="s">
        <v>3060</v>
      </c>
      <c r="L753" s="4" t="s">
        <v>3061</v>
      </c>
      <c r="M753" s="4" t="s">
        <v>3062</v>
      </c>
      <c r="N753" s="6" t="n">
        <v>6566</v>
      </c>
      <c r="O753" s="6" t="n">
        <v>49969</v>
      </c>
      <c r="P753" s="4" t="s">
        <v>46</v>
      </c>
      <c r="Q753" s="6" t="n">
        <v>80000</v>
      </c>
      <c r="R753" s="15" t="n">
        <v>41796</v>
      </c>
      <c r="S753" s="6"/>
      <c r="T753" s="15"/>
      <c r="U753" s="6"/>
      <c r="V753" s="15"/>
      <c r="W753" s="4" t="s">
        <v>47</v>
      </c>
      <c r="X753" s="4" t="s">
        <v>58</v>
      </c>
      <c r="Y753" s="4" t="s">
        <v>3063</v>
      </c>
      <c r="Z753" s="4" t="s">
        <v>2108</v>
      </c>
      <c r="AA753" s="6" t="n">
        <v>0</v>
      </c>
      <c r="AB753" s="6" t="n">
        <v>2976.56</v>
      </c>
      <c r="AC753" s="6" t="n">
        <v>3187.48</v>
      </c>
      <c r="AD753" s="14" t="b">
        <f aca="false">FALSE()</f>
        <v>0</v>
      </c>
    </row>
    <row r="754" customFormat="false" ht="15" hidden="false" customHeight="false" outlineLevel="0" collapsed="false">
      <c r="A754" s="14" t="b">
        <f aca="false">TRUE()</f>
        <v>1</v>
      </c>
      <c r="B754" s="14" t="b">
        <f aca="false">FALSE()</f>
        <v>0</v>
      </c>
      <c r="C754" s="4" t="n">
        <v>2</v>
      </c>
      <c r="D754" s="4"/>
      <c r="E754" s="4"/>
      <c r="F754" s="4"/>
      <c r="G754" s="4"/>
      <c r="H754" s="14" t="b">
        <f aca="false">FALSE()</f>
        <v>0</v>
      </c>
      <c r="I754" s="14" t="b">
        <f aca="false">FALSE()</f>
        <v>0</v>
      </c>
      <c r="J754" s="4"/>
      <c r="K754" s="4" t="s">
        <v>3064</v>
      </c>
      <c r="L754" s="4" t="s">
        <v>3065</v>
      </c>
      <c r="M754" s="4" t="s">
        <v>3066</v>
      </c>
      <c r="N754" s="6" t="n">
        <v>73641</v>
      </c>
      <c r="O754" s="6" t="n">
        <v>108374</v>
      </c>
      <c r="P754" s="4" t="s">
        <v>46</v>
      </c>
      <c r="Q754" s="6" t="n">
        <v>600000</v>
      </c>
      <c r="R754" s="15" t="n">
        <v>45876</v>
      </c>
      <c r="S754" s="6" t="n">
        <v>690000</v>
      </c>
      <c r="T754" s="15" t="n">
        <v>45876</v>
      </c>
      <c r="U754" s="6"/>
      <c r="V754" s="15"/>
      <c r="W754" s="4" t="s">
        <v>47</v>
      </c>
      <c r="X754" s="4" t="s">
        <v>47</v>
      </c>
      <c r="Y754" s="4" t="s">
        <v>3067</v>
      </c>
      <c r="Z754" s="4" t="s">
        <v>2108</v>
      </c>
      <c r="AA754" s="6" t="n">
        <v>0</v>
      </c>
      <c r="AB754" s="6" t="n">
        <v>10181.38</v>
      </c>
      <c r="AC754" s="6" t="n">
        <v>5329.77</v>
      </c>
      <c r="AD754" s="14" t="b">
        <f aca="false">TRUE()</f>
        <v>1</v>
      </c>
    </row>
    <row r="755" customFormat="false" ht="15" hidden="false" customHeight="false" outlineLevel="0" collapsed="false">
      <c r="A755" s="14" t="b">
        <f aca="false">TRUE()</f>
        <v>1</v>
      </c>
      <c r="B755" s="14" t="b">
        <f aca="false">FALSE()</f>
        <v>0</v>
      </c>
      <c r="C755" s="4" t="n">
        <v>3</v>
      </c>
      <c r="D755" s="4"/>
      <c r="E755" s="4"/>
      <c r="F755" s="4"/>
      <c r="G755" s="4" t="n">
        <v>3</v>
      </c>
      <c r="H755" s="14" t="b">
        <f aca="false">FALSE()</f>
        <v>0</v>
      </c>
      <c r="I755" s="14" t="b">
        <f aca="false">FALSE()</f>
        <v>0</v>
      </c>
      <c r="J755" s="4"/>
      <c r="K755" s="4" t="s">
        <v>3068</v>
      </c>
      <c r="L755" s="4" t="s">
        <v>3069</v>
      </c>
      <c r="M755" s="4" t="s">
        <v>3070</v>
      </c>
      <c r="N755" s="6" t="n">
        <v>71370</v>
      </c>
      <c r="O755" s="6" t="n">
        <v>147860</v>
      </c>
      <c r="P755" s="4" t="s">
        <v>46</v>
      </c>
      <c r="Q755" s="6" t="n">
        <v>281500</v>
      </c>
      <c r="R755" s="15" t="n">
        <v>36019</v>
      </c>
      <c r="S755" s="6" t="n">
        <v>691000</v>
      </c>
      <c r="T755" s="15" t="n">
        <v>44880</v>
      </c>
      <c r="U755" s="6" t="n">
        <v>350000</v>
      </c>
      <c r="V755" s="15" t="n">
        <v>45155</v>
      </c>
      <c r="W755" s="4" t="s">
        <v>58</v>
      </c>
      <c r="X755" s="4" t="s">
        <v>47</v>
      </c>
      <c r="Y755" s="4" t="s">
        <v>3071</v>
      </c>
      <c r="Z755" s="4" t="s">
        <v>2108</v>
      </c>
      <c r="AA755" s="6" t="n">
        <v>0</v>
      </c>
      <c r="AB755" s="6" t="n">
        <v>12954.32</v>
      </c>
      <c r="AC755" s="6" t="n">
        <v>13838.73</v>
      </c>
      <c r="AD755" s="14" t="b">
        <f aca="false">FALSE()</f>
        <v>0</v>
      </c>
    </row>
    <row r="756" customFormat="false" ht="15" hidden="false" customHeight="false" outlineLevel="0" collapsed="false">
      <c r="A756" s="14" t="b">
        <f aca="false">TRUE()</f>
        <v>1</v>
      </c>
      <c r="B756" s="14" t="b">
        <f aca="false">FALSE()</f>
        <v>0</v>
      </c>
      <c r="C756" s="4" t="n">
        <v>2</v>
      </c>
      <c r="D756" s="4"/>
      <c r="E756" s="4"/>
      <c r="F756" s="4"/>
      <c r="G756" s="4"/>
      <c r="H756" s="14" t="b">
        <f aca="false">FALSE()</f>
        <v>0</v>
      </c>
      <c r="I756" s="14" t="b">
        <f aca="false">FALSE()</f>
        <v>0</v>
      </c>
      <c r="J756" s="4"/>
      <c r="K756" s="4" t="s">
        <v>3072</v>
      </c>
      <c r="L756" s="4" t="s">
        <v>3073</v>
      </c>
      <c r="M756" s="4" t="s">
        <v>3074</v>
      </c>
      <c r="N756" s="6" t="n">
        <v>92326</v>
      </c>
      <c r="O756" s="6" t="n">
        <v>170507</v>
      </c>
      <c r="P756" s="4" t="s">
        <v>46</v>
      </c>
      <c r="Q756" s="6" t="n">
        <v>500000</v>
      </c>
      <c r="R756" s="15" t="n">
        <v>43444</v>
      </c>
      <c r="S756" s="6" t="n">
        <v>435000</v>
      </c>
      <c r="T756" s="15" t="n">
        <v>44200</v>
      </c>
      <c r="U756" s="6"/>
      <c r="V756" s="15"/>
      <c r="W756" s="4" t="s">
        <v>47</v>
      </c>
      <c r="X756" s="4" t="s">
        <v>47</v>
      </c>
      <c r="Y756" s="4" t="s">
        <v>3075</v>
      </c>
      <c r="Z756" s="4" t="s">
        <v>2108</v>
      </c>
      <c r="AA756" s="6" t="n">
        <v>0</v>
      </c>
      <c r="AB756" s="6" t="n">
        <v>15628.4</v>
      </c>
      <c r="AC756" s="6" t="n">
        <v>8175.84</v>
      </c>
      <c r="AD756" s="14" t="b">
        <f aca="false">TRUE()</f>
        <v>1</v>
      </c>
    </row>
    <row r="757" customFormat="false" ht="15" hidden="false" customHeight="false" outlineLevel="0" collapsed="false">
      <c r="A757" s="14" t="b">
        <f aca="false">TRUE()</f>
        <v>1</v>
      </c>
      <c r="B757" s="14" t="b">
        <f aca="false">FALSE()</f>
        <v>0</v>
      </c>
      <c r="C757" s="4" t="n">
        <v>3</v>
      </c>
      <c r="D757" s="4"/>
      <c r="E757" s="4"/>
      <c r="F757" s="4"/>
      <c r="G757" s="4"/>
      <c r="H757" s="14" t="b">
        <f aca="false">FALSE()</f>
        <v>0</v>
      </c>
      <c r="I757" s="14" t="b">
        <f aca="false">FALSE()</f>
        <v>0</v>
      </c>
      <c r="J757" s="4"/>
      <c r="K757" s="4" t="s">
        <v>3076</v>
      </c>
      <c r="L757" s="4" t="s">
        <v>3077</v>
      </c>
      <c r="M757" s="4" t="s">
        <v>3078</v>
      </c>
      <c r="N757" s="6" t="n">
        <v>101207</v>
      </c>
      <c r="O757" s="6" t="n">
        <v>31039</v>
      </c>
      <c r="P757" s="4" t="s">
        <v>46</v>
      </c>
      <c r="Q757" s="6"/>
      <c r="R757" s="15"/>
      <c r="S757" s="6" t="n">
        <v>3652000</v>
      </c>
      <c r="T757" s="15" t="n">
        <v>45555</v>
      </c>
      <c r="U757" s="6"/>
      <c r="V757" s="15"/>
      <c r="W757" s="4" t="s">
        <v>47</v>
      </c>
      <c r="X757" s="4" t="s">
        <v>47</v>
      </c>
      <c r="Y757" s="4" t="s">
        <v>3079</v>
      </c>
      <c r="Z757" s="4" t="s">
        <v>2108</v>
      </c>
      <c r="AA757" s="6" t="n">
        <v>0</v>
      </c>
      <c r="AB757" s="6" t="n">
        <v>8110.38</v>
      </c>
      <c r="AC757" s="6" t="n">
        <v>8667.83</v>
      </c>
      <c r="AD757" s="14" t="b">
        <f aca="false">FALSE()</f>
        <v>0</v>
      </c>
    </row>
    <row r="758" customFormat="false" ht="15" hidden="false" customHeight="false" outlineLevel="0" collapsed="false">
      <c r="A758" s="14" t="b">
        <f aca="false">TRUE()</f>
        <v>1</v>
      </c>
      <c r="B758" s="14" t="b">
        <f aca="false">FALSE()</f>
        <v>0</v>
      </c>
      <c r="C758" s="4" t="n">
        <v>3</v>
      </c>
      <c r="D758" s="4"/>
      <c r="E758" s="4"/>
      <c r="F758" s="4"/>
      <c r="G758" s="4"/>
      <c r="H758" s="14" t="b">
        <f aca="false">FALSE()</f>
        <v>0</v>
      </c>
      <c r="I758" s="14" t="b">
        <f aca="false">FALSE()</f>
        <v>0</v>
      </c>
      <c r="J758" s="4"/>
      <c r="K758" s="4" t="s">
        <v>3080</v>
      </c>
      <c r="L758" s="4" t="s">
        <v>3081</v>
      </c>
      <c r="M758" s="4" t="s">
        <v>3082</v>
      </c>
      <c r="N758" s="6" t="n">
        <v>44906</v>
      </c>
      <c r="O758" s="6" t="n">
        <v>136397</v>
      </c>
      <c r="P758" s="4" t="s">
        <v>46</v>
      </c>
      <c r="Q758" s="6" t="n">
        <v>652500</v>
      </c>
      <c r="R758" s="15" t="n">
        <v>45384</v>
      </c>
      <c r="S758" s="6"/>
      <c r="T758" s="15"/>
      <c r="U758" s="6"/>
      <c r="V758" s="15"/>
      <c r="W758" s="4" t="s">
        <v>47</v>
      </c>
      <c r="X758" s="4" t="s">
        <v>47</v>
      </c>
      <c r="Y758" s="4" t="s">
        <v>3083</v>
      </c>
      <c r="Z758" s="4" t="s">
        <v>2108</v>
      </c>
      <c r="AA758" s="6" t="n">
        <v>0</v>
      </c>
      <c r="AB758" s="6" t="n">
        <v>10628.32</v>
      </c>
      <c r="AC758" s="6" t="n">
        <v>11355.73</v>
      </c>
      <c r="AD758" s="14" t="b">
        <f aca="false">FALSE()</f>
        <v>0</v>
      </c>
    </row>
    <row r="759" customFormat="false" ht="15" hidden="false" customHeight="false" outlineLevel="0" collapsed="false">
      <c r="A759" s="14" t="b">
        <f aca="false">TRUE()</f>
        <v>1</v>
      </c>
      <c r="B759" s="14" t="b">
        <f aca="false">FALSE()</f>
        <v>0</v>
      </c>
      <c r="C759" s="4" t="n">
        <v>2</v>
      </c>
      <c r="D759" s="4"/>
      <c r="E759" s="4"/>
      <c r="F759" s="4"/>
      <c r="G759" s="4"/>
      <c r="H759" s="14" t="b">
        <f aca="false">FALSE()</f>
        <v>0</v>
      </c>
      <c r="I759" s="14" t="b">
        <f aca="false">FALSE()</f>
        <v>0</v>
      </c>
      <c r="J759" s="4"/>
      <c r="K759" s="4" t="s">
        <v>3084</v>
      </c>
      <c r="L759" s="4" t="s">
        <v>3085</v>
      </c>
      <c r="M759" s="4" t="s">
        <v>3086</v>
      </c>
      <c r="N759" s="6" t="n">
        <v>42880</v>
      </c>
      <c r="O759" s="6" t="n">
        <v>126359</v>
      </c>
      <c r="P759" s="4" t="s">
        <v>46</v>
      </c>
      <c r="Q759" s="6" t="n">
        <v>1523000</v>
      </c>
      <c r="R759" s="15" t="n">
        <v>45565</v>
      </c>
      <c r="S759" s="6" t="n">
        <v>1218208</v>
      </c>
      <c r="T759" s="15" t="n">
        <v>45565</v>
      </c>
      <c r="U759" s="6"/>
      <c r="V759" s="15"/>
      <c r="W759" s="4" t="s">
        <v>47</v>
      </c>
      <c r="X759" s="4" t="s">
        <v>47</v>
      </c>
      <c r="Y759" s="4" t="s">
        <v>3087</v>
      </c>
      <c r="Z759" s="4" t="s">
        <v>2108</v>
      </c>
      <c r="AA759" s="6" t="n">
        <v>0</v>
      </c>
      <c r="AB759" s="6" t="n">
        <v>10379.08</v>
      </c>
      <c r="AC759" s="6" t="n">
        <v>5433.07</v>
      </c>
      <c r="AD759" s="14" t="b">
        <f aca="false">TRUE()</f>
        <v>1</v>
      </c>
    </row>
    <row r="760" customFormat="false" ht="15" hidden="false" customHeight="false" outlineLevel="0" collapsed="false">
      <c r="A760" s="14" t="b">
        <f aca="false">TRUE()</f>
        <v>1</v>
      </c>
      <c r="B760" s="14" t="b">
        <f aca="false">FALSE()</f>
        <v>0</v>
      </c>
      <c r="C760" s="4" t="n">
        <v>3</v>
      </c>
      <c r="D760" s="4"/>
      <c r="E760" s="4"/>
      <c r="F760" s="4"/>
      <c r="G760" s="4"/>
      <c r="H760" s="14" t="b">
        <f aca="false">TRUE()</f>
        <v>1</v>
      </c>
      <c r="I760" s="14" t="b">
        <f aca="false">FALSE()</f>
        <v>0</v>
      </c>
      <c r="J760" s="4"/>
      <c r="K760" s="4" t="s">
        <v>3088</v>
      </c>
      <c r="L760" s="4" t="s">
        <v>3089</v>
      </c>
      <c r="M760" s="4" t="s">
        <v>3090</v>
      </c>
      <c r="N760" s="6" t="n">
        <v>56302</v>
      </c>
      <c r="O760" s="6" t="n">
        <v>120505</v>
      </c>
      <c r="P760" s="4" t="s">
        <v>46</v>
      </c>
      <c r="Q760" s="6" t="n">
        <v>393000</v>
      </c>
      <c r="R760" s="15" t="n">
        <v>41715</v>
      </c>
      <c r="S760" s="6"/>
      <c r="T760" s="15"/>
      <c r="U760" s="6"/>
      <c r="V760" s="15"/>
      <c r="W760" s="4" t="s">
        <v>58</v>
      </c>
      <c r="X760" s="4" t="s">
        <v>47</v>
      </c>
      <c r="Y760" s="4" t="s">
        <v>3091</v>
      </c>
      <c r="Z760" s="4" t="s">
        <v>2108</v>
      </c>
      <c r="AA760" s="6" t="n">
        <v>0</v>
      </c>
      <c r="AB760" s="6" t="n">
        <v>10352.6</v>
      </c>
      <c r="AC760" s="6" t="n">
        <v>11061.4</v>
      </c>
      <c r="AD760" s="14" t="b">
        <f aca="false">FALSE()</f>
        <v>0</v>
      </c>
    </row>
    <row r="761" customFormat="false" ht="15" hidden="false" customHeight="false" outlineLevel="0" collapsed="false">
      <c r="A761" s="14" t="b">
        <f aca="false">TRUE()</f>
        <v>1</v>
      </c>
      <c r="B761" s="14" t="b">
        <f aca="false">FALSE()</f>
        <v>0</v>
      </c>
      <c r="C761" s="4" t="n">
        <v>2</v>
      </c>
      <c r="D761" s="4"/>
      <c r="E761" s="4"/>
      <c r="F761" s="4"/>
      <c r="G761" s="4"/>
      <c r="H761" s="14" t="b">
        <f aca="false">FALSE()</f>
        <v>0</v>
      </c>
      <c r="I761" s="14" t="b">
        <f aca="false">FALSE()</f>
        <v>0</v>
      </c>
      <c r="J761" s="4"/>
      <c r="K761" s="4" t="s">
        <v>3092</v>
      </c>
      <c r="L761" s="4" t="s">
        <v>3093</v>
      </c>
      <c r="M761" s="4" t="s">
        <v>3094</v>
      </c>
      <c r="N761" s="6" t="n">
        <v>9048</v>
      </c>
      <c r="O761" s="6" t="n">
        <v>55968</v>
      </c>
      <c r="P761" s="4" t="s">
        <v>46</v>
      </c>
      <c r="Q761" s="6" t="n">
        <v>245000</v>
      </c>
      <c r="R761" s="15" t="n">
        <v>45567</v>
      </c>
      <c r="S761" s="6"/>
      <c r="T761" s="15"/>
      <c r="U761" s="6"/>
      <c r="V761" s="15"/>
      <c r="W761" s="4" t="s">
        <v>47</v>
      </c>
      <c r="X761" s="4" t="s">
        <v>47</v>
      </c>
      <c r="Y761" s="4" t="s">
        <v>3095</v>
      </c>
      <c r="Z761" s="4" t="s">
        <v>2108</v>
      </c>
      <c r="AA761" s="6" t="n">
        <v>0</v>
      </c>
      <c r="AB761" s="6" t="n">
        <v>3987.3</v>
      </c>
      <c r="AC761" s="6" t="n">
        <v>2093.36</v>
      </c>
      <c r="AD761" s="14" t="b">
        <f aca="false">TRUE()</f>
        <v>1</v>
      </c>
    </row>
    <row r="762" customFormat="false" ht="15" hidden="false" customHeight="false" outlineLevel="0" collapsed="false">
      <c r="A762" s="14" t="b">
        <f aca="false">TRUE()</f>
        <v>1</v>
      </c>
      <c r="B762" s="14" t="b">
        <f aca="false">FALSE()</f>
        <v>0</v>
      </c>
      <c r="C762" s="4" t="n">
        <v>2</v>
      </c>
      <c r="D762" s="4"/>
      <c r="E762" s="4"/>
      <c r="F762" s="4"/>
      <c r="G762" s="4"/>
      <c r="H762" s="14" t="b">
        <f aca="false">FALSE()</f>
        <v>0</v>
      </c>
      <c r="I762" s="14" t="b">
        <f aca="false">FALSE()</f>
        <v>0</v>
      </c>
      <c r="J762" s="4"/>
      <c r="K762" s="4" t="s">
        <v>3096</v>
      </c>
      <c r="L762" s="4" t="s">
        <v>3097</v>
      </c>
      <c r="M762" s="4" t="s">
        <v>3098</v>
      </c>
      <c r="N762" s="6" t="n">
        <v>6188</v>
      </c>
      <c r="O762" s="6" t="n">
        <v>72138</v>
      </c>
      <c r="P762" s="4" t="s">
        <v>46</v>
      </c>
      <c r="Q762" s="6" t="n">
        <v>159000</v>
      </c>
      <c r="R762" s="15" t="n">
        <v>42668</v>
      </c>
      <c r="S762" s="6"/>
      <c r="T762" s="15"/>
      <c r="U762" s="6"/>
      <c r="V762" s="15"/>
      <c r="W762" s="4" t="s">
        <v>47</v>
      </c>
      <c r="X762" s="4" t="s">
        <v>58</v>
      </c>
      <c r="Y762" s="4" t="s">
        <v>3099</v>
      </c>
      <c r="Z762" s="4" t="s">
        <v>2108</v>
      </c>
      <c r="AA762" s="6" t="n">
        <v>0</v>
      </c>
      <c r="AB762" s="6" t="n">
        <v>4312.94</v>
      </c>
      <c r="AC762" s="6" t="n">
        <v>4614.06</v>
      </c>
      <c r="AD762" s="14" t="b">
        <f aca="false">FALSE()</f>
        <v>0</v>
      </c>
    </row>
    <row r="763" customFormat="false" ht="15" hidden="false" customHeight="false" outlineLevel="0" collapsed="false">
      <c r="A763" s="14" t="b">
        <f aca="false">TRUE()</f>
        <v>1</v>
      </c>
      <c r="B763" s="14" t="b">
        <f aca="false">FALSE()</f>
        <v>0</v>
      </c>
      <c r="C763" s="4" t="n">
        <v>2</v>
      </c>
      <c r="D763" s="4"/>
      <c r="E763" s="4"/>
      <c r="F763" s="4"/>
      <c r="G763" s="4"/>
      <c r="H763" s="14" t="b">
        <f aca="false">FALSE()</f>
        <v>0</v>
      </c>
      <c r="I763" s="14" t="b">
        <f aca="false">FALSE()</f>
        <v>0</v>
      </c>
      <c r="J763" s="4"/>
      <c r="K763" s="4" t="s">
        <v>3100</v>
      </c>
      <c r="L763" s="4" t="s">
        <v>3101</v>
      </c>
      <c r="M763" s="4" t="s">
        <v>3102</v>
      </c>
      <c r="N763" s="6" t="n">
        <v>4073</v>
      </c>
      <c r="O763" s="6" t="n">
        <v>45618</v>
      </c>
      <c r="P763" s="4" t="s">
        <v>46</v>
      </c>
      <c r="Q763" s="6" t="n">
        <v>170000</v>
      </c>
      <c r="R763" s="15" t="n">
        <v>45198</v>
      </c>
      <c r="S763" s="6"/>
      <c r="T763" s="15"/>
      <c r="U763" s="6"/>
      <c r="V763" s="15"/>
      <c r="W763" s="4" t="s">
        <v>47</v>
      </c>
      <c r="X763" s="4" t="s">
        <v>58</v>
      </c>
      <c r="Y763" s="4" t="s">
        <v>3103</v>
      </c>
      <c r="Z763" s="4" t="s">
        <v>2108</v>
      </c>
      <c r="AA763" s="6" t="n">
        <v>0</v>
      </c>
      <c r="AB763" s="6" t="n">
        <v>2556.82</v>
      </c>
      <c r="AC763" s="6" t="n">
        <v>1345.94</v>
      </c>
      <c r="AD763" s="14" t="b">
        <f aca="false">TRUE()</f>
        <v>1</v>
      </c>
    </row>
    <row r="764" customFormat="false" ht="15" hidden="false" customHeight="false" outlineLevel="0" collapsed="false">
      <c r="A764" s="14" t="b">
        <f aca="false">TRUE()</f>
        <v>1</v>
      </c>
      <c r="B764" s="14" t="b">
        <f aca="false">FALSE()</f>
        <v>0</v>
      </c>
      <c r="C764" s="4" t="n">
        <v>2</v>
      </c>
      <c r="D764" s="4"/>
      <c r="E764" s="4"/>
      <c r="F764" s="4"/>
      <c r="G764" s="4" t="n">
        <v>3</v>
      </c>
      <c r="H764" s="14" t="b">
        <f aca="false">FALSE()</f>
        <v>0</v>
      </c>
      <c r="I764" s="14" t="b">
        <f aca="false">FALSE()</f>
        <v>0</v>
      </c>
      <c r="J764" s="4"/>
      <c r="K764" s="4" t="s">
        <v>3104</v>
      </c>
      <c r="L764" s="4" t="s">
        <v>3105</v>
      </c>
      <c r="M764" s="4" t="s">
        <v>3106</v>
      </c>
      <c r="N764" s="6" t="n">
        <v>59429</v>
      </c>
      <c r="O764" s="6" t="n">
        <v>114963</v>
      </c>
      <c r="P764" s="4" t="s">
        <v>46</v>
      </c>
      <c r="Q764" s="6" t="n">
        <v>435000</v>
      </c>
      <c r="R764" s="15" t="n">
        <v>45441</v>
      </c>
      <c r="S764" s="6"/>
      <c r="T764" s="15"/>
      <c r="U764" s="6"/>
      <c r="V764" s="15"/>
      <c r="W764" s="4" t="s">
        <v>58</v>
      </c>
      <c r="X764" s="4" t="s">
        <v>47</v>
      </c>
      <c r="Y764" s="4" t="s">
        <v>3107</v>
      </c>
      <c r="Z764" s="4" t="s">
        <v>2108</v>
      </c>
      <c r="AA764" s="6" t="n">
        <v>0</v>
      </c>
      <c r="AB764" s="6" t="n">
        <v>10695.12</v>
      </c>
      <c r="AC764" s="6" t="n">
        <v>5598.2</v>
      </c>
      <c r="AD764" s="14" t="b">
        <f aca="false">TRUE()</f>
        <v>1</v>
      </c>
    </row>
    <row r="765" customFormat="false" ht="15" hidden="false" customHeight="false" outlineLevel="0" collapsed="false">
      <c r="A765" s="14" t="b">
        <f aca="false">TRUE()</f>
        <v>1</v>
      </c>
      <c r="B765" s="14" t="b">
        <f aca="false">FALSE()</f>
        <v>0</v>
      </c>
      <c r="C765" s="4" t="n">
        <v>2</v>
      </c>
      <c r="D765" s="4"/>
      <c r="E765" s="4"/>
      <c r="F765" s="4"/>
      <c r="G765" s="4"/>
      <c r="H765" s="14" t="b">
        <f aca="false">FALSE()</f>
        <v>0</v>
      </c>
      <c r="I765" s="14" t="b">
        <f aca="false">FALSE()</f>
        <v>0</v>
      </c>
      <c r="J765" s="4"/>
      <c r="K765" s="4" t="s">
        <v>3108</v>
      </c>
      <c r="L765" s="4" t="s">
        <v>3109</v>
      </c>
      <c r="M765" s="4" t="s">
        <v>3110</v>
      </c>
      <c r="N765" s="6" t="n">
        <v>68232</v>
      </c>
      <c r="O765" s="6" t="n">
        <v>136263</v>
      </c>
      <c r="P765" s="4" t="s">
        <v>46</v>
      </c>
      <c r="Q765" s="6" t="n">
        <v>293000</v>
      </c>
      <c r="R765" s="15" t="n">
        <v>36438</v>
      </c>
      <c r="S765" s="6"/>
      <c r="T765" s="15"/>
      <c r="U765" s="6"/>
      <c r="V765" s="15"/>
      <c r="W765" s="4" t="s">
        <v>47</v>
      </c>
      <c r="X765" s="4" t="s">
        <v>58</v>
      </c>
      <c r="Y765" s="4" t="s">
        <v>3111</v>
      </c>
      <c r="Z765" s="4" t="s">
        <v>2108</v>
      </c>
      <c r="AA765" s="6" t="n">
        <v>0</v>
      </c>
      <c r="AB765" s="6" t="n">
        <v>12050.64</v>
      </c>
      <c r="AC765" s="6" t="n">
        <v>6306.46</v>
      </c>
      <c r="AD765" s="14" t="b">
        <f aca="false">TRUE()</f>
        <v>1</v>
      </c>
    </row>
    <row r="766" customFormat="false" ht="15" hidden="false" customHeight="false" outlineLevel="0" collapsed="false">
      <c r="A766" s="14" t="b">
        <f aca="false">TRUE()</f>
        <v>1</v>
      </c>
      <c r="B766" s="14" t="b">
        <f aca="false">FALSE()</f>
        <v>0</v>
      </c>
      <c r="C766" s="4" t="n">
        <v>2</v>
      </c>
      <c r="D766" s="4"/>
      <c r="E766" s="4"/>
      <c r="F766" s="4"/>
      <c r="G766" s="4"/>
      <c r="H766" s="14" t="b">
        <f aca="false">FALSE()</f>
        <v>0</v>
      </c>
      <c r="I766" s="14" t="b">
        <f aca="false">FALSE()</f>
        <v>0</v>
      </c>
      <c r="J766" s="4"/>
      <c r="K766" s="4" t="s">
        <v>3112</v>
      </c>
      <c r="L766" s="4" t="s">
        <v>3113</v>
      </c>
      <c r="M766" s="4" t="s">
        <v>3114</v>
      </c>
      <c r="N766" s="6" t="n">
        <v>26598</v>
      </c>
      <c r="O766" s="6" t="n">
        <v>69345</v>
      </c>
      <c r="P766" s="4" t="s">
        <v>46</v>
      </c>
      <c r="Q766" s="6" t="n">
        <v>260000</v>
      </c>
      <c r="R766" s="15" t="n">
        <v>45054</v>
      </c>
      <c r="S766" s="6"/>
      <c r="T766" s="15"/>
      <c r="U766" s="6"/>
      <c r="V766" s="15"/>
      <c r="W766" s="4" t="s">
        <v>47</v>
      </c>
      <c r="X766" s="4" t="s">
        <v>47</v>
      </c>
      <c r="Y766" s="4" t="s">
        <v>3115</v>
      </c>
      <c r="Z766" s="4" t="s">
        <v>2108</v>
      </c>
      <c r="AA766" s="6" t="n">
        <v>0</v>
      </c>
      <c r="AB766" s="6" t="n">
        <v>5988.68</v>
      </c>
      <c r="AC766" s="6" t="n">
        <v>6402.92</v>
      </c>
      <c r="AD766" s="14" t="b">
        <f aca="false">FALSE()</f>
        <v>0</v>
      </c>
    </row>
    <row r="767" customFormat="false" ht="15" hidden="false" customHeight="false" outlineLevel="0" collapsed="false">
      <c r="A767" s="14" t="b">
        <f aca="false">TRUE()</f>
        <v>1</v>
      </c>
      <c r="B767" s="14" t="b">
        <f aca="false">FALSE()</f>
        <v>0</v>
      </c>
      <c r="C767" s="4" t="n">
        <v>2</v>
      </c>
      <c r="D767" s="4"/>
      <c r="E767" s="4"/>
      <c r="F767" s="4"/>
      <c r="G767" s="4"/>
      <c r="H767" s="14" t="b">
        <f aca="false">FALSE()</f>
        <v>0</v>
      </c>
      <c r="I767" s="14" t="b">
        <f aca="false">FALSE()</f>
        <v>0</v>
      </c>
      <c r="J767" s="4"/>
      <c r="K767" s="4" t="s">
        <v>3116</v>
      </c>
      <c r="L767" s="4" t="s">
        <v>3117</v>
      </c>
      <c r="M767" s="4" t="s">
        <v>3118</v>
      </c>
      <c r="N767" s="6" t="n">
        <v>40843</v>
      </c>
      <c r="O767" s="6" t="n">
        <v>93484</v>
      </c>
      <c r="P767" s="4" t="s">
        <v>46</v>
      </c>
      <c r="Q767" s="6" t="n">
        <v>440000</v>
      </c>
      <c r="R767" s="15" t="n">
        <v>45324</v>
      </c>
      <c r="S767" s="6"/>
      <c r="T767" s="15"/>
      <c r="U767" s="6"/>
      <c r="V767" s="15"/>
      <c r="W767" s="4" t="s">
        <v>47</v>
      </c>
      <c r="X767" s="4" t="s">
        <v>47</v>
      </c>
      <c r="Y767" s="4" t="s">
        <v>3119</v>
      </c>
      <c r="Z767" s="4" t="s">
        <v>2108</v>
      </c>
      <c r="AA767" s="6" t="n">
        <v>0</v>
      </c>
      <c r="AB767" s="6" t="n">
        <v>7885.2</v>
      </c>
      <c r="AC767" s="6" t="n">
        <v>4130.02</v>
      </c>
      <c r="AD767" s="14" t="b">
        <f aca="false">TRUE()</f>
        <v>1</v>
      </c>
    </row>
    <row r="768" customFormat="false" ht="15" hidden="false" customHeight="false" outlineLevel="0" collapsed="false">
      <c r="A768" s="14" t="b">
        <f aca="false">TRUE()</f>
        <v>1</v>
      </c>
      <c r="B768" s="14" t="b">
        <f aca="false">FALSE()</f>
        <v>0</v>
      </c>
      <c r="C768" s="4" t="n">
        <v>2</v>
      </c>
      <c r="D768" s="4"/>
      <c r="E768" s="4"/>
      <c r="F768" s="4"/>
      <c r="G768" s="4"/>
      <c r="H768" s="14" t="b">
        <f aca="false">FALSE()</f>
        <v>0</v>
      </c>
      <c r="I768" s="14" t="b">
        <f aca="false">FALSE()</f>
        <v>0</v>
      </c>
      <c r="J768" s="4"/>
      <c r="K768" s="4" t="s">
        <v>3120</v>
      </c>
      <c r="L768" s="4" t="s">
        <v>3121</v>
      </c>
      <c r="M768" s="4" t="s">
        <v>3122</v>
      </c>
      <c r="N768" s="6" t="n">
        <v>44293</v>
      </c>
      <c r="O768" s="6" t="n">
        <v>90690</v>
      </c>
      <c r="P768" s="4" t="s">
        <v>46</v>
      </c>
      <c r="Q768" s="6" t="n">
        <v>269000</v>
      </c>
      <c r="R768" s="15" t="n">
        <v>42376</v>
      </c>
      <c r="S768" s="6"/>
      <c r="T768" s="15"/>
      <c r="U768" s="6"/>
      <c r="V768" s="15"/>
      <c r="W768" s="4" t="s">
        <v>47</v>
      </c>
      <c r="X768" s="4" t="s">
        <v>47</v>
      </c>
      <c r="Y768" s="4" t="s">
        <v>3123</v>
      </c>
      <c r="Z768" s="4" t="s">
        <v>2108</v>
      </c>
      <c r="AA768" s="6" t="n">
        <v>0</v>
      </c>
      <c r="AB768" s="6" t="n">
        <v>7926.16</v>
      </c>
      <c r="AC768" s="6" t="n">
        <v>8471.18</v>
      </c>
      <c r="AD768" s="14" t="b">
        <f aca="false">FALSE()</f>
        <v>0</v>
      </c>
    </row>
    <row r="769" customFormat="false" ht="15" hidden="false" customHeight="false" outlineLevel="0" collapsed="false">
      <c r="A769" s="14" t="b">
        <f aca="false">TRUE()</f>
        <v>1</v>
      </c>
      <c r="B769" s="14" t="b">
        <f aca="false">FALSE()</f>
        <v>0</v>
      </c>
      <c r="C769" s="4" t="n">
        <v>2</v>
      </c>
      <c r="D769" s="4"/>
      <c r="E769" s="4"/>
      <c r="F769" s="4"/>
      <c r="G769" s="4" t="n">
        <v>2</v>
      </c>
      <c r="H769" s="14" t="b">
        <f aca="false">TRUE()</f>
        <v>1</v>
      </c>
      <c r="I769" s="14" t="b">
        <f aca="false">FALSE()</f>
        <v>0</v>
      </c>
      <c r="J769" s="4"/>
      <c r="K769" s="4" t="s">
        <v>3124</v>
      </c>
      <c r="L769" s="4" t="s">
        <v>3125</v>
      </c>
      <c r="M769" s="4" t="s">
        <v>3126</v>
      </c>
      <c r="N769" s="6" t="n">
        <v>21212</v>
      </c>
      <c r="O769" s="6" t="n">
        <v>83345</v>
      </c>
      <c r="P769" s="4" t="s">
        <v>46</v>
      </c>
      <c r="Q769" s="6" t="n">
        <v>227500</v>
      </c>
      <c r="R769" s="15" t="n">
        <v>43364</v>
      </c>
      <c r="S769" s="6"/>
      <c r="T769" s="15"/>
      <c r="U769" s="6"/>
      <c r="V769" s="15"/>
      <c r="W769" s="4" t="s">
        <v>58</v>
      </c>
      <c r="X769" s="4" t="s">
        <v>58</v>
      </c>
      <c r="Y769" s="4" t="s">
        <v>3127</v>
      </c>
      <c r="Z769" s="4" t="s">
        <v>2108</v>
      </c>
      <c r="AA769" s="6" t="n">
        <v>0</v>
      </c>
      <c r="AB769" s="6" t="n">
        <v>6027</v>
      </c>
      <c r="AC769" s="6" t="n">
        <v>6443.83</v>
      </c>
      <c r="AD769" s="14" t="b">
        <f aca="false">FALSE()</f>
        <v>0</v>
      </c>
    </row>
    <row r="770" customFormat="false" ht="15" hidden="false" customHeight="false" outlineLevel="0" collapsed="false">
      <c r="A770" s="14" t="b">
        <f aca="false">TRUE()</f>
        <v>1</v>
      </c>
      <c r="B770" s="14" t="b">
        <f aca="false">FALSE()</f>
        <v>0</v>
      </c>
      <c r="C770" s="4" t="n">
        <v>2</v>
      </c>
      <c r="D770" s="4"/>
      <c r="E770" s="4"/>
      <c r="F770" s="4"/>
      <c r="G770" s="4"/>
      <c r="H770" s="14" t="b">
        <f aca="false">FALSE()</f>
        <v>0</v>
      </c>
      <c r="I770" s="14" t="b">
        <f aca="false">FALSE()</f>
        <v>0</v>
      </c>
      <c r="J770" s="4"/>
      <c r="K770" s="4" t="s">
        <v>3128</v>
      </c>
      <c r="L770" s="4" t="s">
        <v>3129</v>
      </c>
      <c r="M770" s="4" t="s">
        <v>3130</v>
      </c>
      <c r="N770" s="6" t="n">
        <v>49190</v>
      </c>
      <c r="O770" s="6" t="n">
        <v>91747</v>
      </c>
      <c r="P770" s="4" t="s">
        <v>46</v>
      </c>
      <c r="Q770" s="6"/>
      <c r="R770" s="15" t="n">
        <v>44264</v>
      </c>
      <c r="S770" s="6" t="n">
        <v>197000</v>
      </c>
      <c r="T770" s="15" t="n">
        <v>44574</v>
      </c>
      <c r="U770" s="6"/>
      <c r="V770" s="15"/>
      <c r="W770" s="4" t="s">
        <v>47</v>
      </c>
      <c r="X770" s="4" t="s">
        <v>47</v>
      </c>
      <c r="Y770" s="4" t="s">
        <v>3131</v>
      </c>
      <c r="Z770" s="4" t="s">
        <v>2108</v>
      </c>
      <c r="AA770" s="6" t="n">
        <v>0</v>
      </c>
      <c r="AB770" s="6" t="n">
        <v>8797.16</v>
      </c>
      <c r="AC770" s="6" t="n">
        <v>4606.52</v>
      </c>
      <c r="AD770" s="14" t="b">
        <f aca="false">TRUE()</f>
        <v>1</v>
      </c>
    </row>
    <row r="771" customFormat="false" ht="15" hidden="false" customHeight="false" outlineLevel="0" collapsed="false">
      <c r="A771" s="14" t="b">
        <f aca="false">TRUE()</f>
        <v>1</v>
      </c>
      <c r="B771" s="14" t="b">
        <f aca="false">FALSE()</f>
        <v>0</v>
      </c>
      <c r="C771" s="4" t="n">
        <v>2</v>
      </c>
      <c r="D771" s="4"/>
      <c r="E771" s="4"/>
      <c r="F771" s="4"/>
      <c r="G771" s="4" t="n">
        <v>2</v>
      </c>
      <c r="H771" s="14" t="b">
        <f aca="false">TRUE()</f>
        <v>1</v>
      </c>
      <c r="I771" s="14" t="b">
        <f aca="false">FALSE()</f>
        <v>0</v>
      </c>
      <c r="J771" s="4"/>
      <c r="K771" s="4" t="s">
        <v>3132</v>
      </c>
      <c r="L771" s="4" t="s">
        <v>3133</v>
      </c>
      <c r="M771" s="4" t="s">
        <v>3134</v>
      </c>
      <c r="N771" s="6" t="n">
        <v>29681</v>
      </c>
      <c r="O771" s="6" t="n">
        <v>79194</v>
      </c>
      <c r="P771" s="4" t="s">
        <v>46</v>
      </c>
      <c r="Q771" s="6" t="n">
        <v>0.01</v>
      </c>
      <c r="R771" s="15" t="n">
        <v>43413</v>
      </c>
      <c r="S771" s="6"/>
      <c r="T771" s="15"/>
      <c r="U771" s="6"/>
      <c r="V771" s="15"/>
      <c r="W771" s="4" t="s">
        <v>58</v>
      </c>
      <c r="X771" s="4" t="s">
        <v>58</v>
      </c>
      <c r="Y771" s="4" t="s">
        <v>3135</v>
      </c>
      <c r="Z771" s="4" t="s">
        <v>1641</v>
      </c>
      <c r="AA771" s="6" t="n">
        <v>0</v>
      </c>
      <c r="AB771" s="6" t="n">
        <v>7868.18</v>
      </c>
      <c r="AC771" s="6" t="n">
        <v>8409.28</v>
      </c>
      <c r="AD771" s="14" t="b">
        <f aca="false">FALSE()</f>
        <v>0</v>
      </c>
    </row>
    <row r="772" customFormat="false" ht="15" hidden="false" customHeight="false" outlineLevel="0" collapsed="false">
      <c r="A772" s="14" t="b">
        <f aca="false">TRUE()</f>
        <v>1</v>
      </c>
      <c r="B772" s="14" t="b">
        <f aca="false">FALSE()</f>
        <v>0</v>
      </c>
      <c r="C772" s="4" t="n">
        <v>2</v>
      </c>
      <c r="D772" s="4"/>
      <c r="E772" s="4"/>
      <c r="F772" s="4"/>
      <c r="G772" s="4" t="n">
        <v>2</v>
      </c>
      <c r="H772" s="14" t="b">
        <f aca="false">TRUE()</f>
        <v>1</v>
      </c>
      <c r="I772" s="14" t="b">
        <f aca="false">FALSE()</f>
        <v>0</v>
      </c>
      <c r="J772" s="4"/>
      <c r="K772" s="4" t="s">
        <v>3136</v>
      </c>
      <c r="L772" s="4" t="s">
        <v>3137</v>
      </c>
      <c r="M772" s="4" t="s">
        <v>3138</v>
      </c>
      <c r="N772" s="6" t="n">
        <v>27767</v>
      </c>
      <c r="O772" s="6" t="n">
        <v>95754</v>
      </c>
      <c r="P772" s="4" t="s">
        <v>46</v>
      </c>
      <c r="Q772" s="6" t="n">
        <v>0.01</v>
      </c>
      <c r="R772" s="15" t="n">
        <v>43413</v>
      </c>
      <c r="S772" s="6"/>
      <c r="T772" s="15"/>
      <c r="U772" s="6"/>
      <c r="V772" s="15"/>
      <c r="W772" s="4" t="s">
        <v>58</v>
      </c>
      <c r="X772" s="4" t="s">
        <v>58</v>
      </c>
      <c r="Y772" s="4" t="s">
        <v>3139</v>
      </c>
      <c r="Z772" s="4" t="s">
        <v>3140</v>
      </c>
      <c r="AA772" s="6" t="n">
        <v>0</v>
      </c>
      <c r="AB772" s="6" t="n">
        <v>8926.62</v>
      </c>
      <c r="AC772" s="6" t="n">
        <v>9539.17</v>
      </c>
      <c r="AD772" s="14" t="b">
        <f aca="false">FALSE()</f>
        <v>0</v>
      </c>
    </row>
    <row r="773" customFormat="false" ht="15" hidden="false" customHeight="false" outlineLevel="0" collapsed="false">
      <c r="A773" s="14" t="b">
        <f aca="false">TRUE()</f>
        <v>1</v>
      </c>
      <c r="B773" s="14" t="b">
        <f aca="false">FALSE()</f>
        <v>0</v>
      </c>
      <c r="C773" s="4" t="n">
        <v>3</v>
      </c>
      <c r="D773" s="4"/>
      <c r="E773" s="4"/>
      <c r="F773" s="4"/>
      <c r="G773" s="4"/>
      <c r="H773" s="14" t="b">
        <f aca="false">FALSE()</f>
        <v>0</v>
      </c>
      <c r="I773" s="14" t="b">
        <f aca="false">FALSE()</f>
        <v>0</v>
      </c>
      <c r="J773" s="4"/>
      <c r="K773" s="4" t="s">
        <v>3141</v>
      </c>
      <c r="L773" s="4" t="s">
        <v>3142</v>
      </c>
      <c r="M773" s="4" t="s">
        <v>3143</v>
      </c>
      <c r="N773" s="6" t="n">
        <v>58205</v>
      </c>
      <c r="O773" s="6" t="n">
        <v>128173</v>
      </c>
      <c r="P773" s="4" t="s">
        <v>46</v>
      </c>
      <c r="Q773" s="6" t="n">
        <v>430000</v>
      </c>
      <c r="R773" s="15" t="n">
        <v>43199</v>
      </c>
      <c r="S773" s="6" t="n">
        <v>356000</v>
      </c>
      <c r="T773" s="15" t="n">
        <v>44540</v>
      </c>
      <c r="U773" s="6"/>
      <c r="V773" s="15"/>
      <c r="W773" s="4" t="s">
        <v>47</v>
      </c>
      <c r="X773" s="4" t="s">
        <v>58</v>
      </c>
      <c r="Y773" s="4" t="s">
        <v>3144</v>
      </c>
      <c r="Z773" s="4" t="s">
        <v>1641</v>
      </c>
      <c r="AA773" s="6" t="n">
        <v>0</v>
      </c>
      <c r="AB773" s="6" t="n">
        <v>13562.8</v>
      </c>
      <c r="AC773" s="6" t="n">
        <v>14488.29</v>
      </c>
      <c r="AD773" s="14" t="b">
        <f aca="false">FALSE()</f>
        <v>0</v>
      </c>
    </row>
    <row r="774" customFormat="false" ht="15" hidden="false" customHeight="false" outlineLevel="0" collapsed="false">
      <c r="A774" s="14" t="b">
        <f aca="false">TRUE()</f>
        <v>1</v>
      </c>
      <c r="B774" s="14" t="b">
        <f aca="false">FALSE()</f>
        <v>0</v>
      </c>
      <c r="C774" s="4" t="n">
        <v>2</v>
      </c>
      <c r="D774" s="4"/>
      <c r="E774" s="4"/>
      <c r="F774" s="4"/>
      <c r="G774" s="4" t="n">
        <v>3</v>
      </c>
      <c r="H774" s="14" t="b">
        <f aca="false">TRUE()</f>
        <v>1</v>
      </c>
      <c r="I774" s="14" t="b">
        <f aca="false">FALSE()</f>
        <v>0</v>
      </c>
      <c r="J774" s="4"/>
      <c r="K774" s="4" t="s">
        <v>3145</v>
      </c>
      <c r="L774" s="4" t="s">
        <v>3146</v>
      </c>
      <c r="M774" s="4" t="s">
        <v>3147</v>
      </c>
      <c r="N774" s="6" t="n">
        <v>42847</v>
      </c>
      <c r="O774" s="6" t="n">
        <v>125758</v>
      </c>
      <c r="P774" s="4" t="s">
        <v>46</v>
      </c>
      <c r="Q774" s="6" t="n">
        <v>374000</v>
      </c>
      <c r="R774" s="15" t="n">
        <v>39176</v>
      </c>
      <c r="S774" s="6" t="n">
        <v>298000</v>
      </c>
      <c r="T774" s="15" t="n">
        <v>44266</v>
      </c>
      <c r="U774" s="6" t="n">
        <v>80000</v>
      </c>
      <c r="V774" s="15" t="n">
        <v>45022</v>
      </c>
      <c r="W774" s="4" t="s">
        <v>47</v>
      </c>
      <c r="X774" s="4" t="s">
        <v>58</v>
      </c>
      <c r="Y774" s="4" t="s">
        <v>3148</v>
      </c>
      <c r="Z774" s="4" t="s">
        <v>1641</v>
      </c>
      <c r="AA774" s="6" t="n">
        <v>0</v>
      </c>
      <c r="AB774" s="6" t="n">
        <v>12211.44</v>
      </c>
      <c r="AC774" s="6" t="n">
        <v>6390.48</v>
      </c>
      <c r="AD774" s="14" t="b">
        <f aca="false">TRUE()</f>
        <v>1</v>
      </c>
    </row>
    <row r="775" customFormat="false" ht="15" hidden="false" customHeight="false" outlineLevel="0" collapsed="false">
      <c r="A775" s="14" t="b">
        <f aca="false">TRUE()</f>
        <v>1</v>
      </c>
      <c r="B775" s="14" t="b">
        <f aca="false">FALSE()</f>
        <v>0</v>
      </c>
      <c r="C775" s="4" t="n">
        <v>2</v>
      </c>
      <c r="D775" s="4"/>
      <c r="E775" s="4"/>
      <c r="F775" s="4"/>
      <c r="G775" s="4" t="n">
        <v>2</v>
      </c>
      <c r="H775" s="14" t="b">
        <f aca="false">TRUE()</f>
        <v>1</v>
      </c>
      <c r="I775" s="14" t="b">
        <f aca="false">FALSE()</f>
        <v>0</v>
      </c>
      <c r="J775" s="4"/>
      <c r="K775" s="4" t="s">
        <v>3149</v>
      </c>
      <c r="L775" s="4" t="s">
        <v>3150</v>
      </c>
      <c r="M775" s="4" t="s">
        <v>3151</v>
      </c>
      <c r="N775" s="6" t="n">
        <v>16694</v>
      </c>
      <c r="O775" s="6" t="n">
        <v>73930</v>
      </c>
      <c r="P775" s="4" t="s">
        <v>46</v>
      </c>
      <c r="Q775" s="6" t="n">
        <v>173000</v>
      </c>
      <c r="R775" s="15" t="n">
        <v>38069</v>
      </c>
      <c r="S775" s="6"/>
      <c r="T775" s="15"/>
      <c r="U775" s="6"/>
      <c r="V775" s="15"/>
      <c r="W775" s="4" t="s">
        <v>47</v>
      </c>
      <c r="X775" s="4" t="s">
        <v>58</v>
      </c>
      <c r="Y775" s="4" t="s">
        <v>3152</v>
      </c>
      <c r="Z775" s="4" t="s">
        <v>1641</v>
      </c>
      <c r="AA775" s="6" t="n">
        <v>0</v>
      </c>
      <c r="AB775" s="6" t="n">
        <v>6282.24</v>
      </c>
      <c r="AC775" s="6" t="n">
        <v>6716.29</v>
      </c>
      <c r="AD775" s="14" t="b">
        <f aca="false">FALSE()</f>
        <v>0</v>
      </c>
    </row>
    <row r="776" customFormat="false" ht="15" hidden="false" customHeight="false" outlineLevel="0" collapsed="false">
      <c r="A776" s="14" t="b">
        <f aca="false">TRUE()</f>
        <v>1</v>
      </c>
      <c r="B776" s="14" t="b">
        <f aca="false">FALSE()</f>
        <v>0</v>
      </c>
      <c r="C776" s="4" t="n">
        <v>2</v>
      </c>
      <c r="D776" s="4"/>
      <c r="E776" s="4"/>
      <c r="F776" s="4"/>
      <c r="G776" s="4"/>
      <c r="H776" s="14" t="b">
        <f aca="false">FALSE()</f>
        <v>0</v>
      </c>
      <c r="I776" s="14" t="b">
        <f aca="false">FALSE()</f>
        <v>0</v>
      </c>
      <c r="J776" s="4"/>
      <c r="K776" s="4" t="s">
        <v>3153</v>
      </c>
      <c r="L776" s="4" t="s">
        <v>3154</v>
      </c>
      <c r="M776" s="4" t="s">
        <v>3155</v>
      </c>
      <c r="N776" s="6" t="n">
        <v>19587</v>
      </c>
      <c r="O776" s="6" t="n">
        <v>53141</v>
      </c>
      <c r="P776" s="4" t="s">
        <v>46</v>
      </c>
      <c r="Q776" s="6" t="n">
        <v>34.98</v>
      </c>
      <c r="R776" s="15" t="n">
        <v>45868</v>
      </c>
      <c r="S776" s="6" t="n">
        <v>208500</v>
      </c>
      <c r="T776" s="15" t="n">
        <v>45868</v>
      </c>
      <c r="U776" s="6"/>
      <c r="V776" s="15"/>
      <c r="W776" s="4" t="s">
        <v>47</v>
      </c>
      <c r="X776" s="4" t="s">
        <v>47</v>
      </c>
      <c r="Y776" s="4" t="s">
        <v>3156</v>
      </c>
      <c r="Z776" s="4" t="s">
        <v>1641</v>
      </c>
      <c r="AA776" s="6" t="n">
        <v>0</v>
      </c>
      <c r="AB776" s="6" t="n">
        <v>4921.52</v>
      </c>
      <c r="AC776" s="6" t="n">
        <v>2581.49</v>
      </c>
      <c r="AD776" s="14" t="b">
        <f aca="false">TRUE()</f>
        <v>1</v>
      </c>
    </row>
    <row r="777" customFormat="false" ht="15" hidden="false" customHeight="false" outlineLevel="0" collapsed="false">
      <c r="A777" s="14" t="b">
        <f aca="false">TRUE()</f>
        <v>1</v>
      </c>
      <c r="B777" s="14" t="b">
        <f aca="false">FALSE()</f>
        <v>0</v>
      </c>
      <c r="C777" s="4" t="n">
        <v>2</v>
      </c>
      <c r="D777" s="4"/>
      <c r="E777" s="4"/>
      <c r="F777" s="4"/>
      <c r="G777" s="4"/>
      <c r="H777" s="14" t="b">
        <f aca="false">FALSE()</f>
        <v>0</v>
      </c>
      <c r="I777" s="14" t="b">
        <f aca="false">FALSE()</f>
        <v>0</v>
      </c>
      <c r="J777" s="4"/>
      <c r="K777" s="4" t="s">
        <v>3157</v>
      </c>
      <c r="L777" s="4" t="s">
        <v>3158</v>
      </c>
      <c r="M777" s="4" t="s">
        <v>3159</v>
      </c>
      <c r="N777" s="6" t="n">
        <v>22948</v>
      </c>
      <c r="O777" s="6" t="n">
        <v>59395</v>
      </c>
      <c r="P777" s="4" t="s">
        <v>46</v>
      </c>
      <c r="Q777" s="6" t="n">
        <v>171500</v>
      </c>
      <c r="R777" s="15" t="n">
        <v>45727</v>
      </c>
      <c r="S777" s="6"/>
      <c r="T777" s="15"/>
      <c r="U777" s="6"/>
      <c r="V777" s="15"/>
      <c r="W777" s="4" t="s">
        <v>47</v>
      </c>
      <c r="X777" s="4" t="s">
        <v>47</v>
      </c>
      <c r="Y777" s="4" t="s">
        <v>3160</v>
      </c>
      <c r="Z777" s="4" t="s">
        <v>1641</v>
      </c>
      <c r="AA777" s="6" t="n">
        <v>0</v>
      </c>
      <c r="AB777" s="6" t="n">
        <v>6260.86</v>
      </c>
      <c r="AC777" s="6" t="n">
        <v>6693.47</v>
      </c>
      <c r="AD777" s="14" t="b">
        <f aca="false">FALSE()</f>
        <v>0</v>
      </c>
    </row>
    <row r="778" customFormat="false" ht="15" hidden="false" customHeight="false" outlineLevel="0" collapsed="false">
      <c r="A778" s="14" t="b">
        <f aca="false">TRUE()</f>
        <v>1</v>
      </c>
      <c r="B778" s="14" t="b">
        <f aca="false">FALSE()</f>
        <v>0</v>
      </c>
      <c r="C778" s="4" t="n">
        <v>2</v>
      </c>
      <c r="D778" s="4"/>
      <c r="E778" s="4"/>
      <c r="F778" s="4"/>
      <c r="G778" s="4" t="n">
        <v>2</v>
      </c>
      <c r="H778" s="14" t="b">
        <f aca="false">TRUE()</f>
        <v>1</v>
      </c>
      <c r="I778" s="14" t="b">
        <f aca="false">FALSE()</f>
        <v>0</v>
      </c>
      <c r="J778" s="4"/>
      <c r="K778" s="4" t="s">
        <v>3161</v>
      </c>
      <c r="L778" s="4" t="s">
        <v>3162</v>
      </c>
      <c r="M778" s="4" t="s">
        <v>3163</v>
      </c>
      <c r="N778" s="6" t="n">
        <v>15636</v>
      </c>
      <c r="O778" s="6" t="n">
        <v>62434</v>
      </c>
      <c r="P778" s="4" t="s">
        <v>46</v>
      </c>
      <c r="Q778" s="6" t="n">
        <v>137500</v>
      </c>
      <c r="R778" s="15" t="n">
        <v>34883</v>
      </c>
      <c r="S778" s="6" t="n">
        <v>175000</v>
      </c>
      <c r="T778" s="15" t="n">
        <v>45880</v>
      </c>
      <c r="U778" s="6"/>
      <c r="V778" s="15"/>
      <c r="W778" s="4" t="s">
        <v>47</v>
      </c>
      <c r="X778" s="4" t="s">
        <v>58</v>
      </c>
      <c r="Y778" s="4" t="s">
        <v>3164</v>
      </c>
      <c r="Z778" s="4" t="s">
        <v>1641</v>
      </c>
      <c r="AA778" s="6" t="n">
        <v>0</v>
      </c>
      <c r="AB778" s="6" t="n">
        <v>5935.98</v>
      </c>
      <c r="AC778" s="6" t="n">
        <v>3111.55</v>
      </c>
      <c r="AD778" s="14" t="b">
        <f aca="false">TRUE()</f>
        <v>1</v>
      </c>
    </row>
    <row r="779" customFormat="false" ht="15" hidden="false" customHeight="false" outlineLevel="0" collapsed="false">
      <c r="A779" s="14" t="b">
        <f aca="false">TRUE()</f>
        <v>1</v>
      </c>
      <c r="B779" s="14" t="b">
        <f aca="false">FALSE()</f>
        <v>0</v>
      </c>
      <c r="C779" s="4" t="n">
        <v>3</v>
      </c>
      <c r="D779" s="4"/>
      <c r="E779" s="4"/>
      <c r="F779" s="4"/>
      <c r="G779" s="4" t="n">
        <v>2</v>
      </c>
      <c r="H779" s="14" t="b">
        <f aca="false">FALSE()</f>
        <v>0</v>
      </c>
      <c r="I779" s="14" t="b">
        <f aca="false">FALSE()</f>
        <v>0</v>
      </c>
      <c r="J779" s="4"/>
      <c r="K779" s="4" t="s">
        <v>3165</v>
      </c>
      <c r="L779" s="4" t="s">
        <v>3166</v>
      </c>
      <c r="M779" s="4" t="s">
        <v>3167</v>
      </c>
      <c r="N779" s="6" t="n">
        <v>15581</v>
      </c>
      <c r="O779" s="6" t="n">
        <v>47087</v>
      </c>
      <c r="P779" s="4" t="s">
        <v>46</v>
      </c>
      <c r="Q779" s="6" t="n">
        <v>99000</v>
      </c>
      <c r="R779" s="15" t="n">
        <v>41487</v>
      </c>
      <c r="S779" s="6" t="n">
        <v>90000</v>
      </c>
      <c r="T779" s="15" t="n">
        <v>41487</v>
      </c>
      <c r="U779" s="6"/>
      <c r="V779" s="15"/>
      <c r="W779" s="4" t="s">
        <v>47</v>
      </c>
      <c r="X779" s="4" t="s">
        <v>58</v>
      </c>
      <c r="Y779" s="4" t="s">
        <v>3168</v>
      </c>
      <c r="Z779" s="4" t="s">
        <v>1641</v>
      </c>
      <c r="AA779" s="6" t="n">
        <v>0</v>
      </c>
      <c r="AB779" s="6" t="n">
        <v>4764.9</v>
      </c>
      <c r="AC779" s="6" t="n">
        <v>5096.53</v>
      </c>
      <c r="AD779" s="14" t="b">
        <f aca="false">FALSE()</f>
        <v>0</v>
      </c>
    </row>
    <row r="780" customFormat="false" ht="15" hidden="false" customHeight="false" outlineLevel="0" collapsed="false">
      <c r="A780" s="14" t="b">
        <f aca="false">TRUE()</f>
        <v>1</v>
      </c>
      <c r="B780" s="14" t="b">
        <f aca="false">FALSE()</f>
        <v>0</v>
      </c>
      <c r="C780" s="4" t="n">
        <v>2</v>
      </c>
      <c r="D780" s="4"/>
      <c r="E780" s="4"/>
      <c r="F780" s="4"/>
      <c r="G780" s="4"/>
      <c r="H780" s="14" t="b">
        <f aca="false">FALSE()</f>
        <v>0</v>
      </c>
      <c r="I780" s="14" t="b">
        <f aca="false">FALSE()</f>
        <v>0</v>
      </c>
      <c r="J780" s="4"/>
      <c r="K780" s="4" t="s">
        <v>3169</v>
      </c>
      <c r="L780" s="4" t="s">
        <v>3170</v>
      </c>
      <c r="M780" s="4" t="s">
        <v>3171</v>
      </c>
      <c r="N780" s="6" t="n">
        <v>8647</v>
      </c>
      <c r="O780" s="6" t="n">
        <v>53263</v>
      </c>
      <c r="P780" s="4" t="s">
        <v>46</v>
      </c>
      <c r="Q780" s="6" t="n">
        <v>240000</v>
      </c>
      <c r="R780" s="15" t="n">
        <v>45524</v>
      </c>
      <c r="S780" s="6"/>
      <c r="T780" s="15"/>
      <c r="U780" s="6"/>
      <c r="V780" s="15"/>
      <c r="W780" s="4" t="s">
        <v>47</v>
      </c>
      <c r="X780" s="4" t="s">
        <v>47</v>
      </c>
      <c r="Y780" s="4" t="s">
        <v>3172</v>
      </c>
      <c r="Z780" s="4" t="s">
        <v>1641</v>
      </c>
      <c r="AA780" s="6" t="n">
        <v>0</v>
      </c>
      <c r="AB780" s="6" t="n">
        <v>4707.28</v>
      </c>
      <c r="AC780" s="6" t="n">
        <v>5035.02</v>
      </c>
      <c r="AD780" s="14" t="b">
        <f aca="false">FALSE()</f>
        <v>0</v>
      </c>
    </row>
    <row r="781" customFormat="false" ht="15" hidden="false" customHeight="false" outlineLevel="0" collapsed="false">
      <c r="A781" s="14" t="b">
        <f aca="false">TRUE()</f>
        <v>1</v>
      </c>
      <c r="B781" s="14" t="b">
        <f aca="false">FALSE()</f>
        <v>0</v>
      </c>
      <c r="C781" s="4" t="n">
        <v>3</v>
      </c>
      <c r="D781" s="4"/>
      <c r="E781" s="4"/>
      <c r="F781" s="4"/>
      <c r="G781" s="4"/>
      <c r="H781" s="14" t="b">
        <f aca="false">FALSE()</f>
        <v>0</v>
      </c>
      <c r="I781" s="14" t="b">
        <f aca="false">FALSE()</f>
        <v>0</v>
      </c>
      <c r="J781" s="4"/>
      <c r="K781" s="4" t="s">
        <v>3173</v>
      </c>
      <c r="L781" s="4" t="s">
        <v>3174</v>
      </c>
      <c r="M781" s="4" t="s">
        <v>3175</v>
      </c>
      <c r="N781" s="6" t="n">
        <v>9794</v>
      </c>
      <c r="O781" s="6" t="n">
        <v>51216</v>
      </c>
      <c r="P781" s="4" t="s">
        <v>46</v>
      </c>
      <c r="Q781" s="6" t="n">
        <v>95000</v>
      </c>
      <c r="R781" s="15" t="n">
        <v>36076</v>
      </c>
      <c r="S781" s="6" t="n">
        <v>92300</v>
      </c>
      <c r="T781" s="15" t="n">
        <v>36076</v>
      </c>
      <c r="U781" s="6" t="n">
        <v>90500</v>
      </c>
      <c r="V781" s="15" t="n">
        <v>37714</v>
      </c>
      <c r="W781" s="4" t="s">
        <v>47</v>
      </c>
      <c r="X781" s="4" t="s">
        <v>47</v>
      </c>
      <c r="Y781" s="4" t="s">
        <v>3176</v>
      </c>
      <c r="Z781" s="4" t="s">
        <v>1641</v>
      </c>
      <c r="AA781" s="6" t="n">
        <v>0</v>
      </c>
      <c r="AB781" s="6" t="n">
        <v>3422.3</v>
      </c>
      <c r="AC781" s="6" t="n">
        <v>3663.3</v>
      </c>
      <c r="AD781" s="14" t="b">
        <f aca="false">FALSE()</f>
        <v>0</v>
      </c>
    </row>
    <row r="782" customFormat="false" ht="15" hidden="false" customHeight="false" outlineLevel="0" collapsed="false">
      <c r="A782" s="14" t="b">
        <f aca="false">TRUE()</f>
        <v>1</v>
      </c>
      <c r="B782" s="14" t="b">
        <f aca="false">FALSE()</f>
        <v>0</v>
      </c>
      <c r="C782" s="4" t="n">
        <v>2</v>
      </c>
      <c r="D782" s="4"/>
      <c r="E782" s="4"/>
      <c r="F782" s="4"/>
      <c r="G782" s="4" t="n">
        <v>3</v>
      </c>
      <c r="H782" s="14" t="b">
        <f aca="false">FALSE()</f>
        <v>0</v>
      </c>
      <c r="I782" s="14" t="b">
        <f aca="false">FALSE()</f>
        <v>0</v>
      </c>
      <c r="J782" s="4"/>
      <c r="K782" s="4" t="s">
        <v>3177</v>
      </c>
      <c r="L782" s="4" t="s">
        <v>3178</v>
      </c>
      <c r="M782" s="4" t="s">
        <v>3179</v>
      </c>
      <c r="N782" s="6" t="n">
        <v>14757</v>
      </c>
      <c r="O782" s="6" t="n">
        <v>64426</v>
      </c>
      <c r="P782" s="4" t="s">
        <v>46</v>
      </c>
      <c r="Q782" s="6" t="n">
        <v>159000</v>
      </c>
      <c r="R782" s="15" t="n">
        <v>38126</v>
      </c>
      <c r="S782" s="6" t="n">
        <v>50792</v>
      </c>
      <c r="T782" s="15" t="n">
        <v>38126</v>
      </c>
      <c r="U782" s="6" t="n">
        <v>5000</v>
      </c>
      <c r="V782" s="15" t="n">
        <v>38126</v>
      </c>
      <c r="W782" s="4" t="s">
        <v>47</v>
      </c>
      <c r="X782" s="4" t="s">
        <v>47</v>
      </c>
      <c r="Y782" s="4" t="s">
        <v>3180</v>
      </c>
      <c r="Z782" s="4" t="s">
        <v>1641</v>
      </c>
      <c r="AA782" s="6" t="n">
        <v>0</v>
      </c>
      <c r="AB782" s="6" t="n">
        <v>5412.34</v>
      </c>
      <c r="AC782" s="6" t="n">
        <v>2837.95</v>
      </c>
      <c r="AD782" s="14" t="b">
        <f aca="false">TRUE()</f>
        <v>1</v>
      </c>
    </row>
    <row r="783" customFormat="false" ht="15" hidden="false" customHeight="false" outlineLevel="0" collapsed="false">
      <c r="A783" s="14" t="b">
        <f aca="false">TRUE()</f>
        <v>1</v>
      </c>
      <c r="B783" s="14" t="b">
        <f aca="false">FALSE()</f>
        <v>0</v>
      </c>
      <c r="C783" s="4" t="n">
        <v>2</v>
      </c>
      <c r="D783" s="4"/>
      <c r="E783" s="4"/>
      <c r="F783" s="4"/>
      <c r="G783" s="4"/>
      <c r="H783" s="14" t="b">
        <f aca="false">FALSE()</f>
        <v>0</v>
      </c>
      <c r="I783" s="14" t="b">
        <f aca="false">FALSE()</f>
        <v>0</v>
      </c>
      <c r="J783" s="4"/>
      <c r="K783" s="4" t="s">
        <v>3181</v>
      </c>
      <c r="L783" s="4" t="s">
        <v>3182</v>
      </c>
      <c r="M783" s="4" t="s">
        <v>3183</v>
      </c>
      <c r="N783" s="6" t="n">
        <v>16081</v>
      </c>
      <c r="O783" s="6" t="n">
        <v>60052</v>
      </c>
      <c r="P783" s="4" t="s">
        <v>46</v>
      </c>
      <c r="Q783" s="6" t="n">
        <v>155000</v>
      </c>
      <c r="R783" s="15" t="n">
        <v>42348</v>
      </c>
      <c r="S783" s="6"/>
      <c r="T783" s="15"/>
      <c r="U783" s="6"/>
      <c r="V783" s="15"/>
      <c r="W783" s="4" t="s">
        <v>47</v>
      </c>
      <c r="X783" s="4" t="s">
        <v>47</v>
      </c>
      <c r="Y783" s="4" t="s">
        <v>3184</v>
      </c>
      <c r="Z783" s="4" t="s">
        <v>1641</v>
      </c>
      <c r="AA783" s="6" t="n">
        <v>0</v>
      </c>
      <c r="AB783" s="6" t="n">
        <v>5788.7</v>
      </c>
      <c r="AC783" s="6" t="n">
        <v>6189.44</v>
      </c>
      <c r="AD783" s="14" t="b">
        <f aca="false">FALSE()</f>
        <v>0</v>
      </c>
    </row>
    <row r="784" customFormat="false" ht="15" hidden="false" customHeight="false" outlineLevel="0" collapsed="false">
      <c r="A784" s="14" t="b">
        <f aca="false">TRUE()</f>
        <v>1</v>
      </c>
      <c r="B784" s="14" t="b">
        <f aca="false">FALSE()</f>
        <v>0</v>
      </c>
      <c r="C784" s="4" t="n">
        <v>2</v>
      </c>
      <c r="D784" s="4"/>
      <c r="E784" s="4"/>
      <c r="F784" s="4"/>
      <c r="G784" s="4" t="n">
        <v>2</v>
      </c>
      <c r="H784" s="14" t="b">
        <f aca="false">TRUE()</f>
        <v>1</v>
      </c>
      <c r="I784" s="14" t="b">
        <f aca="false">FALSE()</f>
        <v>0</v>
      </c>
      <c r="J784" s="4"/>
      <c r="K784" s="4" t="s">
        <v>3185</v>
      </c>
      <c r="L784" s="4" t="s">
        <v>3186</v>
      </c>
      <c r="M784" s="4" t="s">
        <v>3187</v>
      </c>
      <c r="N784" s="6" t="n">
        <v>23026</v>
      </c>
      <c r="O784" s="6" t="n">
        <v>84937</v>
      </c>
      <c r="P784" s="4" t="s">
        <v>46</v>
      </c>
      <c r="Q784" s="6" t="n">
        <v>116666.67</v>
      </c>
      <c r="R784" s="15" t="n">
        <v>45009</v>
      </c>
      <c r="S784" s="6" t="n">
        <v>332500</v>
      </c>
      <c r="T784" s="15" t="n">
        <v>45009</v>
      </c>
      <c r="U784" s="6"/>
      <c r="V784" s="15"/>
      <c r="W784" s="4" t="s">
        <v>47</v>
      </c>
      <c r="X784" s="4" t="s">
        <v>58</v>
      </c>
      <c r="Y784" s="4" t="s">
        <v>3188</v>
      </c>
      <c r="Z784" s="4" t="s">
        <v>1641</v>
      </c>
      <c r="AA784" s="6" t="n">
        <v>0</v>
      </c>
      <c r="AB784" s="6" t="n">
        <v>7600.6</v>
      </c>
      <c r="AC784" s="6" t="n">
        <v>3981.31</v>
      </c>
      <c r="AD784" s="14" t="b">
        <f aca="false">TRUE()</f>
        <v>1</v>
      </c>
    </row>
    <row r="785" customFormat="false" ht="15" hidden="false" customHeight="false" outlineLevel="0" collapsed="false">
      <c r="A785" s="14" t="b">
        <f aca="false">TRUE()</f>
        <v>1</v>
      </c>
      <c r="B785" s="14" t="b">
        <f aca="false">FALSE()</f>
        <v>0</v>
      </c>
      <c r="C785" s="4" t="n">
        <v>2</v>
      </c>
      <c r="D785" s="4"/>
      <c r="E785" s="4"/>
      <c r="F785" s="4"/>
      <c r="G785" s="4"/>
      <c r="H785" s="14" t="b">
        <f aca="false">FALSE()</f>
        <v>0</v>
      </c>
      <c r="I785" s="14" t="b">
        <f aca="false">FALSE()</f>
        <v>0</v>
      </c>
      <c r="J785" s="4"/>
      <c r="K785" s="4" t="s">
        <v>3189</v>
      </c>
      <c r="L785" s="4" t="s">
        <v>3190</v>
      </c>
      <c r="M785" s="4" t="s">
        <v>3191</v>
      </c>
      <c r="N785" s="6" t="n">
        <v>29826</v>
      </c>
      <c r="O785" s="6" t="n">
        <v>93306</v>
      </c>
      <c r="P785" s="4" t="s">
        <v>46</v>
      </c>
      <c r="Q785" s="6" t="n">
        <v>222500</v>
      </c>
      <c r="R785" s="15" t="n">
        <v>40294</v>
      </c>
      <c r="S785" s="6"/>
      <c r="T785" s="15"/>
      <c r="U785" s="6"/>
      <c r="V785" s="15"/>
      <c r="W785" s="4" t="s">
        <v>47</v>
      </c>
      <c r="X785" s="4" t="s">
        <v>58</v>
      </c>
      <c r="Y785" s="4" t="s">
        <v>3192</v>
      </c>
      <c r="Z785" s="4" t="s">
        <v>1641</v>
      </c>
      <c r="AA785" s="6" t="n">
        <v>0</v>
      </c>
      <c r="AB785" s="6" t="n">
        <v>8898.52</v>
      </c>
      <c r="AC785" s="6" t="n">
        <v>4659.48</v>
      </c>
      <c r="AD785" s="14" t="b">
        <f aca="false">TRUE()</f>
        <v>1</v>
      </c>
    </row>
    <row r="786" customFormat="false" ht="15" hidden="false" customHeight="false" outlineLevel="0" collapsed="false">
      <c r="A786" s="14" t="b">
        <f aca="false">TRUE()</f>
        <v>1</v>
      </c>
      <c r="B786" s="14" t="b">
        <f aca="false">FALSE()</f>
        <v>0</v>
      </c>
      <c r="C786" s="4" t="n">
        <v>2</v>
      </c>
      <c r="D786" s="4"/>
      <c r="E786" s="4"/>
      <c r="F786" s="4"/>
      <c r="G786" s="4"/>
      <c r="H786" s="14" t="b">
        <f aca="false">FALSE()</f>
        <v>0</v>
      </c>
      <c r="I786" s="14" t="b">
        <f aca="false">FALSE()</f>
        <v>0</v>
      </c>
      <c r="J786" s="4"/>
      <c r="K786" s="4" t="s">
        <v>3193</v>
      </c>
      <c r="L786" s="4" t="s">
        <v>3194</v>
      </c>
      <c r="M786" s="4" t="s">
        <v>3195</v>
      </c>
      <c r="N786" s="6" t="n">
        <v>35457</v>
      </c>
      <c r="O786" s="6" t="n">
        <v>93762</v>
      </c>
      <c r="P786" s="4" t="s">
        <v>46</v>
      </c>
      <c r="Q786" s="6" t="n">
        <v>355000</v>
      </c>
      <c r="R786" s="15" t="n">
        <v>44572</v>
      </c>
      <c r="S786" s="6" t="n">
        <v>248000</v>
      </c>
      <c r="T786" s="15" t="n">
        <v>44572</v>
      </c>
      <c r="U786" s="6"/>
      <c r="V786" s="15"/>
      <c r="W786" s="4" t="s">
        <v>47</v>
      </c>
      <c r="X786" s="4" t="s">
        <v>47</v>
      </c>
      <c r="Y786" s="4" t="s">
        <v>3196</v>
      </c>
      <c r="Z786" s="4" t="s">
        <v>1641</v>
      </c>
      <c r="AA786" s="6" t="n">
        <v>0</v>
      </c>
      <c r="AB786" s="6" t="n">
        <v>9216.78</v>
      </c>
      <c r="AC786" s="6" t="n">
        <v>4825.77</v>
      </c>
      <c r="AD786" s="14" t="b">
        <f aca="false">TRUE()</f>
        <v>1</v>
      </c>
    </row>
    <row r="787" customFormat="false" ht="15" hidden="false" customHeight="false" outlineLevel="0" collapsed="false">
      <c r="A787" s="14" t="b">
        <f aca="false">TRUE()</f>
        <v>1</v>
      </c>
      <c r="B787" s="14" t="b">
        <f aca="false">FALSE()</f>
        <v>0</v>
      </c>
      <c r="C787" s="4" t="n">
        <v>2</v>
      </c>
      <c r="D787" s="4"/>
      <c r="E787" s="4"/>
      <c r="F787" s="4"/>
      <c r="G787" s="4"/>
      <c r="H787" s="14" t="b">
        <f aca="false">FALSE()</f>
        <v>0</v>
      </c>
      <c r="I787" s="14" t="b">
        <f aca="false">FALSE()</f>
        <v>0</v>
      </c>
      <c r="J787" s="4"/>
      <c r="K787" s="4" t="s">
        <v>3197</v>
      </c>
      <c r="L787" s="4" t="s">
        <v>3198</v>
      </c>
      <c r="M787" s="4" t="s">
        <v>3199</v>
      </c>
      <c r="N787" s="6" t="n">
        <v>35457</v>
      </c>
      <c r="O787" s="6" t="n">
        <v>95097</v>
      </c>
      <c r="P787" s="4" t="s">
        <v>46</v>
      </c>
      <c r="Q787" s="6" t="n">
        <v>0.01</v>
      </c>
      <c r="R787" s="15" t="n">
        <v>42732</v>
      </c>
      <c r="S787" s="6"/>
      <c r="T787" s="15"/>
      <c r="U787" s="6"/>
      <c r="V787" s="15"/>
      <c r="W787" s="4" t="s">
        <v>58</v>
      </c>
      <c r="X787" s="4" t="s">
        <v>47</v>
      </c>
      <c r="Y787" s="4" t="s">
        <v>3200</v>
      </c>
      <c r="Z787" s="4" t="s">
        <v>1641</v>
      </c>
      <c r="AA787" s="6" t="n">
        <v>0</v>
      </c>
      <c r="AB787" s="6" t="n">
        <v>9318.28</v>
      </c>
      <c r="AC787" s="6" t="n">
        <v>4878.8</v>
      </c>
      <c r="AD787" s="14" t="b">
        <f aca="false">TRUE()</f>
        <v>1</v>
      </c>
    </row>
    <row r="788" customFormat="false" ht="15" hidden="false" customHeight="false" outlineLevel="0" collapsed="false">
      <c r="A788" s="14" t="b">
        <f aca="false">TRUE()</f>
        <v>1</v>
      </c>
      <c r="B788" s="14" t="b">
        <f aca="false">FALSE()</f>
        <v>0</v>
      </c>
      <c r="C788" s="4" t="n">
        <v>2</v>
      </c>
      <c r="D788" s="4"/>
      <c r="E788" s="4"/>
      <c r="F788" s="4"/>
      <c r="G788" s="4"/>
      <c r="H788" s="14" t="b">
        <f aca="false">TRUE()</f>
        <v>1</v>
      </c>
      <c r="I788" s="14" t="b">
        <f aca="false">FALSE()</f>
        <v>0</v>
      </c>
      <c r="J788" s="4"/>
      <c r="K788" s="4" t="s">
        <v>267</v>
      </c>
      <c r="L788" s="4" t="s">
        <v>3201</v>
      </c>
      <c r="M788" s="4" t="s">
        <v>3202</v>
      </c>
      <c r="N788" s="6" t="n">
        <v>3951</v>
      </c>
      <c r="O788" s="6" t="n">
        <v>31061</v>
      </c>
      <c r="P788" s="4" t="s">
        <v>46</v>
      </c>
      <c r="Q788" s="6" t="n">
        <v>98000</v>
      </c>
      <c r="R788" s="15" t="n">
        <v>44342</v>
      </c>
      <c r="S788" s="6"/>
      <c r="T788" s="15"/>
      <c r="U788" s="6"/>
      <c r="V788" s="15"/>
      <c r="W788" s="4" t="s">
        <v>47</v>
      </c>
      <c r="X788" s="4" t="s">
        <v>47</v>
      </c>
      <c r="Y788" s="4" t="s">
        <v>3203</v>
      </c>
      <c r="Z788" s="4" t="s">
        <v>1641</v>
      </c>
      <c r="AA788" s="6" t="n">
        <v>0</v>
      </c>
      <c r="AB788" s="6" t="n">
        <v>2662.1</v>
      </c>
      <c r="AC788" s="6" t="n">
        <v>1400.95</v>
      </c>
      <c r="AD788" s="14" t="b">
        <f aca="false">TRUE()</f>
        <v>1</v>
      </c>
    </row>
    <row r="789" customFormat="false" ht="15" hidden="false" customHeight="false" outlineLevel="0" collapsed="false">
      <c r="A789" s="14" t="b">
        <f aca="false">TRUE()</f>
        <v>1</v>
      </c>
      <c r="B789" s="14" t="b">
        <f aca="false">FALSE()</f>
        <v>0</v>
      </c>
      <c r="C789" s="4" t="n">
        <v>2</v>
      </c>
      <c r="D789" s="4"/>
      <c r="E789" s="4"/>
      <c r="F789" s="4"/>
      <c r="G789" s="4" t="n">
        <v>2</v>
      </c>
      <c r="H789" s="14" t="b">
        <f aca="false">FALSE()</f>
        <v>0</v>
      </c>
      <c r="I789" s="14" t="b">
        <f aca="false">FALSE()</f>
        <v>0</v>
      </c>
      <c r="J789" s="4"/>
      <c r="K789" s="4" t="s">
        <v>3204</v>
      </c>
      <c r="L789" s="4" t="s">
        <v>3205</v>
      </c>
      <c r="M789" s="4" t="s">
        <v>3206</v>
      </c>
      <c r="N789" s="6" t="n">
        <v>3906</v>
      </c>
      <c r="O789" s="6" t="n">
        <v>30761</v>
      </c>
      <c r="P789" s="4" t="s">
        <v>46</v>
      </c>
      <c r="Q789" s="6" t="n">
        <v>189</v>
      </c>
      <c r="R789" s="15" t="n">
        <v>41835</v>
      </c>
      <c r="S789" s="6"/>
      <c r="T789" s="15"/>
      <c r="U789" s="6"/>
      <c r="V789" s="15"/>
      <c r="W789" s="4" t="s">
        <v>47</v>
      </c>
      <c r="X789" s="4" t="s">
        <v>47</v>
      </c>
      <c r="Y789" s="4" t="s">
        <v>3207</v>
      </c>
      <c r="Z789" s="4" t="s">
        <v>1641</v>
      </c>
      <c r="AA789" s="6" t="n">
        <v>0</v>
      </c>
      <c r="AB789" s="6" t="n">
        <v>2635.86</v>
      </c>
      <c r="AC789" s="6" t="n">
        <v>1387.24</v>
      </c>
      <c r="AD789" s="14" t="b">
        <f aca="false">TRUE()</f>
        <v>1</v>
      </c>
    </row>
    <row r="790" customFormat="false" ht="15" hidden="false" customHeight="false" outlineLevel="0" collapsed="false">
      <c r="A790" s="14" t="b">
        <f aca="false">TRUE()</f>
        <v>1</v>
      </c>
      <c r="B790" s="14" t="b">
        <f aca="false">FALSE()</f>
        <v>0</v>
      </c>
      <c r="C790" s="4" t="n">
        <v>2</v>
      </c>
      <c r="D790" s="4"/>
      <c r="E790" s="4"/>
      <c r="F790" s="4"/>
      <c r="G790" s="4"/>
      <c r="H790" s="14" t="b">
        <f aca="false">FALSE()</f>
        <v>0</v>
      </c>
      <c r="I790" s="14" t="b">
        <f aca="false">FALSE()</f>
        <v>0</v>
      </c>
      <c r="J790" s="4"/>
      <c r="K790" s="4" t="s">
        <v>3208</v>
      </c>
      <c r="L790" s="4" t="s">
        <v>3209</v>
      </c>
      <c r="M790" s="4" t="s">
        <v>3210</v>
      </c>
      <c r="N790" s="6" t="n">
        <v>3472</v>
      </c>
      <c r="O790" s="6" t="n">
        <v>27900</v>
      </c>
      <c r="P790" s="4" t="s">
        <v>46</v>
      </c>
      <c r="Q790" s="6" t="n">
        <v>124500</v>
      </c>
      <c r="R790" s="15" t="n">
        <v>45807</v>
      </c>
      <c r="S790" s="6"/>
      <c r="T790" s="15"/>
      <c r="U790" s="6"/>
      <c r="V790" s="15"/>
      <c r="W790" s="4" t="s">
        <v>47</v>
      </c>
      <c r="X790" s="4" t="s">
        <v>47</v>
      </c>
      <c r="Y790" s="4" t="s">
        <v>3211</v>
      </c>
      <c r="Z790" s="4" t="s">
        <v>1641</v>
      </c>
      <c r="AA790" s="6" t="n">
        <v>0</v>
      </c>
      <c r="AB790" s="6" t="n">
        <v>1168.8</v>
      </c>
      <c r="AC790" s="6" t="n">
        <v>620.7</v>
      </c>
      <c r="AD790" s="14" t="b">
        <f aca="false">TRUE()</f>
        <v>1</v>
      </c>
    </row>
    <row r="791" customFormat="false" ht="15" hidden="false" customHeight="false" outlineLevel="0" collapsed="false">
      <c r="A791" s="14" t="b">
        <f aca="false">TRUE()</f>
        <v>1</v>
      </c>
      <c r="B791" s="14" t="b">
        <f aca="false">FALSE()</f>
        <v>0</v>
      </c>
      <c r="C791" s="4" t="n">
        <v>2</v>
      </c>
      <c r="D791" s="4"/>
      <c r="E791" s="4"/>
      <c r="F791" s="4"/>
      <c r="G791" s="4"/>
      <c r="H791" s="14" t="b">
        <f aca="false">FALSE()</f>
        <v>0</v>
      </c>
      <c r="I791" s="14" t="b">
        <f aca="false">FALSE()</f>
        <v>0</v>
      </c>
      <c r="J791" s="4"/>
      <c r="K791" s="4" t="s">
        <v>3212</v>
      </c>
      <c r="L791" s="4" t="s">
        <v>3213</v>
      </c>
      <c r="M791" s="4" t="s">
        <v>3214</v>
      </c>
      <c r="N791" s="6" t="n">
        <v>16994</v>
      </c>
      <c r="O791" s="6" t="n">
        <v>44471</v>
      </c>
      <c r="P791" s="4" t="s">
        <v>46</v>
      </c>
      <c r="Q791" s="6" t="n">
        <v>150000</v>
      </c>
      <c r="R791" s="15" t="n">
        <v>45281</v>
      </c>
      <c r="S791" s="6"/>
      <c r="T791" s="15"/>
      <c r="U791" s="6"/>
      <c r="V791" s="15"/>
      <c r="W791" s="4" t="s">
        <v>47</v>
      </c>
      <c r="X791" s="4" t="s">
        <v>47</v>
      </c>
      <c r="Y791" s="4" t="s">
        <v>3215</v>
      </c>
      <c r="Z791" s="4" t="s">
        <v>1641</v>
      </c>
      <c r="AA791" s="6" t="n">
        <v>0</v>
      </c>
      <c r="AB791" s="6" t="n">
        <v>4673.44</v>
      </c>
      <c r="AC791" s="6" t="n">
        <v>2451.87</v>
      </c>
      <c r="AD791" s="14" t="b">
        <f aca="false">TRUE()</f>
        <v>1</v>
      </c>
    </row>
    <row r="792" customFormat="false" ht="15" hidden="false" customHeight="false" outlineLevel="0" collapsed="false">
      <c r="A792" s="14" t="b">
        <f aca="false">TRUE()</f>
        <v>1</v>
      </c>
      <c r="B792" s="14" t="b">
        <f aca="false">FALSE()</f>
        <v>0</v>
      </c>
      <c r="C792" s="4" t="n">
        <v>2</v>
      </c>
      <c r="D792" s="4"/>
      <c r="E792" s="4"/>
      <c r="F792" s="4"/>
      <c r="G792" s="4"/>
      <c r="H792" s="14" t="b">
        <f aca="false">FALSE()</f>
        <v>0</v>
      </c>
      <c r="I792" s="14" t="b">
        <f aca="false">FALSE()</f>
        <v>0</v>
      </c>
      <c r="J792" s="4"/>
      <c r="K792" s="4" t="s">
        <v>3216</v>
      </c>
      <c r="L792" s="4" t="s">
        <v>3217</v>
      </c>
      <c r="M792" s="4" t="s">
        <v>3218</v>
      </c>
      <c r="N792" s="6" t="n">
        <v>18151</v>
      </c>
      <c r="O792" s="6" t="n">
        <v>38840</v>
      </c>
      <c r="P792" s="4" t="s">
        <v>46</v>
      </c>
      <c r="Q792" s="6" t="n">
        <v>93000</v>
      </c>
      <c r="R792" s="15" t="n">
        <v>37251</v>
      </c>
      <c r="S792" s="6"/>
      <c r="T792" s="15"/>
      <c r="U792" s="6"/>
      <c r="V792" s="15"/>
      <c r="W792" s="4" t="s">
        <v>47</v>
      </c>
      <c r="X792" s="4" t="s">
        <v>58</v>
      </c>
      <c r="Y792" s="4" t="s">
        <v>3219</v>
      </c>
      <c r="Z792" s="4" t="s">
        <v>1641</v>
      </c>
      <c r="AA792" s="6" t="n">
        <v>0</v>
      </c>
      <c r="AB792" s="6" t="n">
        <v>3675.94</v>
      </c>
      <c r="AC792" s="6" t="n">
        <v>1930.68</v>
      </c>
      <c r="AD792" s="14" t="b">
        <f aca="false">TRUE()</f>
        <v>1</v>
      </c>
    </row>
    <row r="793" customFormat="false" ht="15" hidden="false" customHeight="false" outlineLevel="0" collapsed="false">
      <c r="A793" s="14" t="b">
        <f aca="false">TRUE()</f>
        <v>1</v>
      </c>
      <c r="B793" s="14" t="b">
        <f aca="false">FALSE()</f>
        <v>0</v>
      </c>
      <c r="C793" s="4" t="n">
        <v>2</v>
      </c>
      <c r="D793" s="4"/>
      <c r="E793" s="4"/>
      <c r="F793" s="4"/>
      <c r="G793" s="4"/>
      <c r="H793" s="14" t="b">
        <f aca="false">FALSE()</f>
        <v>0</v>
      </c>
      <c r="I793" s="14" t="b">
        <f aca="false">FALSE()</f>
        <v>0</v>
      </c>
      <c r="J793" s="4"/>
      <c r="K793" s="4" t="s">
        <v>3220</v>
      </c>
      <c r="L793" s="4" t="s">
        <v>3221</v>
      </c>
      <c r="M793" s="4" t="s">
        <v>3222</v>
      </c>
      <c r="N793" s="6" t="n">
        <v>23271</v>
      </c>
      <c r="O793" s="6" t="n">
        <v>60442</v>
      </c>
      <c r="P793" s="4" t="s">
        <v>46</v>
      </c>
      <c r="Q793" s="6" t="n">
        <v>153000</v>
      </c>
      <c r="R793" s="15" t="n">
        <v>41793</v>
      </c>
      <c r="S793" s="6"/>
      <c r="T793" s="15"/>
      <c r="U793" s="6"/>
      <c r="V793" s="15"/>
      <c r="W793" s="4" t="s">
        <v>47</v>
      </c>
      <c r="X793" s="4" t="s">
        <v>58</v>
      </c>
      <c r="Y793" s="4" t="s">
        <v>3223</v>
      </c>
      <c r="Z793" s="4" t="s">
        <v>2108</v>
      </c>
      <c r="AA793" s="6" t="n">
        <v>0</v>
      </c>
      <c r="AB793" s="6" t="n">
        <v>4725.94</v>
      </c>
      <c r="AC793" s="6" t="n">
        <v>5054.94</v>
      </c>
      <c r="AD793" s="14" t="b">
        <f aca="false">FALSE()</f>
        <v>0</v>
      </c>
    </row>
    <row r="794" customFormat="false" ht="15" hidden="false" customHeight="false" outlineLevel="0" collapsed="false">
      <c r="A794" s="14" t="b">
        <f aca="false">TRUE()</f>
        <v>1</v>
      </c>
      <c r="B794" s="14" t="b">
        <f aca="false">FALSE()</f>
        <v>0</v>
      </c>
      <c r="C794" s="4" t="n">
        <v>2</v>
      </c>
      <c r="D794" s="4"/>
      <c r="E794" s="4"/>
      <c r="F794" s="4"/>
      <c r="G794" s="4"/>
      <c r="H794" s="14" t="b">
        <f aca="false">FALSE()</f>
        <v>0</v>
      </c>
      <c r="I794" s="14" t="b">
        <f aca="false">FALSE()</f>
        <v>0</v>
      </c>
      <c r="J794" s="4"/>
      <c r="K794" s="4" t="s">
        <v>3224</v>
      </c>
      <c r="L794" s="4" t="s">
        <v>3225</v>
      </c>
      <c r="M794" s="4" t="s">
        <v>3226</v>
      </c>
      <c r="N794" s="6" t="n">
        <v>23271</v>
      </c>
      <c r="O794" s="6" t="n">
        <v>60475</v>
      </c>
      <c r="P794" s="4" t="s">
        <v>46</v>
      </c>
      <c r="Q794" s="6" t="n">
        <v>135500</v>
      </c>
      <c r="R794" s="15" t="n">
        <v>35993</v>
      </c>
      <c r="S794" s="6"/>
      <c r="T794" s="15"/>
      <c r="U794" s="6"/>
      <c r="V794" s="15"/>
      <c r="W794" s="4" t="s">
        <v>47</v>
      </c>
      <c r="X794" s="4" t="s">
        <v>47</v>
      </c>
      <c r="Y794" s="4" t="s">
        <v>3227</v>
      </c>
      <c r="Z794" s="4" t="s">
        <v>2108</v>
      </c>
      <c r="AA794" s="6" t="n">
        <v>0</v>
      </c>
      <c r="AB794" s="6" t="n">
        <v>4728</v>
      </c>
      <c r="AC794" s="6" t="n">
        <v>5057.14</v>
      </c>
      <c r="AD794" s="14" t="b">
        <f aca="false">FALSE()</f>
        <v>0</v>
      </c>
    </row>
    <row r="795" customFormat="false" ht="15" hidden="false" customHeight="false" outlineLevel="0" collapsed="false">
      <c r="A795" s="14" t="b">
        <f aca="false">TRUE()</f>
        <v>1</v>
      </c>
      <c r="B795" s="14" t="b">
        <f aca="false">FALSE()</f>
        <v>0</v>
      </c>
      <c r="C795" s="4" t="n">
        <v>2</v>
      </c>
      <c r="D795" s="4"/>
      <c r="E795" s="4"/>
      <c r="F795" s="4"/>
      <c r="G795" s="4"/>
      <c r="H795" s="14" t="b">
        <f aca="false">FALSE()</f>
        <v>0</v>
      </c>
      <c r="I795" s="14" t="b">
        <f aca="false">FALSE()</f>
        <v>0</v>
      </c>
      <c r="J795" s="4"/>
      <c r="K795" s="4" t="s">
        <v>3228</v>
      </c>
      <c r="L795" s="4" t="s">
        <v>3229</v>
      </c>
      <c r="M795" s="4" t="s">
        <v>3230</v>
      </c>
      <c r="N795" s="6" t="n">
        <v>23271</v>
      </c>
      <c r="O795" s="6" t="n">
        <v>60442</v>
      </c>
      <c r="P795" s="4" t="s">
        <v>46</v>
      </c>
      <c r="Q795" s="6" t="n">
        <v>132000</v>
      </c>
      <c r="R795" s="15" t="n">
        <v>36046</v>
      </c>
      <c r="S795" s="6"/>
      <c r="T795" s="15"/>
      <c r="U795" s="6"/>
      <c r="V795" s="15"/>
      <c r="W795" s="4" t="s">
        <v>58</v>
      </c>
      <c r="X795" s="4" t="s">
        <v>47</v>
      </c>
      <c r="Y795" s="4" t="s">
        <v>3231</v>
      </c>
      <c r="Z795" s="4" t="s">
        <v>2108</v>
      </c>
      <c r="AA795" s="6" t="n">
        <v>0</v>
      </c>
      <c r="AB795" s="6" t="n">
        <v>4725.94</v>
      </c>
      <c r="AC795" s="6" t="n">
        <v>2479.3</v>
      </c>
      <c r="AD795" s="14" t="b">
        <f aca="false">TRUE()</f>
        <v>1</v>
      </c>
    </row>
    <row r="796" customFormat="false" ht="15" hidden="false" customHeight="false" outlineLevel="0" collapsed="false">
      <c r="A796" s="14" t="b">
        <f aca="false">TRUE()</f>
        <v>1</v>
      </c>
      <c r="B796" s="14" t="b">
        <f aca="false">FALSE()</f>
        <v>0</v>
      </c>
      <c r="C796" s="4" t="n">
        <v>2</v>
      </c>
      <c r="D796" s="4"/>
      <c r="E796" s="4"/>
      <c r="F796" s="4"/>
      <c r="G796" s="4" t="n">
        <v>2</v>
      </c>
      <c r="H796" s="14" t="b">
        <f aca="false">TRUE()</f>
        <v>1</v>
      </c>
      <c r="I796" s="14" t="b">
        <f aca="false">FALSE()</f>
        <v>0</v>
      </c>
      <c r="J796" s="4"/>
      <c r="K796" s="4" t="s">
        <v>3232</v>
      </c>
      <c r="L796" s="4" t="s">
        <v>3233</v>
      </c>
      <c r="M796" s="4" t="s">
        <v>3234</v>
      </c>
      <c r="N796" s="6" t="n">
        <v>23271</v>
      </c>
      <c r="O796" s="6" t="n">
        <v>53842</v>
      </c>
      <c r="P796" s="4" t="s">
        <v>46</v>
      </c>
      <c r="Q796" s="6" t="n">
        <v>175000</v>
      </c>
      <c r="R796" s="15" t="n">
        <v>38516</v>
      </c>
      <c r="S796" s="6" t="n">
        <v>164800</v>
      </c>
      <c r="T796" s="15" t="n">
        <v>39183</v>
      </c>
      <c r="U796" s="6" t="n">
        <v>20500</v>
      </c>
      <c r="V796" s="15" t="n">
        <v>39183</v>
      </c>
      <c r="W796" s="4" t="s">
        <v>47</v>
      </c>
      <c r="X796" s="4" t="s">
        <v>47</v>
      </c>
      <c r="Y796" s="4" t="s">
        <v>3235</v>
      </c>
      <c r="Z796" s="4" t="s">
        <v>2108</v>
      </c>
      <c r="AA796" s="6" t="n">
        <v>0</v>
      </c>
      <c r="AB796" s="6" t="n">
        <v>4313.96</v>
      </c>
      <c r="AC796" s="6" t="n">
        <v>2264.04</v>
      </c>
      <c r="AD796" s="14" t="b">
        <f aca="false">TRUE()</f>
        <v>1</v>
      </c>
    </row>
    <row r="797" customFormat="false" ht="15" hidden="false" customHeight="false" outlineLevel="0" collapsed="false">
      <c r="A797" s="14" t="b">
        <f aca="false">TRUE()</f>
        <v>1</v>
      </c>
      <c r="B797" s="14" t="b">
        <f aca="false">FALSE()</f>
        <v>0</v>
      </c>
      <c r="C797" s="4" t="n">
        <v>2</v>
      </c>
      <c r="D797" s="4"/>
      <c r="E797" s="4"/>
      <c r="F797" s="4"/>
      <c r="G797" s="4"/>
      <c r="H797" s="14" t="b">
        <f aca="false">FALSE()</f>
        <v>0</v>
      </c>
      <c r="I797" s="14" t="b">
        <f aca="false">FALSE()</f>
        <v>0</v>
      </c>
      <c r="J797" s="4"/>
      <c r="K797" s="4" t="s">
        <v>3236</v>
      </c>
      <c r="L797" s="4" t="s">
        <v>3237</v>
      </c>
      <c r="M797" s="4" t="s">
        <v>3238</v>
      </c>
      <c r="N797" s="6" t="n">
        <v>19287</v>
      </c>
      <c r="O797" s="6" t="n">
        <v>52852</v>
      </c>
      <c r="P797" s="4" t="s">
        <v>46</v>
      </c>
      <c r="Q797" s="6" t="n">
        <v>210000</v>
      </c>
      <c r="R797" s="15" t="n">
        <v>44736</v>
      </c>
      <c r="S797" s="6"/>
      <c r="T797" s="15"/>
      <c r="U797" s="6"/>
      <c r="V797" s="15"/>
      <c r="W797" s="4" t="s">
        <v>47</v>
      </c>
      <c r="X797" s="4" t="s">
        <v>47</v>
      </c>
      <c r="Y797" s="4" t="s">
        <v>3239</v>
      </c>
      <c r="Z797" s="4" t="s">
        <v>2108</v>
      </c>
      <c r="AA797" s="6" t="n">
        <v>0</v>
      </c>
      <c r="AB797" s="6" t="n">
        <v>3933.5</v>
      </c>
      <c r="AC797" s="6" t="n">
        <v>4209.01</v>
      </c>
      <c r="AD797" s="14" t="b">
        <f aca="false">FALSE()</f>
        <v>0</v>
      </c>
    </row>
    <row r="798" customFormat="false" ht="15" hidden="false" customHeight="false" outlineLevel="0" collapsed="false">
      <c r="A798" s="14" t="b">
        <f aca="false">TRUE()</f>
        <v>1</v>
      </c>
      <c r="B798" s="14" t="b">
        <f aca="false">FALSE()</f>
        <v>0</v>
      </c>
      <c r="C798" s="4" t="n">
        <v>3</v>
      </c>
      <c r="D798" s="4"/>
      <c r="E798" s="4"/>
      <c r="F798" s="4"/>
      <c r="G798" s="4"/>
      <c r="H798" s="14" t="b">
        <f aca="false">FALSE()</f>
        <v>0</v>
      </c>
      <c r="I798" s="14" t="b">
        <f aca="false">FALSE()</f>
        <v>0</v>
      </c>
      <c r="J798" s="4"/>
      <c r="K798" s="4" t="s">
        <v>3240</v>
      </c>
      <c r="L798" s="4" t="s">
        <v>3241</v>
      </c>
      <c r="M798" s="4" t="s">
        <v>3242</v>
      </c>
      <c r="N798" s="6" t="n">
        <v>52941</v>
      </c>
      <c r="O798" s="6" t="n">
        <v>171988</v>
      </c>
      <c r="P798" s="4" t="s">
        <v>46</v>
      </c>
      <c r="Q798" s="6" t="n">
        <v>580000</v>
      </c>
      <c r="R798" s="15" t="n">
        <v>45776</v>
      </c>
      <c r="S798" s="6"/>
      <c r="T798" s="15"/>
      <c r="U798" s="6"/>
      <c r="V798" s="15"/>
      <c r="W798" s="4" t="s">
        <v>47</v>
      </c>
      <c r="X798" s="4" t="s">
        <v>47</v>
      </c>
      <c r="Y798" s="4" t="s">
        <v>3243</v>
      </c>
      <c r="Z798" s="4" t="s">
        <v>2108</v>
      </c>
      <c r="AA798" s="6" t="n">
        <v>0</v>
      </c>
      <c r="AB798" s="6" t="n">
        <v>13442.56</v>
      </c>
      <c r="AC798" s="6" t="n">
        <v>14359.94</v>
      </c>
      <c r="AD798" s="14" t="b">
        <f aca="false">FALSE()</f>
        <v>0</v>
      </c>
    </row>
    <row r="799" customFormat="false" ht="15" hidden="false" customHeight="false" outlineLevel="0" collapsed="false">
      <c r="A799" s="14" t="b">
        <f aca="false">TRUE()</f>
        <v>1</v>
      </c>
      <c r="B799" s="14" t="b">
        <f aca="false">FALSE()</f>
        <v>0</v>
      </c>
      <c r="C799" s="4" t="n">
        <v>3</v>
      </c>
      <c r="D799" s="4"/>
      <c r="E799" s="4"/>
      <c r="F799" s="4"/>
      <c r="G799" s="4" t="n">
        <v>3</v>
      </c>
      <c r="H799" s="14" t="b">
        <f aca="false">FALSE()</f>
        <v>0</v>
      </c>
      <c r="I799" s="14" t="b">
        <f aca="false">FALSE()</f>
        <v>0</v>
      </c>
      <c r="J799" s="4"/>
      <c r="K799" s="4" t="s">
        <v>3244</v>
      </c>
      <c r="L799" s="4" t="s">
        <v>3245</v>
      </c>
      <c r="M799" s="4" t="s">
        <v>3246</v>
      </c>
      <c r="N799" s="6" t="n">
        <v>59562</v>
      </c>
      <c r="O799" s="6" t="n">
        <v>154337</v>
      </c>
      <c r="P799" s="4" t="s">
        <v>46</v>
      </c>
      <c r="Q799" s="6"/>
      <c r="R799" s="15"/>
      <c r="S799" s="6"/>
      <c r="T799" s="15"/>
      <c r="U799" s="6"/>
      <c r="V799" s="15"/>
      <c r="W799" s="4" t="s">
        <v>47</v>
      </c>
      <c r="X799" s="4" t="s">
        <v>47</v>
      </c>
      <c r="Y799" s="4" t="s">
        <v>3247</v>
      </c>
      <c r="Z799" s="4" t="s">
        <v>2108</v>
      </c>
      <c r="AA799" s="6" t="n">
        <v>0</v>
      </c>
      <c r="AB799" s="6" t="n">
        <v>12352.66</v>
      </c>
      <c r="AC799" s="6" t="n">
        <v>13196.46</v>
      </c>
      <c r="AD799" s="14" t="b">
        <f aca="false">FALSE()</f>
        <v>0</v>
      </c>
    </row>
    <row r="800" customFormat="false" ht="15" hidden="false" customHeight="false" outlineLevel="0" collapsed="false">
      <c r="A800" s="14" t="b">
        <f aca="false">TRUE()</f>
        <v>1</v>
      </c>
      <c r="B800" s="14" t="b">
        <f aca="false">FALSE()</f>
        <v>0</v>
      </c>
      <c r="C800" s="4" t="n">
        <v>3</v>
      </c>
      <c r="D800" s="4"/>
      <c r="E800" s="4"/>
      <c r="F800" s="4"/>
      <c r="G800" s="4"/>
      <c r="H800" s="14" t="b">
        <f aca="false">FALSE()</f>
        <v>0</v>
      </c>
      <c r="I800" s="14" t="b">
        <f aca="false">FALSE()</f>
        <v>0</v>
      </c>
      <c r="J800" s="4"/>
      <c r="K800" s="4" t="s">
        <v>3248</v>
      </c>
      <c r="L800" s="4" t="s">
        <v>3249</v>
      </c>
      <c r="M800" s="4" t="s">
        <v>3250</v>
      </c>
      <c r="N800" s="6" t="n">
        <v>52941</v>
      </c>
      <c r="O800" s="6" t="n">
        <v>137321</v>
      </c>
      <c r="P800" s="4" t="s">
        <v>46</v>
      </c>
      <c r="Q800" s="6" t="n">
        <v>252000</v>
      </c>
      <c r="R800" s="15" t="n">
        <v>35993</v>
      </c>
      <c r="S800" s="6"/>
      <c r="T800" s="15"/>
      <c r="U800" s="6"/>
      <c r="V800" s="15"/>
      <c r="W800" s="4" t="s">
        <v>47</v>
      </c>
      <c r="X800" s="4" t="s">
        <v>47</v>
      </c>
      <c r="Y800" s="4" t="s">
        <v>3251</v>
      </c>
      <c r="Z800" s="4" t="s">
        <v>2108</v>
      </c>
      <c r="AA800" s="6" t="n">
        <v>0</v>
      </c>
      <c r="AB800" s="6" t="n">
        <v>10877.28</v>
      </c>
      <c r="AC800" s="6" t="n">
        <v>11621.5</v>
      </c>
      <c r="AD800" s="14" t="b">
        <f aca="false">FALSE()</f>
        <v>0</v>
      </c>
    </row>
    <row r="801" customFormat="false" ht="15" hidden="false" customHeight="false" outlineLevel="0" collapsed="false">
      <c r="A801" s="14" t="b">
        <f aca="false">TRUE()</f>
        <v>1</v>
      </c>
      <c r="B801" s="14" t="b">
        <f aca="false">FALSE()</f>
        <v>0</v>
      </c>
      <c r="C801" s="4" t="n">
        <v>2</v>
      </c>
      <c r="D801" s="4"/>
      <c r="E801" s="4"/>
      <c r="F801" s="4"/>
      <c r="G801" s="4"/>
      <c r="H801" s="14" t="b">
        <f aca="false">FALSE()</f>
        <v>0</v>
      </c>
      <c r="I801" s="14" t="b">
        <f aca="false">FALSE()</f>
        <v>0</v>
      </c>
      <c r="J801" s="4"/>
      <c r="K801" s="4" t="s">
        <v>3252</v>
      </c>
      <c r="L801" s="4" t="s">
        <v>3253</v>
      </c>
      <c r="M801" s="4" t="s">
        <v>3254</v>
      </c>
      <c r="N801" s="6" t="n">
        <v>56546</v>
      </c>
      <c r="O801" s="6" t="n">
        <v>134394</v>
      </c>
      <c r="P801" s="4" t="s">
        <v>46</v>
      </c>
      <c r="Q801" s="6" t="n">
        <v>725000</v>
      </c>
      <c r="R801" s="15" t="n">
        <v>45581</v>
      </c>
      <c r="S801" s="6"/>
      <c r="T801" s="15"/>
      <c r="U801" s="6"/>
      <c r="V801" s="15"/>
      <c r="W801" s="4" t="s">
        <v>47</v>
      </c>
      <c r="X801" s="4" t="s">
        <v>47</v>
      </c>
      <c r="Y801" s="4" t="s">
        <v>3255</v>
      </c>
      <c r="Z801" s="4" t="s">
        <v>2108</v>
      </c>
      <c r="AA801" s="6" t="n">
        <v>0</v>
      </c>
      <c r="AB801" s="6" t="n">
        <v>11310.58</v>
      </c>
      <c r="AC801" s="6" t="n">
        <v>5919.78</v>
      </c>
      <c r="AD801" s="14" t="b">
        <f aca="false">TRUE()</f>
        <v>1</v>
      </c>
    </row>
    <row r="802" customFormat="false" ht="15" hidden="false" customHeight="false" outlineLevel="0" collapsed="false">
      <c r="A802" s="14" t="b">
        <f aca="false">TRUE()</f>
        <v>1</v>
      </c>
      <c r="B802" s="14" t="b">
        <f aca="false">FALSE()</f>
        <v>0</v>
      </c>
      <c r="C802" s="4" t="n">
        <v>3</v>
      </c>
      <c r="D802" s="4"/>
      <c r="E802" s="4"/>
      <c r="F802" s="4"/>
      <c r="G802" s="4"/>
      <c r="H802" s="14" t="b">
        <f aca="false">TRUE()</f>
        <v>1</v>
      </c>
      <c r="I802" s="14" t="b">
        <f aca="false">FALSE()</f>
        <v>0</v>
      </c>
      <c r="J802" s="4"/>
      <c r="K802" s="4" t="s">
        <v>3256</v>
      </c>
      <c r="L802" s="4" t="s">
        <v>3257</v>
      </c>
      <c r="M802" s="4" t="s">
        <v>3258</v>
      </c>
      <c r="N802" s="6" t="n">
        <v>56546</v>
      </c>
      <c r="O802" s="6" t="n">
        <v>153970</v>
      </c>
      <c r="P802" s="4" t="s">
        <v>46</v>
      </c>
      <c r="Q802" s="6"/>
      <c r="R802" s="15"/>
      <c r="S802" s="6" t="n">
        <v>193000</v>
      </c>
      <c r="T802" s="15" t="n">
        <v>40457</v>
      </c>
      <c r="U802" s="6"/>
      <c r="V802" s="15"/>
      <c r="W802" s="4" t="s">
        <v>47</v>
      </c>
      <c r="X802" s="4" t="s">
        <v>47</v>
      </c>
      <c r="Y802" s="4" t="s">
        <v>3259</v>
      </c>
      <c r="Z802" s="4" t="s">
        <v>2108</v>
      </c>
      <c r="AA802" s="6" t="n">
        <v>0</v>
      </c>
      <c r="AB802" s="6" t="n">
        <v>12141.5</v>
      </c>
      <c r="AC802" s="6" t="n">
        <v>12971.05</v>
      </c>
      <c r="AD802" s="14" t="b">
        <f aca="false">FALSE()</f>
        <v>0</v>
      </c>
    </row>
    <row r="803" customFormat="false" ht="15" hidden="false" customHeight="false" outlineLevel="0" collapsed="false">
      <c r="A803" s="14" t="b">
        <f aca="false">TRUE()</f>
        <v>1</v>
      </c>
      <c r="B803" s="14" t="b">
        <f aca="false">FALSE()</f>
        <v>0</v>
      </c>
      <c r="C803" s="4" t="n">
        <v>2</v>
      </c>
      <c r="D803" s="4"/>
      <c r="E803" s="4"/>
      <c r="F803" s="4"/>
      <c r="G803" s="4" t="n">
        <v>3</v>
      </c>
      <c r="H803" s="14" t="b">
        <f aca="false">TRUE()</f>
        <v>1</v>
      </c>
      <c r="I803" s="14" t="b">
        <f aca="false">FALSE()</f>
        <v>0</v>
      </c>
      <c r="J803" s="4"/>
      <c r="K803" s="4" t="s">
        <v>3260</v>
      </c>
      <c r="L803" s="4" t="s">
        <v>3261</v>
      </c>
      <c r="M803" s="4" t="s">
        <v>3262</v>
      </c>
      <c r="N803" s="6" t="n">
        <v>178776</v>
      </c>
      <c r="O803" s="6" t="n">
        <v>510554</v>
      </c>
      <c r="P803" s="4" t="s">
        <v>46</v>
      </c>
      <c r="Q803" s="6" t="n">
        <v>1750000</v>
      </c>
      <c r="R803" s="15" t="n">
        <v>43770</v>
      </c>
      <c r="S803" s="6" t="n">
        <v>1574825</v>
      </c>
      <c r="T803" s="15" t="n">
        <v>43770</v>
      </c>
      <c r="U803" s="6"/>
      <c r="V803" s="15"/>
      <c r="W803" s="4" t="s">
        <v>58</v>
      </c>
      <c r="X803" s="4" t="s">
        <v>47</v>
      </c>
      <c r="Y803" s="4" t="s">
        <v>3263</v>
      </c>
      <c r="Z803" s="4" t="s">
        <v>2108</v>
      </c>
      <c r="AA803" s="6" t="n">
        <v>0</v>
      </c>
      <c r="AB803" s="6" t="n">
        <v>41784.62</v>
      </c>
      <c r="AC803" s="6" t="n">
        <v>21842.46</v>
      </c>
      <c r="AD803" s="14" t="b">
        <f aca="false">TRUE()</f>
        <v>1</v>
      </c>
    </row>
    <row r="804" customFormat="false" ht="15" hidden="false" customHeight="false" outlineLevel="0" collapsed="false">
      <c r="A804" s="14" t="b">
        <f aca="false">TRUE()</f>
        <v>1</v>
      </c>
      <c r="B804" s="14" t="b">
        <f aca="false">FALSE()</f>
        <v>0</v>
      </c>
      <c r="C804" s="4" t="n">
        <v>3</v>
      </c>
      <c r="D804" s="4"/>
      <c r="E804" s="4"/>
      <c r="F804" s="4"/>
      <c r="G804" s="4"/>
      <c r="H804" s="14" t="b">
        <f aca="false">FALSE()</f>
        <v>0</v>
      </c>
      <c r="I804" s="14" t="b">
        <f aca="false">FALSE()</f>
        <v>0</v>
      </c>
      <c r="J804" s="4"/>
      <c r="K804" s="4" t="s">
        <v>3264</v>
      </c>
      <c r="L804" s="4" t="s">
        <v>3265</v>
      </c>
      <c r="M804" s="4" t="s">
        <v>3266</v>
      </c>
      <c r="N804" s="6" t="n">
        <v>66106</v>
      </c>
      <c r="O804" s="6" t="n">
        <v>339779</v>
      </c>
      <c r="P804" s="4" t="s">
        <v>46</v>
      </c>
      <c r="Q804" s="6" t="n">
        <v>352000</v>
      </c>
      <c r="R804" s="15" t="n">
        <v>44288</v>
      </c>
      <c r="S804" s="6" t="n">
        <v>1967000</v>
      </c>
      <c r="T804" s="15" t="n">
        <v>44818</v>
      </c>
      <c r="U804" s="6"/>
      <c r="V804" s="15"/>
      <c r="W804" s="4" t="s">
        <v>58</v>
      </c>
      <c r="X804" s="4" t="s">
        <v>58</v>
      </c>
      <c r="Y804" s="4" t="s">
        <v>3267</v>
      </c>
      <c r="Z804" s="4" t="s">
        <v>2108</v>
      </c>
      <c r="AA804" s="6" t="n">
        <v>0</v>
      </c>
      <c r="AB804" s="6" t="n">
        <v>24892.12</v>
      </c>
      <c r="AC804" s="6" t="n">
        <v>26582.34</v>
      </c>
      <c r="AD804" s="14" t="b">
        <f aca="false">FALSE()</f>
        <v>0</v>
      </c>
    </row>
    <row r="805" customFormat="false" ht="15" hidden="false" customHeight="false" outlineLevel="0" collapsed="false">
      <c r="A805" s="14" t="b">
        <f aca="false">TRUE()</f>
        <v>1</v>
      </c>
      <c r="B805" s="14" t="b">
        <f aca="false">FALSE()</f>
        <v>0</v>
      </c>
      <c r="C805" s="4" t="n">
        <v>2</v>
      </c>
      <c r="D805" s="4"/>
      <c r="E805" s="4"/>
      <c r="F805" s="4"/>
      <c r="G805" s="4"/>
      <c r="H805" s="14" t="b">
        <f aca="false">FALSE()</f>
        <v>0</v>
      </c>
      <c r="I805" s="14" t="b">
        <f aca="false">FALSE()</f>
        <v>0</v>
      </c>
      <c r="J805" s="4"/>
      <c r="K805" s="4" t="s">
        <v>3268</v>
      </c>
      <c r="L805" s="4" t="s">
        <v>3269</v>
      </c>
      <c r="M805" s="4" t="s">
        <v>3270</v>
      </c>
      <c r="N805" s="6" t="n">
        <v>66117</v>
      </c>
      <c r="O805" s="6" t="n">
        <v>70825</v>
      </c>
      <c r="P805" s="4" t="s">
        <v>46</v>
      </c>
      <c r="Q805" s="6" t="n">
        <v>313500</v>
      </c>
      <c r="R805" s="15" t="n">
        <v>39162</v>
      </c>
      <c r="S805" s="6"/>
      <c r="T805" s="15"/>
      <c r="U805" s="6"/>
      <c r="V805" s="15"/>
      <c r="W805" s="4" t="s">
        <v>47</v>
      </c>
      <c r="X805" s="4" t="s">
        <v>47</v>
      </c>
      <c r="Y805" s="4" t="s">
        <v>3271</v>
      </c>
      <c r="Z805" s="4" t="s">
        <v>2108</v>
      </c>
      <c r="AA805" s="6" t="n">
        <v>0</v>
      </c>
      <c r="AB805" s="6" t="n">
        <v>7907.76</v>
      </c>
      <c r="AC805" s="6" t="n">
        <v>4141.8</v>
      </c>
      <c r="AD805" s="14" t="b">
        <f aca="false">TRUE()</f>
        <v>1</v>
      </c>
    </row>
    <row r="806" customFormat="false" ht="15" hidden="false" customHeight="false" outlineLevel="0" collapsed="false">
      <c r="A806" s="14" t="b">
        <f aca="false">TRUE()</f>
        <v>1</v>
      </c>
      <c r="B806" s="14" t="b">
        <f aca="false">FALSE()</f>
        <v>0</v>
      </c>
      <c r="C806" s="4" t="n">
        <v>3</v>
      </c>
      <c r="D806" s="4"/>
      <c r="E806" s="4"/>
      <c r="F806" s="4"/>
      <c r="G806" s="4"/>
      <c r="H806" s="14" t="b">
        <f aca="false">FALSE()</f>
        <v>0</v>
      </c>
      <c r="I806" s="14" t="b">
        <f aca="false">FALSE()</f>
        <v>0</v>
      </c>
      <c r="J806" s="4"/>
      <c r="K806" s="4" t="s">
        <v>3272</v>
      </c>
      <c r="L806" s="4" t="s">
        <v>3273</v>
      </c>
      <c r="M806" s="4" t="s">
        <v>3274</v>
      </c>
      <c r="N806" s="6" t="n">
        <v>76579</v>
      </c>
      <c r="O806" s="6" t="n">
        <v>140604</v>
      </c>
      <c r="P806" s="4" t="s">
        <v>46</v>
      </c>
      <c r="Q806" s="6" t="n">
        <v>595000</v>
      </c>
      <c r="R806" s="15" t="n">
        <v>45196</v>
      </c>
      <c r="S806" s="6"/>
      <c r="T806" s="15"/>
      <c r="U806" s="6"/>
      <c r="V806" s="15"/>
      <c r="W806" s="4" t="s">
        <v>47</v>
      </c>
      <c r="X806" s="4" t="s">
        <v>47</v>
      </c>
      <c r="Y806" s="4" t="s">
        <v>3275</v>
      </c>
      <c r="Z806" s="4" t="s">
        <v>2108</v>
      </c>
      <c r="AA806" s="6" t="n">
        <v>0</v>
      </c>
      <c r="AB806" s="6" t="n">
        <v>12828.78</v>
      </c>
      <c r="AC806" s="6" t="n">
        <v>13704.73</v>
      </c>
      <c r="AD806" s="14" t="b">
        <f aca="false">FALSE()</f>
        <v>0</v>
      </c>
    </row>
    <row r="807" customFormat="false" ht="15" hidden="false" customHeight="false" outlineLevel="0" collapsed="false">
      <c r="A807" s="14" t="b">
        <f aca="false">TRUE()</f>
        <v>1</v>
      </c>
      <c r="B807" s="14" t="b">
        <f aca="false">FALSE()</f>
        <v>0</v>
      </c>
      <c r="C807" s="4" t="n">
        <v>2</v>
      </c>
      <c r="D807" s="4"/>
      <c r="E807" s="4"/>
      <c r="F807" s="4"/>
      <c r="G807" s="4"/>
      <c r="H807" s="14" t="b">
        <f aca="false">FALSE()</f>
        <v>0</v>
      </c>
      <c r="I807" s="14" t="b">
        <f aca="false">FALSE()</f>
        <v>0</v>
      </c>
      <c r="J807" s="4"/>
      <c r="K807" s="4" t="s">
        <v>3276</v>
      </c>
      <c r="L807" s="4" t="s">
        <v>3277</v>
      </c>
      <c r="M807" s="4" t="s">
        <v>3278</v>
      </c>
      <c r="N807" s="6" t="n">
        <v>23616</v>
      </c>
      <c r="O807" s="6" t="n">
        <v>72862</v>
      </c>
      <c r="P807" s="4" t="s">
        <v>46</v>
      </c>
      <c r="Q807" s="6" t="n">
        <v>191000</v>
      </c>
      <c r="R807" s="15" t="n">
        <v>41486</v>
      </c>
      <c r="S807" s="6"/>
      <c r="T807" s="15"/>
      <c r="U807" s="6"/>
      <c r="V807" s="15"/>
      <c r="W807" s="4" t="s">
        <v>47</v>
      </c>
      <c r="X807" s="4" t="s">
        <v>47</v>
      </c>
      <c r="Y807" s="4" t="s">
        <v>3279</v>
      </c>
      <c r="Z807" s="4" t="s">
        <v>2108</v>
      </c>
      <c r="AA807" s="6" t="n">
        <v>0</v>
      </c>
      <c r="AB807" s="6" t="n">
        <v>5522.72</v>
      </c>
      <c r="AC807" s="6" t="n">
        <v>2895.62</v>
      </c>
      <c r="AD807" s="14" t="b">
        <f aca="false">TRUE()</f>
        <v>1</v>
      </c>
    </row>
    <row r="808" customFormat="false" ht="15" hidden="false" customHeight="false" outlineLevel="0" collapsed="false">
      <c r="A808" s="14" t="b">
        <f aca="false">TRUE()</f>
        <v>1</v>
      </c>
      <c r="B808" s="14" t="b">
        <f aca="false">FALSE()</f>
        <v>0</v>
      </c>
      <c r="C808" s="4" t="n">
        <v>3</v>
      </c>
      <c r="D808" s="4"/>
      <c r="E808" s="4"/>
      <c r="F808" s="4"/>
      <c r="G808" s="4" t="n">
        <v>3</v>
      </c>
      <c r="H808" s="14" t="b">
        <f aca="false">TRUE()</f>
        <v>1</v>
      </c>
      <c r="I808" s="14" t="b">
        <f aca="false">FALSE()</f>
        <v>0</v>
      </c>
      <c r="J808" s="4"/>
      <c r="K808" s="4" t="s">
        <v>3280</v>
      </c>
      <c r="L808" s="4" t="s">
        <v>3281</v>
      </c>
      <c r="M808" s="4" t="s">
        <v>3282</v>
      </c>
      <c r="N808" s="6" t="n">
        <v>53397</v>
      </c>
      <c r="O808" s="6" t="n">
        <v>141105</v>
      </c>
      <c r="P808" s="4" t="s">
        <v>46</v>
      </c>
      <c r="Q808" s="6" t="n">
        <v>391000</v>
      </c>
      <c r="R808" s="15" t="n">
        <v>38160</v>
      </c>
      <c r="S808" s="6" t="n">
        <v>281568</v>
      </c>
      <c r="T808" s="15" t="n">
        <v>41001</v>
      </c>
      <c r="U808" s="6" t="n">
        <v>50000</v>
      </c>
      <c r="V808" s="15" t="n">
        <v>39393</v>
      </c>
      <c r="W808" s="4" t="s">
        <v>47</v>
      </c>
      <c r="X808" s="4" t="s">
        <v>47</v>
      </c>
      <c r="Y808" s="4" t="s">
        <v>3283</v>
      </c>
      <c r="Z808" s="4" t="s">
        <v>2108</v>
      </c>
      <c r="AA808" s="6" t="n">
        <v>0</v>
      </c>
      <c r="AB808" s="6" t="n">
        <v>11641.28</v>
      </c>
      <c r="AC808" s="6" t="n">
        <v>12437.07</v>
      </c>
      <c r="AD808" s="14" t="b">
        <f aca="false">FALSE()</f>
        <v>0</v>
      </c>
    </row>
    <row r="809" customFormat="false" ht="15" hidden="false" customHeight="false" outlineLevel="0" collapsed="false">
      <c r="A809" s="14" t="b">
        <f aca="false">TRUE()</f>
        <v>1</v>
      </c>
      <c r="B809" s="14" t="b">
        <f aca="false">FALSE()</f>
        <v>0</v>
      </c>
      <c r="C809" s="4" t="n">
        <v>3</v>
      </c>
      <c r="D809" s="4"/>
      <c r="E809" s="4"/>
      <c r="F809" s="4"/>
      <c r="G809" s="4"/>
      <c r="H809" s="14" t="b">
        <f aca="false">FALSE()</f>
        <v>0</v>
      </c>
      <c r="I809" s="14" t="b">
        <f aca="false">FALSE()</f>
        <v>0</v>
      </c>
      <c r="J809" s="4"/>
      <c r="K809" s="4" t="s">
        <v>3284</v>
      </c>
      <c r="L809" s="4" t="s">
        <v>3285</v>
      </c>
      <c r="M809" s="4" t="s">
        <v>3286</v>
      </c>
      <c r="N809" s="6" t="n">
        <v>20878</v>
      </c>
      <c r="O809" s="6" t="n">
        <v>65205</v>
      </c>
      <c r="P809" s="4" t="s">
        <v>46</v>
      </c>
      <c r="Q809" s="6" t="n">
        <v>325000</v>
      </c>
      <c r="R809" s="15" t="n">
        <v>45205</v>
      </c>
      <c r="S809" s="6" t="n">
        <v>243750</v>
      </c>
      <c r="T809" s="15" t="n">
        <v>45205</v>
      </c>
      <c r="U809" s="6"/>
      <c r="V809" s="15"/>
      <c r="W809" s="4" t="s">
        <v>47</v>
      </c>
      <c r="X809" s="4" t="s">
        <v>47</v>
      </c>
      <c r="Y809" s="4" t="s">
        <v>3287</v>
      </c>
      <c r="Z809" s="4" t="s">
        <v>2108</v>
      </c>
      <c r="AA809" s="6" t="n">
        <v>0</v>
      </c>
      <c r="AB809" s="6" t="n">
        <v>5373.22</v>
      </c>
      <c r="AC809" s="6" t="n">
        <v>5745.91</v>
      </c>
      <c r="AD809" s="14" t="b">
        <f aca="false">FALSE()</f>
        <v>0</v>
      </c>
    </row>
    <row r="810" customFormat="false" ht="15" hidden="false" customHeight="false" outlineLevel="0" collapsed="false">
      <c r="A810" s="14" t="b">
        <f aca="false">TRUE()</f>
        <v>1</v>
      </c>
      <c r="B810" s="14" t="b">
        <f aca="false">FALSE()</f>
        <v>0</v>
      </c>
      <c r="C810" s="4" t="n">
        <v>2</v>
      </c>
      <c r="D810" s="4"/>
      <c r="E810" s="4"/>
      <c r="F810" s="4"/>
      <c r="G810" s="4"/>
      <c r="H810" s="14" t="b">
        <f aca="false">FALSE()</f>
        <v>0</v>
      </c>
      <c r="I810" s="14" t="b">
        <f aca="false">FALSE()</f>
        <v>0</v>
      </c>
      <c r="J810" s="4"/>
      <c r="K810" s="4" t="s">
        <v>3288</v>
      </c>
      <c r="L810" s="4" t="s">
        <v>3289</v>
      </c>
      <c r="M810" s="4" t="s">
        <v>3290</v>
      </c>
      <c r="N810" s="6" t="n">
        <v>32096</v>
      </c>
      <c r="O810" s="6" t="n">
        <v>104568</v>
      </c>
      <c r="P810" s="4" t="s">
        <v>46</v>
      </c>
      <c r="Q810" s="6" t="n">
        <v>370000</v>
      </c>
      <c r="R810" s="15" t="n">
        <v>42849</v>
      </c>
      <c r="S810" s="6" t="n">
        <v>263250</v>
      </c>
      <c r="T810" s="15" t="n">
        <v>44251</v>
      </c>
      <c r="U810" s="6"/>
      <c r="V810" s="15"/>
      <c r="W810" s="4" t="s">
        <v>47</v>
      </c>
      <c r="X810" s="4" t="s">
        <v>47</v>
      </c>
      <c r="Y810" s="4" t="s">
        <v>3291</v>
      </c>
      <c r="Z810" s="4" t="s">
        <v>2108</v>
      </c>
      <c r="AA810" s="6" t="n">
        <v>0</v>
      </c>
      <c r="AB810" s="6" t="n">
        <v>8530.44</v>
      </c>
      <c r="AC810" s="6" t="n">
        <v>4467.15</v>
      </c>
      <c r="AD810" s="14" t="b">
        <f aca="false">TRUE()</f>
        <v>1</v>
      </c>
    </row>
    <row r="811" customFormat="false" ht="15" hidden="false" customHeight="false" outlineLevel="0" collapsed="false">
      <c r="A811" s="14" t="b">
        <f aca="false">TRUE()</f>
        <v>1</v>
      </c>
      <c r="B811" s="14" t="b">
        <f aca="false">FALSE()</f>
        <v>0</v>
      </c>
      <c r="C811" s="4" t="n">
        <v>3</v>
      </c>
      <c r="D811" s="4"/>
      <c r="E811" s="4"/>
      <c r="F811" s="4"/>
      <c r="G811" s="4" t="n">
        <v>3</v>
      </c>
      <c r="H811" s="14" t="b">
        <f aca="false">TRUE()</f>
        <v>1</v>
      </c>
      <c r="I811" s="14" t="b">
        <f aca="false">FALSE()</f>
        <v>0</v>
      </c>
      <c r="J811" s="4"/>
      <c r="K811" s="4" t="s">
        <v>3292</v>
      </c>
      <c r="L811" s="4" t="s">
        <v>3293</v>
      </c>
      <c r="M811" s="4" t="s">
        <v>3294</v>
      </c>
      <c r="N811" s="6" t="n">
        <v>32419</v>
      </c>
      <c r="O811" s="6" t="n">
        <v>131778</v>
      </c>
      <c r="P811" s="4" t="s">
        <v>46</v>
      </c>
      <c r="Q811" s="6" t="n">
        <v>450000</v>
      </c>
      <c r="R811" s="15" t="n">
        <v>44484</v>
      </c>
      <c r="S811" s="6" t="n">
        <v>337500</v>
      </c>
      <c r="T811" s="15" t="n">
        <v>44484</v>
      </c>
      <c r="U811" s="6"/>
      <c r="V811" s="15"/>
      <c r="W811" s="4" t="s">
        <v>47</v>
      </c>
      <c r="X811" s="4" t="s">
        <v>58</v>
      </c>
      <c r="Y811" s="4" t="s">
        <v>3295</v>
      </c>
      <c r="Z811" s="4" t="s">
        <v>2108</v>
      </c>
      <c r="AA811" s="6" t="n">
        <v>0</v>
      </c>
      <c r="AB811" s="6" t="n">
        <v>9749.66</v>
      </c>
      <c r="AC811" s="6" t="n">
        <v>10417.76</v>
      </c>
      <c r="AD811" s="14" t="b">
        <f aca="false">FALSE()</f>
        <v>0</v>
      </c>
    </row>
    <row r="812" customFormat="false" ht="15" hidden="false" customHeight="false" outlineLevel="0" collapsed="false">
      <c r="A812" s="14" t="b">
        <f aca="false">TRUE()</f>
        <v>1</v>
      </c>
      <c r="B812" s="14" t="b">
        <f aca="false">FALSE()</f>
        <v>0</v>
      </c>
      <c r="C812" s="4" t="n">
        <v>2</v>
      </c>
      <c r="D812" s="4"/>
      <c r="E812" s="4"/>
      <c r="F812" s="4"/>
      <c r="G812" s="4"/>
      <c r="H812" s="14" t="b">
        <f aca="false">FALSE()</f>
        <v>0</v>
      </c>
      <c r="I812" s="14" t="b">
        <f aca="false">FALSE()</f>
        <v>0</v>
      </c>
      <c r="J812" s="4"/>
      <c r="K812" s="4" t="s">
        <v>3296</v>
      </c>
      <c r="L812" s="4" t="s">
        <v>3297</v>
      </c>
      <c r="M812" s="4" t="s">
        <v>3298</v>
      </c>
      <c r="N812" s="6" t="n">
        <v>32096</v>
      </c>
      <c r="O812" s="6" t="n">
        <v>103767</v>
      </c>
      <c r="P812" s="4" t="s">
        <v>46</v>
      </c>
      <c r="Q812" s="6" t="n">
        <v>285000</v>
      </c>
      <c r="R812" s="15" t="n">
        <v>42621</v>
      </c>
      <c r="S812" s="6" t="n">
        <v>228000</v>
      </c>
      <c r="T812" s="15" t="n">
        <v>42621</v>
      </c>
      <c r="U812" s="6"/>
      <c r="V812" s="15"/>
      <c r="W812" s="4" t="s">
        <v>47</v>
      </c>
      <c r="X812" s="4" t="s">
        <v>47</v>
      </c>
      <c r="Y812" s="4" t="s">
        <v>3299</v>
      </c>
      <c r="Z812" s="4" t="s">
        <v>2108</v>
      </c>
      <c r="AA812" s="6" t="n">
        <v>0</v>
      </c>
      <c r="AB812" s="6" t="n">
        <v>8480.44</v>
      </c>
      <c r="AC812" s="6" t="n">
        <v>4441.03</v>
      </c>
      <c r="AD812" s="14" t="b">
        <f aca="false">TRUE()</f>
        <v>1</v>
      </c>
    </row>
    <row r="813" customFormat="false" ht="15" hidden="false" customHeight="false" outlineLevel="0" collapsed="false">
      <c r="A813" s="14" t="b">
        <f aca="false">TRUE()</f>
        <v>1</v>
      </c>
      <c r="B813" s="14" t="b">
        <f aca="false">FALSE()</f>
        <v>0</v>
      </c>
      <c r="C813" s="4" t="n">
        <v>2</v>
      </c>
      <c r="D813" s="4"/>
      <c r="E813" s="4"/>
      <c r="F813" s="4"/>
      <c r="G813" s="4"/>
      <c r="H813" s="14" t="b">
        <f aca="false">FALSE()</f>
        <v>0</v>
      </c>
      <c r="I813" s="14" t="b">
        <f aca="false">FALSE()</f>
        <v>0</v>
      </c>
      <c r="J813" s="4"/>
      <c r="K813" s="4" t="s">
        <v>3300</v>
      </c>
      <c r="L813" s="4" t="s">
        <v>3301</v>
      </c>
      <c r="M813" s="4" t="s">
        <v>3302</v>
      </c>
      <c r="N813" s="6" t="n">
        <v>45084</v>
      </c>
      <c r="O813" s="6" t="n">
        <v>100706</v>
      </c>
      <c r="P813" s="4" t="s">
        <v>46</v>
      </c>
      <c r="Q813" s="6" t="n">
        <v>290000</v>
      </c>
      <c r="R813" s="15" t="n">
        <v>41618</v>
      </c>
      <c r="S813" s="6"/>
      <c r="T813" s="15"/>
      <c r="U813" s="6"/>
      <c r="V813" s="15"/>
      <c r="W813" s="4" t="s">
        <v>47</v>
      </c>
      <c r="X813" s="4" t="s">
        <v>47</v>
      </c>
      <c r="Y813" s="4" t="s">
        <v>3303</v>
      </c>
      <c r="Z813" s="4" t="s">
        <v>2108</v>
      </c>
      <c r="AA813" s="6" t="n">
        <v>0</v>
      </c>
      <c r="AB813" s="6" t="n">
        <v>8600.72</v>
      </c>
      <c r="AC813" s="6" t="n">
        <v>9191.27</v>
      </c>
      <c r="AD813" s="14" t="b">
        <f aca="false">FALSE()</f>
        <v>0</v>
      </c>
    </row>
    <row r="814" customFormat="false" ht="15" hidden="false" customHeight="false" outlineLevel="0" collapsed="false">
      <c r="A814" s="14" t="b">
        <f aca="false">TRUE()</f>
        <v>1</v>
      </c>
      <c r="B814" s="14" t="b">
        <f aca="false">FALSE()</f>
        <v>0</v>
      </c>
      <c r="C814" s="4" t="n">
        <v>2</v>
      </c>
      <c r="D814" s="4"/>
      <c r="E814" s="4"/>
      <c r="F814" s="4"/>
      <c r="G814" s="4"/>
      <c r="H814" s="14" t="b">
        <f aca="false">FALSE()</f>
        <v>0</v>
      </c>
      <c r="I814" s="14" t="b">
        <f aca="false">FALSE()</f>
        <v>0</v>
      </c>
      <c r="J814" s="4"/>
      <c r="K814" s="4" t="s">
        <v>3304</v>
      </c>
      <c r="L814" s="4" t="s">
        <v>3305</v>
      </c>
      <c r="M814" s="4" t="s">
        <v>3306</v>
      </c>
      <c r="N814" s="6" t="n">
        <v>26098</v>
      </c>
      <c r="O814" s="6" t="n">
        <v>92215</v>
      </c>
      <c r="P814" s="4" t="s">
        <v>46</v>
      </c>
      <c r="Q814" s="6" t="n">
        <v>270000</v>
      </c>
      <c r="R814" s="15" t="n">
        <v>43847</v>
      </c>
      <c r="S814" s="6" t="n">
        <v>254000</v>
      </c>
      <c r="T814" s="15" t="n">
        <v>44119</v>
      </c>
      <c r="U814" s="6" t="n">
        <v>17455.04</v>
      </c>
      <c r="V814" s="15" t="n">
        <v>45657</v>
      </c>
      <c r="W814" s="4" t="s">
        <v>47</v>
      </c>
      <c r="X814" s="4" t="s">
        <v>47</v>
      </c>
      <c r="Y814" s="4" t="s">
        <v>3307</v>
      </c>
      <c r="Z814" s="4" t="s">
        <v>1641</v>
      </c>
      <c r="AA814" s="6" t="n">
        <v>0</v>
      </c>
      <c r="AB814" s="6" t="n">
        <v>8387.54</v>
      </c>
      <c r="AC814" s="6" t="n">
        <v>4392.49</v>
      </c>
      <c r="AD814" s="14" t="b">
        <f aca="false">TRUE()</f>
        <v>1</v>
      </c>
    </row>
    <row r="815" customFormat="false" ht="15" hidden="false" customHeight="false" outlineLevel="0" collapsed="false">
      <c r="A815" s="14" t="b">
        <f aca="false">TRUE()</f>
        <v>1</v>
      </c>
      <c r="B815" s="14" t="b">
        <f aca="false">FALSE()</f>
        <v>0</v>
      </c>
      <c r="C815" s="4" t="n">
        <v>2</v>
      </c>
      <c r="D815" s="4"/>
      <c r="E815" s="4"/>
      <c r="F815" s="4"/>
      <c r="G815" s="4"/>
      <c r="H815" s="14" t="b">
        <f aca="false">FALSE()</f>
        <v>0</v>
      </c>
      <c r="I815" s="14" t="b">
        <f aca="false">FALSE()</f>
        <v>0</v>
      </c>
      <c r="J815" s="4"/>
      <c r="K815" s="4" t="s">
        <v>3308</v>
      </c>
      <c r="L815" s="4" t="s">
        <v>3309</v>
      </c>
      <c r="M815" s="4" t="s">
        <v>3310</v>
      </c>
      <c r="N815" s="6" t="n">
        <v>26098</v>
      </c>
      <c r="O815" s="6" t="n">
        <v>92215</v>
      </c>
      <c r="P815" s="4" t="s">
        <v>46</v>
      </c>
      <c r="Q815" s="6" t="n">
        <v>370000</v>
      </c>
      <c r="R815" s="15" t="n">
        <v>44721</v>
      </c>
      <c r="S815" s="6"/>
      <c r="T815" s="15"/>
      <c r="U815" s="6"/>
      <c r="V815" s="15"/>
      <c r="W815" s="4" t="s">
        <v>47</v>
      </c>
      <c r="X815" s="4" t="s">
        <v>47</v>
      </c>
      <c r="Y815" s="4" t="s">
        <v>3311</v>
      </c>
      <c r="Z815" s="4" t="s">
        <v>1641</v>
      </c>
      <c r="AA815" s="6" t="n">
        <v>0</v>
      </c>
      <c r="AB815" s="6" t="n">
        <v>8387.54</v>
      </c>
      <c r="AC815" s="6" t="n">
        <v>4392.49</v>
      </c>
      <c r="AD815" s="14" t="b">
        <f aca="false">TRUE()</f>
        <v>1</v>
      </c>
    </row>
    <row r="816" customFormat="false" ht="15" hidden="false" customHeight="false" outlineLevel="0" collapsed="false">
      <c r="A816" s="14" t="b">
        <f aca="false">TRUE()</f>
        <v>1</v>
      </c>
      <c r="B816" s="14" t="b">
        <f aca="false">FALSE()</f>
        <v>0</v>
      </c>
      <c r="C816" s="4" t="n">
        <v>3</v>
      </c>
      <c r="D816" s="4"/>
      <c r="E816" s="4"/>
      <c r="F816" s="4"/>
      <c r="G816" s="4" t="n">
        <v>2</v>
      </c>
      <c r="H816" s="14" t="b">
        <f aca="false">FALSE()</f>
        <v>0</v>
      </c>
      <c r="I816" s="14" t="b">
        <f aca="false">FALSE()</f>
        <v>0</v>
      </c>
      <c r="J816" s="4"/>
      <c r="K816" s="4" t="s">
        <v>3312</v>
      </c>
      <c r="L816" s="4" t="s">
        <v>3313</v>
      </c>
      <c r="M816" s="4" t="s">
        <v>3314</v>
      </c>
      <c r="N816" s="6" t="n">
        <v>26098</v>
      </c>
      <c r="O816" s="6" t="n">
        <v>93417</v>
      </c>
      <c r="P816" s="4" t="s">
        <v>46</v>
      </c>
      <c r="Q816" s="6" t="n">
        <v>369500</v>
      </c>
      <c r="R816" s="15" t="n">
        <v>44736</v>
      </c>
      <c r="S816" s="6" t="n">
        <v>295312</v>
      </c>
      <c r="T816" s="15" t="n">
        <v>44736</v>
      </c>
      <c r="U816" s="6"/>
      <c r="V816" s="15"/>
      <c r="W816" s="4" t="s">
        <v>47</v>
      </c>
      <c r="X816" s="4" t="s">
        <v>47</v>
      </c>
      <c r="Y816" s="4" t="s">
        <v>3315</v>
      </c>
      <c r="Z816" s="4" t="s">
        <v>1641</v>
      </c>
      <c r="AA816" s="6" t="n">
        <v>0</v>
      </c>
      <c r="AB816" s="6" t="n">
        <v>8478.94</v>
      </c>
      <c r="AC816" s="6" t="n">
        <v>9061.27</v>
      </c>
      <c r="AD816" s="14" t="b">
        <f aca="false">FALSE()</f>
        <v>0</v>
      </c>
    </row>
    <row r="817" customFormat="false" ht="15" hidden="false" customHeight="false" outlineLevel="0" collapsed="false">
      <c r="A817" s="14" t="b">
        <f aca="false">TRUE()</f>
        <v>1</v>
      </c>
      <c r="B817" s="14" t="b">
        <f aca="false">FALSE()</f>
        <v>0</v>
      </c>
      <c r="C817" s="4" t="n">
        <v>2</v>
      </c>
      <c r="D817" s="4"/>
      <c r="E817" s="4"/>
      <c r="F817" s="4"/>
      <c r="G817" s="4"/>
      <c r="H817" s="14" t="b">
        <f aca="false">FALSE()</f>
        <v>0</v>
      </c>
      <c r="I817" s="14" t="b">
        <f aca="false">FALSE()</f>
        <v>0</v>
      </c>
      <c r="J817" s="4"/>
      <c r="K817" s="4" t="s">
        <v>3316</v>
      </c>
      <c r="L817" s="4" t="s">
        <v>3317</v>
      </c>
      <c r="M817" s="4" t="s">
        <v>3318</v>
      </c>
      <c r="N817" s="6" t="n">
        <v>27544</v>
      </c>
      <c r="O817" s="6" t="n">
        <v>92916</v>
      </c>
      <c r="P817" s="4" t="s">
        <v>46</v>
      </c>
      <c r="Q817" s="6" t="n">
        <v>26666666666666.6</v>
      </c>
      <c r="R817" s="15" t="n">
        <v>44937</v>
      </c>
      <c r="S817" s="6" t="n">
        <v>304000</v>
      </c>
      <c r="T817" s="15" t="n">
        <v>45800</v>
      </c>
      <c r="U817" s="6"/>
      <c r="V817" s="15"/>
      <c r="W817" s="4" t="s">
        <v>47</v>
      </c>
      <c r="X817" s="4" t="s">
        <v>47</v>
      </c>
      <c r="Y817" s="4" t="s">
        <v>3319</v>
      </c>
      <c r="Z817" s="4" t="s">
        <v>1641</v>
      </c>
      <c r="AA817" s="6" t="n">
        <v>0</v>
      </c>
      <c r="AB817" s="6" t="n">
        <v>8550.78</v>
      </c>
      <c r="AC817" s="6" t="n">
        <v>4477.78</v>
      </c>
      <c r="AD817" s="14" t="b">
        <f aca="false">TRUE()</f>
        <v>1</v>
      </c>
    </row>
    <row r="818" customFormat="false" ht="15" hidden="false" customHeight="false" outlineLevel="0" collapsed="false">
      <c r="A818" s="14" t="b">
        <f aca="false">TRUE()</f>
        <v>1</v>
      </c>
      <c r="B818" s="14" t="b">
        <f aca="false">FALSE()</f>
        <v>0</v>
      </c>
      <c r="C818" s="4" t="n">
        <v>2</v>
      </c>
      <c r="D818" s="4"/>
      <c r="E818" s="4"/>
      <c r="F818" s="4"/>
      <c r="G818" s="4"/>
      <c r="H818" s="14" t="b">
        <f aca="false">FALSE()</f>
        <v>0</v>
      </c>
      <c r="I818" s="14" t="b">
        <f aca="false">FALSE()</f>
        <v>0</v>
      </c>
      <c r="J818" s="4"/>
      <c r="K818" s="4" t="s">
        <v>3320</v>
      </c>
      <c r="L818" s="4" t="s">
        <v>3321</v>
      </c>
      <c r="M818" s="4" t="s">
        <v>3322</v>
      </c>
      <c r="N818" s="6" t="n">
        <v>26142</v>
      </c>
      <c r="O818" s="6" t="n">
        <v>80808</v>
      </c>
      <c r="P818" s="4" t="s">
        <v>46</v>
      </c>
      <c r="Q818" s="6" t="n">
        <v>197000</v>
      </c>
      <c r="R818" s="15" t="n">
        <v>37537</v>
      </c>
      <c r="S818" s="6" t="n">
        <v>186202</v>
      </c>
      <c r="T818" s="15" t="n">
        <v>43371</v>
      </c>
      <c r="U818" s="6" t="n">
        <v>54017.53</v>
      </c>
      <c r="V818" s="15" t="n">
        <v>44993</v>
      </c>
      <c r="W818" s="4" t="s">
        <v>47</v>
      </c>
      <c r="X818" s="4" t="s">
        <v>58</v>
      </c>
      <c r="Y818" s="4" t="s">
        <v>3323</v>
      </c>
      <c r="Z818" s="4" t="s">
        <v>1641</v>
      </c>
      <c r="AA818" s="6" t="n">
        <v>0</v>
      </c>
      <c r="AB818" s="6" t="n">
        <v>7523.56</v>
      </c>
      <c r="AC818" s="6" t="n">
        <v>3941.06</v>
      </c>
      <c r="AD818" s="14" t="b">
        <f aca="false">TRUE()</f>
        <v>1</v>
      </c>
    </row>
    <row r="819" customFormat="false" ht="15" hidden="false" customHeight="false" outlineLevel="0" collapsed="false">
      <c r="A819" s="14" t="b">
        <f aca="false">TRUE()</f>
        <v>1</v>
      </c>
      <c r="B819" s="14" t="b">
        <f aca="false">FALSE()</f>
        <v>0</v>
      </c>
      <c r="C819" s="4" t="n">
        <v>2</v>
      </c>
      <c r="D819" s="4"/>
      <c r="E819" s="4"/>
      <c r="F819" s="4"/>
      <c r="G819" s="4"/>
      <c r="H819" s="14" t="b">
        <f aca="false">FALSE()</f>
        <v>0</v>
      </c>
      <c r="I819" s="14" t="b">
        <f aca="false">FALSE()</f>
        <v>0</v>
      </c>
      <c r="J819" s="4"/>
      <c r="K819" s="4" t="s">
        <v>3324</v>
      </c>
      <c r="L819" s="4" t="s">
        <v>3325</v>
      </c>
      <c r="M819" s="4" t="s">
        <v>3326</v>
      </c>
      <c r="N819" s="6" t="n">
        <v>18686</v>
      </c>
      <c r="O819" s="6" t="n">
        <v>62979</v>
      </c>
      <c r="P819" s="4" t="s">
        <v>46</v>
      </c>
      <c r="Q819" s="6" t="n">
        <v>162000</v>
      </c>
      <c r="R819" s="15" t="n">
        <v>42690</v>
      </c>
      <c r="S819" s="6"/>
      <c r="T819" s="15"/>
      <c r="U819" s="6"/>
      <c r="V819" s="15"/>
      <c r="W819" s="4" t="s">
        <v>47</v>
      </c>
      <c r="X819" s="4" t="s">
        <v>58</v>
      </c>
      <c r="Y819" s="4" t="s">
        <v>3327</v>
      </c>
      <c r="Z819" s="4" t="s">
        <v>1641</v>
      </c>
      <c r="AA819" s="6" t="n">
        <v>0</v>
      </c>
      <c r="AB819" s="6" t="n">
        <v>5601.04</v>
      </c>
      <c r="AC819" s="6" t="n">
        <v>5989.11</v>
      </c>
      <c r="AD819" s="14" t="b">
        <f aca="false">FALSE()</f>
        <v>0</v>
      </c>
    </row>
    <row r="820" customFormat="false" ht="15" hidden="false" customHeight="false" outlineLevel="0" collapsed="false">
      <c r="A820" s="14" t="b">
        <f aca="false">TRUE()</f>
        <v>1</v>
      </c>
      <c r="B820" s="14" t="b">
        <f aca="false">FALSE()</f>
        <v>0</v>
      </c>
      <c r="C820" s="4" t="n">
        <v>2</v>
      </c>
      <c r="D820" s="4"/>
      <c r="E820" s="4"/>
      <c r="F820" s="4"/>
      <c r="G820" s="4" t="n">
        <v>2</v>
      </c>
      <c r="H820" s="14" t="b">
        <f aca="false">TRUE()</f>
        <v>1</v>
      </c>
      <c r="I820" s="14" t="b">
        <f aca="false">FALSE()</f>
        <v>0</v>
      </c>
      <c r="J820" s="4"/>
      <c r="K820" s="4" t="s">
        <v>3328</v>
      </c>
      <c r="L820" s="4" t="s">
        <v>3329</v>
      </c>
      <c r="M820" s="4" t="s">
        <v>3330</v>
      </c>
      <c r="N820" s="6" t="n">
        <v>5520</v>
      </c>
      <c r="O820" s="6" t="n">
        <v>58639</v>
      </c>
      <c r="P820" s="4" t="s">
        <v>46</v>
      </c>
      <c r="Q820" s="6" t="n">
        <v>114500</v>
      </c>
      <c r="R820" s="15" t="n">
        <v>42101</v>
      </c>
      <c r="S820" s="6"/>
      <c r="T820" s="15"/>
      <c r="U820" s="6"/>
      <c r="V820" s="15"/>
      <c r="W820" s="4" t="s">
        <v>47</v>
      </c>
      <c r="X820" s="4" t="s">
        <v>47</v>
      </c>
      <c r="Y820" s="4" t="s">
        <v>3331</v>
      </c>
      <c r="Z820" s="4" t="s">
        <v>1641</v>
      </c>
      <c r="AA820" s="6" t="n">
        <v>0</v>
      </c>
      <c r="AB820" s="6" t="n">
        <v>4270</v>
      </c>
      <c r="AC820" s="6" t="n">
        <v>4568.23</v>
      </c>
      <c r="AD820" s="14" t="b">
        <f aca="false">FALSE()</f>
        <v>0</v>
      </c>
    </row>
    <row r="821" customFormat="false" ht="15" hidden="false" customHeight="false" outlineLevel="0" collapsed="false">
      <c r="A821" s="14" t="b">
        <f aca="false">TRUE()</f>
        <v>1</v>
      </c>
      <c r="B821" s="14" t="b">
        <f aca="false">FALSE()</f>
        <v>0</v>
      </c>
      <c r="C821" s="4" t="n">
        <v>3</v>
      </c>
      <c r="D821" s="4"/>
      <c r="E821" s="4"/>
      <c r="F821" s="4"/>
      <c r="G821" s="4"/>
      <c r="H821" s="14" t="b">
        <f aca="false">FALSE()</f>
        <v>0</v>
      </c>
      <c r="I821" s="14" t="b">
        <f aca="false">FALSE()</f>
        <v>0</v>
      </c>
      <c r="J821" s="4"/>
      <c r="K821" s="4" t="s">
        <v>3332</v>
      </c>
      <c r="L821" s="4" t="s">
        <v>3333</v>
      </c>
      <c r="M821" s="4" t="s">
        <v>3334</v>
      </c>
      <c r="N821" s="6" t="n">
        <v>15314</v>
      </c>
      <c r="O821" s="6" t="n">
        <v>64348</v>
      </c>
      <c r="P821" s="4" t="s">
        <v>46</v>
      </c>
      <c r="Q821" s="6" t="n">
        <v>159000</v>
      </c>
      <c r="R821" s="15" t="n">
        <v>36538</v>
      </c>
      <c r="S821" s="6" t="n">
        <v>137000</v>
      </c>
      <c r="T821" s="15" t="n">
        <v>38989</v>
      </c>
      <c r="U821" s="6"/>
      <c r="V821" s="15"/>
      <c r="W821" s="4" t="s">
        <v>47</v>
      </c>
      <c r="X821" s="4" t="s">
        <v>47</v>
      </c>
      <c r="Y821" s="4" t="s">
        <v>3335</v>
      </c>
      <c r="Z821" s="4" t="s">
        <v>1641</v>
      </c>
      <c r="AA821" s="6" t="n">
        <v>0</v>
      </c>
      <c r="AB821" s="6" t="n">
        <v>4840.48</v>
      </c>
      <c r="AC821" s="6" t="n">
        <v>5177.21</v>
      </c>
      <c r="AD821" s="14" t="b">
        <f aca="false">FALSE()</f>
        <v>0</v>
      </c>
    </row>
    <row r="822" customFormat="false" ht="15" hidden="false" customHeight="false" outlineLevel="0" collapsed="false">
      <c r="A822" s="14" t="b">
        <f aca="false">TRUE()</f>
        <v>1</v>
      </c>
      <c r="B822" s="14" t="b">
        <f aca="false">FALSE()</f>
        <v>0</v>
      </c>
      <c r="C822" s="4" t="n">
        <v>2</v>
      </c>
      <c r="D822" s="4"/>
      <c r="E822" s="4"/>
      <c r="F822" s="4"/>
      <c r="G822" s="4"/>
      <c r="H822" s="14" t="b">
        <f aca="false">FALSE()</f>
        <v>0</v>
      </c>
      <c r="I822" s="14" t="b">
        <f aca="false">FALSE()</f>
        <v>0</v>
      </c>
      <c r="J822" s="4"/>
      <c r="K822" s="4" t="s">
        <v>3336</v>
      </c>
      <c r="L822" s="4" t="s">
        <v>3337</v>
      </c>
      <c r="M822" s="4" t="s">
        <v>3338</v>
      </c>
      <c r="N822" s="6" t="n">
        <v>14891</v>
      </c>
      <c r="O822" s="6" t="n">
        <v>59295</v>
      </c>
      <c r="P822" s="4" t="s">
        <v>46</v>
      </c>
      <c r="Q822" s="6" t="n">
        <v>285000</v>
      </c>
      <c r="R822" s="15" t="n">
        <v>45518</v>
      </c>
      <c r="S822" s="6" t="n">
        <v>213600</v>
      </c>
      <c r="T822" s="15" t="n">
        <v>45518</v>
      </c>
      <c r="U822" s="6"/>
      <c r="V822" s="15"/>
      <c r="W822" s="4" t="s">
        <v>47</v>
      </c>
      <c r="X822" s="4" t="s">
        <v>47</v>
      </c>
      <c r="Y822" s="4" t="s">
        <v>3339</v>
      </c>
      <c r="Z822" s="4" t="s">
        <v>1641</v>
      </c>
      <c r="AA822" s="6" t="n">
        <v>0</v>
      </c>
      <c r="AB822" s="6" t="n">
        <v>5032.38</v>
      </c>
      <c r="AC822" s="6" t="n">
        <v>2639.42</v>
      </c>
      <c r="AD822" s="14" t="b">
        <f aca="false">TRUE()</f>
        <v>1</v>
      </c>
    </row>
    <row r="823" customFormat="false" ht="15" hidden="false" customHeight="false" outlineLevel="0" collapsed="false">
      <c r="A823" s="14" t="b">
        <f aca="false">TRUE()</f>
        <v>1</v>
      </c>
      <c r="B823" s="14" t="b">
        <f aca="false">FALSE()</f>
        <v>0</v>
      </c>
      <c r="C823" s="4" t="n">
        <v>3</v>
      </c>
      <c r="D823" s="4"/>
      <c r="E823" s="4"/>
      <c r="F823" s="4"/>
      <c r="G823" s="4"/>
      <c r="H823" s="14" t="b">
        <f aca="false">TRUE()</f>
        <v>1</v>
      </c>
      <c r="I823" s="14" t="b">
        <f aca="false">FALSE()</f>
        <v>0</v>
      </c>
      <c r="J823" s="4"/>
      <c r="K823" s="4" t="s">
        <v>3340</v>
      </c>
      <c r="L823" s="4" t="s">
        <v>3341</v>
      </c>
      <c r="M823" s="4" t="s">
        <v>3342</v>
      </c>
      <c r="N823" s="6" t="n">
        <v>21357</v>
      </c>
      <c r="O823" s="6" t="n">
        <v>122141</v>
      </c>
      <c r="P823" s="4" t="s">
        <v>46</v>
      </c>
      <c r="Q823" s="6" t="n">
        <v>330000</v>
      </c>
      <c r="R823" s="15" t="n">
        <v>43830</v>
      </c>
      <c r="S823" s="6"/>
      <c r="T823" s="15"/>
      <c r="U823" s="6"/>
      <c r="V823" s="15"/>
      <c r="W823" s="4" t="s">
        <v>47</v>
      </c>
      <c r="X823" s="4" t="s">
        <v>47</v>
      </c>
      <c r="Y823" s="4" t="s">
        <v>3343</v>
      </c>
      <c r="Z823" s="4" t="s">
        <v>1641</v>
      </c>
      <c r="AA823" s="6" t="n">
        <v>0</v>
      </c>
      <c r="AB823" s="6" t="n">
        <v>9960.6</v>
      </c>
      <c r="AC823" s="6" t="n">
        <v>10642.94</v>
      </c>
      <c r="AD823" s="14" t="b">
        <f aca="false">FALSE()</f>
        <v>0</v>
      </c>
    </row>
    <row r="824" customFormat="false" ht="15" hidden="false" customHeight="false" outlineLevel="0" collapsed="false">
      <c r="A824" s="14" t="b">
        <f aca="false">TRUE()</f>
        <v>1</v>
      </c>
      <c r="B824" s="14" t="b">
        <f aca="false">FALSE()</f>
        <v>0</v>
      </c>
      <c r="C824" s="4" t="n">
        <v>2</v>
      </c>
      <c r="D824" s="4"/>
      <c r="E824" s="4"/>
      <c r="F824" s="4"/>
      <c r="G824" s="4"/>
      <c r="H824" s="14" t="b">
        <f aca="false">TRUE()</f>
        <v>1</v>
      </c>
      <c r="I824" s="14" t="b">
        <f aca="false">FALSE()</f>
        <v>0</v>
      </c>
      <c r="J824" s="4"/>
      <c r="K824" s="4" t="s">
        <v>3344</v>
      </c>
      <c r="L824" s="4" t="s">
        <v>3345</v>
      </c>
      <c r="M824" s="4" t="s">
        <v>3346</v>
      </c>
      <c r="N824" s="6" t="n">
        <v>30549</v>
      </c>
      <c r="O824" s="6" t="n">
        <v>70146</v>
      </c>
      <c r="P824" s="4" t="s">
        <v>46</v>
      </c>
      <c r="Q824" s="6" t="n">
        <v>172500</v>
      </c>
      <c r="R824" s="15" t="n">
        <v>37568</v>
      </c>
      <c r="S824" s="6"/>
      <c r="T824" s="15"/>
      <c r="U824" s="6"/>
      <c r="V824" s="15"/>
      <c r="W824" s="4" t="s">
        <v>47</v>
      </c>
      <c r="X824" s="4" t="s">
        <v>47</v>
      </c>
      <c r="Y824" s="4" t="s">
        <v>3347</v>
      </c>
      <c r="Z824" s="4" t="s">
        <v>1641</v>
      </c>
      <c r="AA824" s="6" t="n">
        <v>0</v>
      </c>
      <c r="AB824" s="6" t="n">
        <v>7047.98</v>
      </c>
      <c r="AC824" s="6" t="n">
        <v>3692.57</v>
      </c>
      <c r="AD824" s="14" t="b">
        <f aca="false">TRUE()</f>
        <v>1</v>
      </c>
    </row>
    <row r="825" customFormat="false" ht="15" hidden="false" customHeight="false" outlineLevel="0" collapsed="false">
      <c r="A825" s="14" t="b">
        <f aca="false">TRUE()</f>
        <v>1</v>
      </c>
      <c r="B825" s="14" t="b">
        <f aca="false">FALSE()</f>
        <v>0</v>
      </c>
      <c r="C825" s="4" t="n">
        <v>3</v>
      </c>
      <c r="D825" s="4"/>
      <c r="E825" s="4"/>
      <c r="F825" s="4"/>
      <c r="G825" s="4" t="n">
        <v>2</v>
      </c>
      <c r="H825" s="14" t="b">
        <f aca="false">TRUE()</f>
        <v>1</v>
      </c>
      <c r="I825" s="14" t="b">
        <f aca="false">FALSE()</f>
        <v>0</v>
      </c>
      <c r="J825" s="4"/>
      <c r="K825" s="4" t="s">
        <v>3348</v>
      </c>
      <c r="L825" s="4" t="s">
        <v>3349</v>
      </c>
      <c r="M825" s="4" t="s">
        <v>3350</v>
      </c>
      <c r="N825" s="6" t="n">
        <v>28602</v>
      </c>
      <c r="O825" s="6" t="n">
        <v>49624</v>
      </c>
      <c r="P825" s="4" t="s">
        <v>46</v>
      </c>
      <c r="Q825" s="6" t="n">
        <v>205000</v>
      </c>
      <c r="R825" s="15" t="n">
        <v>44477</v>
      </c>
      <c r="S825" s="6" t="n">
        <v>164000</v>
      </c>
      <c r="T825" s="15" t="n">
        <v>44477</v>
      </c>
      <c r="U825" s="6"/>
      <c r="V825" s="15"/>
      <c r="W825" s="4" t="s">
        <v>47</v>
      </c>
      <c r="X825" s="4" t="s">
        <v>47</v>
      </c>
      <c r="Y825" s="4" t="s">
        <v>3351</v>
      </c>
      <c r="Z825" s="4" t="s">
        <v>1641</v>
      </c>
      <c r="AA825" s="6" t="n">
        <v>0</v>
      </c>
      <c r="AB825" s="6" t="n">
        <v>5947.86</v>
      </c>
      <c r="AC825" s="6" t="n">
        <v>6359.34</v>
      </c>
      <c r="AD825" s="14" t="b">
        <f aca="false">FALSE()</f>
        <v>0</v>
      </c>
    </row>
    <row r="826" customFormat="false" ht="15" hidden="false" customHeight="false" outlineLevel="0" collapsed="false">
      <c r="A826" s="14" t="b">
        <f aca="false">TRUE()</f>
        <v>1</v>
      </c>
      <c r="B826" s="14" t="b">
        <f aca="false">FALSE()</f>
        <v>0</v>
      </c>
      <c r="C826" s="4" t="n">
        <v>2</v>
      </c>
      <c r="D826" s="4"/>
      <c r="E826" s="4"/>
      <c r="F826" s="4"/>
      <c r="G826" s="4"/>
      <c r="H826" s="14" t="b">
        <f aca="false">TRUE()</f>
        <v>1</v>
      </c>
      <c r="I826" s="14" t="b">
        <f aca="false">FALSE()</f>
        <v>0</v>
      </c>
      <c r="J826" s="4"/>
      <c r="K826" s="4" t="s">
        <v>3352</v>
      </c>
      <c r="L826" s="4" t="s">
        <v>3353</v>
      </c>
      <c r="M826" s="4" t="s">
        <v>3354</v>
      </c>
      <c r="N826" s="6" t="n">
        <v>25352</v>
      </c>
      <c r="O826" s="6" t="n">
        <v>74030</v>
      </c>
      <c r="P826" s="4" t="s">
        <v>46</v>
      </c>
      <c r="Q826" s="6"/>
      <c r="R826" s="15"/>
      <c r="S826" s="6" t="n">
        <v>324000</v>
      </c>
      <c r="T826" s="15" t="n">
        <v>43606</v>
      </c>
      <c r="U826" s="6"/>
      <c r="V826" s="15"/>
      <c r="W826" s="4" t="s">
        <v>58</v>
      </c>
      <c r="X826" s="4" t="s">
        <v>47</v>
      </c>
      <c r="Y826" s="4" t="s">
        <v>3355</v>
      </c>
      <c r="Z826" s="4" t="s">
        <v>1641</v>
      </c>
      <c r="AA826" s="6" t="n">
        <v>0</v>
      </c>
      <c r="AB826" s="6" t="n">
        <v>6948.14</v>
      </c>
      <c r="AC826" s="6" t="n">
        <v>3640.4</v>
      </c>
      <c r="AD826" s="14" t="b">
        <f aca="false">TRUE()</f>
        <v>1</v>
      </c>
    </row>
    <row r="827" customFormat="false" ht="15" hidden="false" customHeight="false" outlineLevel="0" collapsed="false">
      <c r="A827" s="14" t="b">
        <f aca="false">TRUE()</f>
        <v>1</v>
      </c>
      <c r="B827" s="14" t="b">
        <f aca="false">FALSE()</f>
        <v>0</v>
      </c>
      <c r="C827" s="4" t="n">
        <v>2</v>
      </c>
      <c r="D827" s="4"/>
      <c r="E827" s="4"/>
      <c r="F827" s="4"/>
      <c r="G827" s="4"/>
      <c r="H827" s="14" t="b">
        <f aca="false">FALSE()</f>
        <v>0</v>
      </c>
      <c r="I827" s="14" t="b">
        <f aca="false">FALSE()</f>
        <v>0</v>
      </c>
      <c r="J827" s="4"/>
      <c r="K827" s="4" t="s">
        <v>3356</v>
      </c>
      <c r="L827" s="4" t="s">
        <v>3357</v>
      </c>
      <c r="M827" s="4" t="s">
        <v>3358</v>
      </c>
      <c r="N827" s="6" t="n">
        <v>26420</v>
      </c>
      <c r="O827" s="6" t="n">
        <v>66195</v>
      </c>
      <c r="P827" s="4" t="s">
        <v>46</v>
      </c>
      <c r="Q827" s="6" t="n">
        <v>149000</v>
      </c>
      <c r="R827" s="15" t="n">
        <v>36747</v>
      </c>
      <c r="S827" s="6"/>
      <c r="T827" s="15"/>
      <c r="U827" s="6"/>
      <c r="V827" s="15"/>
      <c r="W827" s="4" t="s">
        <v>58</v>
      </c>
      <c r="X827" s="4" t="s">
        <v>58</v>
      </c>
      <c r="Y827" s="4" t="s">
        <v>3359</v>
      </c>
      <c r="Z827" s="4" t="s">
        <v>1641</v>
      </c>
      <c r="AA827" s="6" t="n">
        <v>0</v>
      </c>
      <c r="AB827" s="6" t="n">
        <v>6433.62</v>
      </c>
      <c r="AC827" s="6" t="n">
        <v>6877.89</v>
      </c>
      <c r="AD827" s="14" t="b">
        <f aca="false">FALSE()</f>
        <v>0</v>
      </c>
    </row>
    <row r="828" customFormat="false" ht="15" hidden="false" customHeight="false" outlineLevel="0" collapsed="false">
      <c r="A828" s="14" t="b">
        <f aca="false">TRUE()</f>
        <v>1</v>
      </c>
      <c r="B828" s="14" t="b">
        <f aca="false">FALSE()</f>
        <v>0</v>
      </c>
      <c r="C828" s="4" t="n">
        <v>2</v>
      </c>
      <c r="D828" s="4"/>
      <c r="E828" s="4"/>
      <c r="F828" s="4"/>
      <c r="G828" s="4"/>
      <c r="H828" s="14" t="b">
        <f aca="false">FALSE()</f>
        <v>0</v>
      </c>
      <c r="I828" s="14" t="b">
        <f aca="false">FALSE()</f>
        <v>0</v>
      </c>
      <c r="J828" s="4"/>
      <c r="K828" s="4" t="s">
        <v>3360</v>
      </c>
      <c r="L828" s="4" t="s">
        <v>3361</v>
      </c>
      <c r="M828" s="4" t="s">
        <v>3362</v>
      </c>
      <c r="N828" s="6" t="n">
        <v>30549</v>
      </c>
      <c r="O828" s="6" t="n">
        <v>76122</v>
      </c>
      <c r="P828" s="4" t="s">
        <v>46</v>
      </c>
      <c r="Q828" s="6" t="n">
        <v>348000</v>
      </c>
      <c r="R828" s="15" t="n">
        <v>45181</v>
      </c>
      <c r="S828" s="6" t="n">
        <v>295800</v>
      </c>
      <c r="T828" s="15" t="n">
        <v>45181</v>
      </c>
      <c r="U828" s="6"/>
      <c r="V828" s="15"/>
      <c r="W828" s="4" t="s">
        <v>47</v>
      </c>
      <c r="X828" s="4" t="s">
        <v>47</v>
      </c>
      <c r="Y828" s="4" t="s">
        <v>3363</v>
      </c>
      <c r="Z828" s="4" t="s">
        <v>1641</v>
      </c>
      <c r="AA828" s="6" t="n">
        <v>0</v>
      </c>
      <c r="AB828" s="6" t="n">
        <v>7502.34</v>
      </c>
      <c r="AC828" s="6" t="n">
        <v>3929.97</v>
      </c>
      <c r="AD828" s="14" t="b">
        <f aca="false">TRUE()</f>
        <v>1</v>
      </c>
    </row>
    <row r="829" customFormat="false" ht="15" hidden="false" customHeight="false" outlineLevel="0" collapsed="false">
      <c r="A829" s="14" t="b">
        <f aca="false">TRUE()</f>
        <v>1</v>
      </c>
      <c r="B829" s="14" t="b">
        <f aca="false">FALSE()</f>
        <v>0</v>
      </c>
      <c r="C829" s="4" t="n">
        <v>2</v>
      </c>
      <c r="D829" s="4"/>
      <c r="E829" s="4"/>
      <c r="F829" s="4"/>
      <c r="G829" s="4"/>
      <c r="H829" s="14" t="b">
        <f aca="false">FALSE()</f>
        <v>0</v>
      </c>
      <c r="I829" s="14" t="b">
        <f aca="false">FALSE()</f>
        <v>0</v>
      </c>
      <c r="J829" s="4"/>
      <c r="K829" s="4" t="s">
        <v>3364</v>
      </c>
      <c r="L829" s="4" t="s">
        <v>3365</v>
      </c>
      <c r="M829" s="4" t="s">
        <v>3366</v>
      </c>
      <c r="N829" s="6" t="n">
        <v>41956</v>
      </c>
      <c r="O829" s="6" t="n">
        <v>114217</v>
      </c>
      <c r="P829" s="4" t="s">
        <v>46</v>
      </c>
      <c r="Q829" s="6" t="n">
        <v>196500</v>
      </c>
      <c r="R829" s="15" t="n">
        <v>35747</v>
      </c>
      <c r="S829" s="6"/>
      <c r="T829" s="15"/>
      <c r="U829" s="6"/>
      <c r="V829" s="15"/>
      <c r="W829" s="4" t="s">
        <v>47</v>
      </c>
      <c r="X829" s="4" t="s">
        <v>47</v>
      </c>
      <c r="Y829" s="4" t="s">
        <v>3367</v>
      </c>
      <c r="Z829" s="4" t="s">
        <v>1641</v>
      </c>
      <c r="AA829" s="6" t="n">
        <v>0</v>
      </c>
      <c r="AB829" s="6" t="n">
        <v>10657.94</v>
      </c>
      <c r="AC829" s="6" t="n">
        <v>5896.59</v>
      </c>
      <c r="AD829" s="14" t="b">
        <f aca="false">TRUE()</f>
        <v>1</v>
      </c>
    </row>
    <row r="830" customFormat="false" ht="15" hidden="false" customHeight="false" outlineLevel="0" collapsed="false">
      <c r="A830" s="14" t="b">
        <f aca="false">TRUE()</f>
        <v>1</v>
      </c>
      <c r="B830" s="14" t="b">
        <f aca="false">FALSE()</f>
        <v>0</v>
      </c>
      <c r="C830" s="4" t="n">
        <v>2</v>
      </c>
      <c r="D830" s="4"/>
      <c r="E830" s="4"/>
      <c r="F830" s="4"/>
      <c r="G830" s="4"/>
      <c r="H830" s="14" t="b">
        <f aca="false">FALSE()</f>
        <v>0</v>
      </c>
      <c r="I830" s="14" t="b">
        <f aca="false">FALSE()</f>
        <v>0</v>
      </c>
      <c r="J830" s="4"/>
      <c r="K830" s="4" t="s">
        <v>3368</v>
      </c>
      <c r="L830" s="4" t="s">
        <v>3369</v>
      </c>
      <c r="M830" s="4" t="s">
        <v>3370</v>
      </c>
      <c r="N830" s="6" t="n">
        <v>38061</v>
      </c>
      <c r="O830" s="6" t="n">
        <v>119392</v>
      </c>
      <c r="P830" s="4" t="s">
        <v>46</v>
      </c>
      <c r="Q830" s="6" t="n">
        <v>1896</v>
      </c>
      <c r="R830" s="15" t="n">
        <v>45856</v>
      </c>
      <c r="S830" s="6" t="n">
        <v>600875</v>
      </c>
      <c r="T830" s="15" t="n">
        <v>45856</v>
      </c>
      <c r="U830" s="6"/>
      <c r="V830" s="15"/>
      <c r="W830" s="4" t="s">
        <v>58</v>
      </c>
      <c r="X830" s="4" t="s">
        <v>58</v>
      </c>
      <c r="Y830" s="4" t="s">
        <v>3371</v>
      </c>
      <c r="Z830" s="4" t="s">
        <v>1641</v>
      </c>
      <c r="AA830" s="6" t="n">
        <v>0</v>
      </c>
      <c r="AB830" s="6" t="n">
        <v>11363.5</v>
      </c>
      <c r="AC830" s="6" t="n">
        <v>5947.43</v>
      </c>
      <c r="AD830" s="14" t="b">
        <f aca="false">TRUE()</f>
        <v>1</v>
      </c>
    </row>
    <row r="831" customFormat="false" ht="15" hidden="false" customHeight="false" outlineLevel="0" collapsed="false">
      <c r="A831" s="14" t="b">
        <f aca="false">TRUE()</f>
        <v>1</v>
      </c>
      <c r="B831" s="14" t="b">
        <f aca="false">FALSE()</f>
        <v>0</v>
      </c>
      <c r="C831" s="4" t="n">
        <v>2</v>
      </c>
      <c r="D831" s="4"/>
      <c r="E831" s="4"/>
      <c r="F831" s="4"/>
      <c r="G831" s="4"/>
      <c r="H831" s="14" t="b">
        <f aca="false">FALSE()</f>
        <v>0</v>
      </c>
      <c r="I831" s="14" t="b">
        <f aca="false">FALSE()</f>
        <v>0</v>
      </c>
      <c r="J831" s="4"/>
      <c r="K831" s="4" t="s">
        <v>3372</v>
      </c>
      <c r="L831" s="4" t="s">
        <v>3373</v>
      </c>
      <c r="M831" s="4" t="s">
        <v>3374</v>
      </c>
      <c r="N831" s="6" t="n">
        <v>25886</v>
      </c>
      <c r="O831" s="6" t="n">
        <v>80340</v>
      </c>
      <c r="P831" s="4" t="s">
        <v>46</v>
      </c>
      <c r="Q831" s="6" t="n">
        <v>182000</v>
      </c>
      <c r="R831" s="15" t="n">
        <v>41467</v>
      </c>
      <c r="S831" s="6"/>
      <c r="T831" s="15"/>
      <c r="U831" s="6"/>
      <c r="V831" s="15"/>
      <c r="W831" s="4" t="s">
        <v>47</v>
      </c>
      <c r="X831" s="4" t="s">
        <v>47</v>
      </c>
      <c r="Y831" s="4" t="s">
        <v>3375</v>
      </c>
      <c r="Z831" s="4" t="s">
        <v>1641</v>
      </c>
      <c r="AA831" s="6" t="n">
        <v>0</v>
      </c>
      <c r="AB831" s="6" t="n">
        <v>7468.54</v>
      </c>
      <c r="AC831" s="6" t="n">
        <v>7982.66</v>
      </c>
      <c r="AD831" s="14" t="b">
        <f aca="false">FALSE()</f>
        <v>0</v>
      </c>
    </row>
    <row r="832" customFormat="false" ht="15" hidden="false" customHeight="false" outlineLevel="0" collapsed="false">
      <c r="A832" s="14" t="b">
        <f aca="false">TRUE()</f>
        <v>1</v>
      </c>
      <c r="B832" s="14" t="b">
        <f aca="false">FALSE()</f>
        <v>0</v>
      </c>
      <c r="C832" s="4" t="n">
        <v>3</v>
      </c>
      <c r="D832" s="4"/>
      <c r="E832" s="4"/>
      <c r="F832" s="4"/>
      <c r="G832" s="4" t="n">
        <v>3</v>
      </c>
      <c r="H832" s="14" t="b">
        <f aca="false">FALSE()</f>
        <v>0</v>
      </c>
      <c r="I832" s="14" t="b">
        <f aca="false">FALSE()</f>
        <v>0</v>
      </c>
      <c r="J832" s="4"/>
      <c r="K832" s="4" t="s">
        <v>3376</v>
      </c>
      <c r="L832" s="4" t="s">
        <v>3377</v>
      </c>
      <c r="M832" s="4" t="s">
        <v>3378</v>
      </c>
      <c r="N832" s="6" t="n">
        <v>25886</v>
      </c>
      <c r="O832" s="6" t="n">
        <v>71916</v>
      </c>
      <c r="P832" s="4" t="s">
        <v>46</v>
      </c>
      <c r="Q832" s="6"/>
      <c r="R832" s="15"/>
      <c r="S832" s="6" t="n">
        <v>23161.09</v>
      </c>
      <c r="T832" s="15" t="n">
        <v>45134</v>
      </c>
      <c r="U832" s="6"/>
      <c r="V832" s="15"/>
      <c r="W832" s="4" t="s">
        <v>47</v>
      </c>
      <c r="X832" s="4" t="s">
        <v>47</v>
      </c>
      <c r="Y832" s="4" t="s">
        <v>3379</v>
      </c>
      <c r="Z832" s="4" t="s">
        <v>1641</v>
      </c>
      <c r="AA832" s="6" t="n">
        <v>0</v>
      </c>
      <c r="AB832" s="6" t="n">
        <v>4580.28</v>
      </c>
      <c r="AC832" s="6" t="n">
        <v>4899.45</v>
      </c>
      <c r="AD832" s="14" t="b">
        <f aca="false">FALSE()</f>
        <v>0</v>
      </c>
    </row>
    <row r="833" customFormat="false" ht="15" hidden="false" customHeight="false" outlineLevel="0" collapsed="false">
      <c r="A833" s="14" t="b">
        <f aca="false">TRUE()</f>
        <v>1</v>
      </c>
      <c r="B833" s="14" t="b">
        <f aca="false">FALSE()</f>
        <v>0</v>
      </c>
      <c r="C833" s="4" t="n">
        <v>3</v>
      </c>
      <c r="D833" s="4"/>
      <c r="E833" s="4"/>
      <c r="F833" s="4"/>
      <c r="G833" s="4" t="n">
        <v>3</v>
      </c>
      <c r="H833" s="14" t="b">
        <f aca="false">FALSE()</f>
        <v>0</v>
      </c>
      <c r="I833" s="14" t="b">
        <f aca="false">FALSE()</f>
        <v>0</v>
      </c>
      <c r="J833" s="4"/>
      <c r="K833" s="4" t="s">
        <v>3380</v>
      </c>
      <c r="L833" s="4" t="s">
        <v>3381</v>
      </c>
      <c r="M833" s="4" t="s">
        <v>3382</v>
      </c>
      <c r="N833" s="6" t="n">
        <v>45874</v>
      </c>
      <c r="O833" s="6" t="n">
        <v>168070</v>
      </c>
      <c r="P833" s="4" t="s">
        <v>46</v>
      </c>
      <c r="Q833" s="6" t="n">
        <v>585000</v>
      </c>
      <c r="R833" s="15" t="n">
        <v>38909</v>
      </c>
      <c r="S833" s="6"/>
      <c r="T833" s="15"/>
      <c r="U833" s="6"/>
      <c r="V833" s="15"/>
      <c r="W833" s="4" t="s">
        <v>47</v>
      </c>
      <c r="X833" s="4" t="s">
        <v>47</v>
      </c>
      <c r="Y833" s="4" t="s">
        <v>3383</v>
      </c>
      <c r="Z833" s="4" t="s">
        <v>1641</v>
      </c>
      <c r="AA833" s="6" t="n">
        <v>0</v>
      </c>
      <c r="AB833" s="6" t="n">
        <v>15658.76</v>
      </c>
      <c r="AC833" s="6" t="n">
        <v>16725.72</v>
      </c>
      <c r="AD833" s="14" t="b">
        <f aca="false">FALSE()</f>
        <v>0</v>
      </c>
    </row>
    <row r="834" customFormat="false" ht="15" hidden="false" customHeight="false" outlineLevel="0" collapsed="false">
      <c r="A834" s="14" t="b">
        <f aca="false">TRUE()</f>
        <v>1</v>
      </c>
      <c r="B834" s="14" t="b">
        <f aca="false">FALSE()</f>
        <v>0</v>
      </c>
      <c r="C834" s="4" t="n">
        <v>2</v>
      </c>
      <c r="D834" s="4"/>
      <c r="E834" s="4"/>
      <c r="F834" s="4"/>
      <c r="G834" s="4" t="n">
        <v>2</v>
      </c>
      <c r="H834" s="14" t="b">
        <f aca="false">TRUE()</f>
        <v>1</v>
      </c>
      <c r="I834" s="14" t="b">
        <f aca="false">FALSE()</f>
        <v>0</v>
      </c>
      <c r="J834" s="4"/>
      <c r="K834" s="4" t="s">
        <v>3384</v>
      </c>
      <c r="L834" s="4" t="s">
        <v>3385</v>
      </c>
      <c r="M834" s="4" t="s">
        <v>3386</v>
      </c>
      <c r="N834" s="6" t="n">
        <v>55136</v>
      </c>
      <c r="O834" s="6" t="n">
        <v>49033</v>
      </c>
      <c r="P834" s="4" t="s">
        <v>46</v>
      </c>
      <c r="Q834" s="6" t="n">
        <v>245000</v>
      </c>
      <c r="R834" s="15" t="n">
        <v>44033</v>
      </c>
      <c r="S834" s="6"/>
      <c r="T834" s="15"/>
      <c r="U834" s="6"/>
      <c r="V834" s="15"/>
      <c r="W834" s="4" t="s">
        <v>47</v>
      </c>
      <c r="X834" s="4" t="s">
        <v>47</v>
      </c>
      <c r="Y834" s="4" t="s">
        <v>3387</v>
      </c>
      <c r="Z834" s="4" t="s">
        <v>2911</v>
      </c>
      <c r="AA834" s="6" t="n">
        <v>0</v>
      </c>
      <c r="AB834" s="6" t="n">
        <v>5500</v>
      </c>
      <c r="AC834" s="6" t="n">
        <v>5881.25</v>
      </c>
      <c r="AD834" s="14" t="b">
        <f aca="false">FALSE()</f>
        <v>0</v>
      </c>
    </row>
    <row r="835" customFormat="false" ht="15" hidden="false" customHeight="false" outlineLevel="0" collapsed="false">
      <c r="A835" s="14" t="b">
        <f aca="false">TRUE()</f>
        <v>1</v>
      </c>
      <c r="B835" s="14" t="b">
        <f aca="false">FALSE()</f>
        <v>0</v>
      </c>
      <c r="C835" s="4" t="n">
        <v>2</v>
      </c>
      <c r="D835" s="4"/>
      <c r="E835" s="4"/>
      <c r="F835" s="4" t="s">
        <v>440</v>
      </c>
      <c r="G835" s="4"/>
      <c r="H835" s="14" t="b">
        <f aca="false">TRUE()</f>
        <v>1</v>
      </c>
      <c r="I835" s="14" t="b">
        <f aca="false">FALSE()</f>
        <v>0</v>
      </c>
      <c r="J835" s="4"/>
      <c r="K835" s="4" t="s">
        <v>3388</v>
      </c>
      <c r="L835" s="4" t="s">
        <v>3389</v>
      </c>
      <c r="M835" s="4" t="s">
        <v>3390</v>
      </c>
      <c r="N835" s="6" t="n">
        <v>5029</v>
      </c>
      <c r="O835" s="6" t="n">
        <v>66936</v>
      </c>
      <c r="P835" s="4" t="s">
        <v>46</v>
      </c>
      <c r="Q835" s="6" t="n">
        <v>270000</v>
      </c>
      <c r="R835" s="15" t="n">
        <v>37071</v>
      </c>
      <c r="S835" s="6" t="n">
        <v>1000000</v>
      </c>
      <c r="T835" s="15" t="n">
        <v>37361</v>
      </c>
      <c r="U835" s="6" t="n">
        <v>177700</v>
      </c>
      <c r="V835" s="15" t="n">
        <v>38806</v>
      </c>
      <c r="W835" s="4" t="s">
        <v>58</v>
      </c>
      <c r="X835" s="4" t="s">
        <v>47</v>
      </c>
      <c r="Y835" s="4" t="s">
        <v>3391</v>
      </c>
      <c r="Z835" s="4" t="s">
        <v>2911</v>
      </c>
      <c r="AA835" s="6" t="n">
        <v>0</v>
      </c>
      <c r="AB835" s="6" t="n">
        <v>3658.22</v>
      </c>
      <c r="AC835" s="6" t="n">
        <v>1921.42</v>
      </c>
      <c r="AD835" s="14" t="b">
        <f aca="false">TRUE()</f>
        <v>1</v>
      </c>
    </row>
    <row r="836" customFormat="false" ht="15" hidden="false" customHeight="false" outlineLevel="0" collapsed="false">
      <c r="A836" s="14" t="b">
        <f aca="false">TRUE()</f>
        <v>1</v>
      </c>
      <c r="B836" s="14" t="b">
        <f aca="false">FALSE()</f>
        <v>0</v>
      </c>
      <c r="C836" s="4" t="n">
        <v>2</v>
      </c>
      <c r="D836" s="4"/>
      <c r="E836" s="4"/>
      <c r="F836" s="4"/>
      <c r="G836" s="4"/>
      <c r="H836" s="14" t="b">
        <f aca="false">TRUE()</f>
        <v>1</v>
      </c>
      <c r="I836" s="14" t="b">
        <f aca="false">FALSE()</f>
        <v>0</v>
      </c>
      <c r="J836" s="4"/>
      <c r="K836" s="4" t="s">
        <v>3392</v>
      </c>
      <c r="L836" s="4" t="s">
        <v>3393</v>
      </c>
      <c r="M836" s="4" t="s">
        <v>3394</v>
      </c>
      <c r="N836" s="6" t="n">
        <v>39511</v>
      </c>
      <c r="O836" s="6" t="n">
        <v>55377</v>
      </c>
      <c r="P836" s="4" t="s">
        <v>46</v>
      </c>
      <c r="Q836" s="6" t="n">
        <v>272000</v>
      </c>
      <c r="R836" s="15" t="n">
        <v>39101</v>
      </c>
      <c r="S836" s="6" t="n">
        <v>156472</v>
      </c>
      <c r="T836" s="15" t="n">
        <v>39601</v>
      </c>
      <c r="U836" s="6"/>
      <c r="V836" s="15"/>
      <c r="W836" s="4" t="s">
        <v>58</v>
      </c>
      <c r="X836" s="4" t="s">
        <v>47</v>
      </c>
      <c r="Y836" s="4" t="s">
        <v>3395</v>
      </c>
      <c r="Z836" s="4" t="s">
        <v>3396</v>
      </c>
      <c r="AA836" s="6" t="n">
        <v>0</v>
      </c>
      <c r="AB836" s="6" t="n">
        <v>6315.62</v>
      </c>
      <c r="AC836" s="6" t="n">
        <v>3309.91</v>
      </c>
      <c r="AD836" s="14" t="b">
        <f aca="false">TRUE()</f>
        <v>1</v>
      </c>
    </row>
    <row r="837" customFormat="false" ht="15" hidden="false" customHeight="false" outlineLevel="0" collapsed="false">
      <c r="A837" s="14" t="b">
        <f aca="false">TRUE()</f>
        <v>1</v>
      </c>
      <c r="B837" s="14" t="b">
        <f aca="false">FALSE()</f>
        <v>0</v>
      </c>
      <c r="C837" s="4" t="n">
        <v>3</v>
      </c>
      <c r="D837" s="4"/>
      <c r="E837" s="4"/>
      <c r="F837" s="4"/>
      <c r="G837" s="4"/>
      <c r="H837" s="14" t="b">
        <f aca="false">FALSE()</f>
        <v>0</v>
      </c>
      <c r="I837" s="14" t="b">
        <f aca="false">FALSE()</f>
        <v>0</v>
      </c>
      <c r="J837" s="4"/>
      <c r="K837" s="4" t="s">
        <v>3397</v>
      </c>
      <c r="L837" s="4" t="s">
        <v>3398</v>
      </c>
      <c r="M837" s="4" t="s">
        <v>3399</v>
      </c>
      <c r="N837" s="6" t="n">
        <v>28039</v>
      </c>
      <c r="O837" s="6" t="n">
        <v>165933</v>
      </c>
      <c r="P837" s="4" t="s">
        <v>46</v>
      </c>
      <c r="Q837" s="6" t="n">
        <v>721500</v>
      </c>
      <c r="R837" s="15" t="n">
        <v>38148</v>
      </c>
      <c r="S837" s="6"/>
      <c r="T837" s="15"/>
      <c r="U837" s="6"/>
      <c r="V837" s="15"/>
      <c r="W837" s="4" t="s">
        <v>58</v>
      </c>
      <c r="X837" s="4" t="s">
        <v>47</v>
      </c>
      <c r="Y837" s="4" t="s">
        <v>3400</v>
      </c>
      <c r="Z837" s="4" t="s">
        <v>3396</v>
      </c>
      <c r="AA837" s="6" t="n">
        <v>0</v>
      </c>
      <c r="AB837" s="6" t="n">
        <v>13517.76</v>
      </c>
      <c r="AC837" s="6" t="n">
        <v>14440.21</v>
      </c>
      <c r="AD837" s="14" t="b">
        <f aca="false">FALSE()</f>
        <v>0</v>
      </c>
    </row>
    <row r="838" customFormat="false" ht="15" hidden="false" customHeight="false" outlineLevel="0" collapsed="false">
      <c r="A838" s="14" t="b">
        <f aca="false">TRUE()</f>
        <v>1</v>
      </c>
      <c r="B838" s="14" t="b">
        <f aca="false">FALSE()</f>
        <v>0</v>
      </c>
      <c r="C838" s="4" t="n">
        <v>2</v>
      </c>
      <c r="D838" s="4"/>
      <c r="E838" s="4"/>
      <c r="F838" s="4"/>
      <c r="G838" s="4"/>
      <c r="H838" s="14" t="b">
        <f aca="false">FALSE()</f>
        <v>0</v>
      </c>
      <c r="I838" s="14" t="b">
        <f aca="false">FALSE()</f>
        <v>0</v>
      </c>
      <c r="J838" s="4"/>
      <c r="K838" s="4" t="s">
        <v>3401</v>
      </c>
      <c r="L838" s="4" t="s">
        <v>3402</v>
      </c>
      <c r="M838" s="4" t="s">
        <v>3403</v>
      </c>
      <c r="N838" s="6" t="n">
        <v>23744</v>
      </c>
      <c r="O838" s="6" t="n">
        <v>161506</v>
      </c>
      <c r="P838" s="4" t="s">
        <v>46</v>
      </c>
      <c r="Q838" s="6" t="n">
        <v>415000</v>
      </c>
      <c r="R838" s="15" t="n">
        <v>43591</v>
      </c>
      <c r="S838" s="6"/>
      <c r="T838" s="15"/>
      <c r="U838" s="6"/>
      <c r="V838" s="15"/>
      <c r="W838" s="4" t="s">
        <v>47</v>
      </c>
      <c r="X838" s="4" t="s">
        <v>47</v>
      </c>
      <c r="Y838" s="4" t="s">
        <v>3404</v>
      </c>
      <c r="Z838" s="4" t="s">
        <v>3396</v>
      </c>
      <c r="AA838" s="6" t="n">
        <v>0</v>
      </c>
      <c r="AB838" s="6" t="n">
        <v>12883.8</v>
      </c>
      <c r="AC838" s="6" t="n">
        <v>6741.79</v>
      </c>
      <c r="AD838" s="14" t="b">
        <f aca="false">TRUE()</f>
        <v>1</v>
      </c>
    </row>
    <row r="839" customFormat="false" ht="15" hidden="false" customHeight="false" outlineLevel="0" collapsed="false">
      <c r="A839" s="14" t="b">
        <f aca="false">TRUE()</f>
        <v>1</v>
      </c>
      <c r="B839" s="14" t="b">
        <f aca="false">FALSE()</f>
        <v>0</v>
      </c>
      <c r="C839" s="4" t="n">
        <v>3</v>
      </c>
      <c r="D839" s="4"/>
      <c r="E839" s="4"/>
      <c r="F839" s="4"/>
      <c r="G839" s="4"/>
      <c r="H839" s="14" t="b">
        <f aca="false">FALSE()</f>
        <v>0</v>
      </c>
      <c r="I839" s="14" t="b">
        <f aca="false">FALSE()</f>
        <v>0</v>
      </c>
      <c r="J839" s="4"/>
      <c r="K839" s="4" t="s">
        <v>3405</v>
      </c>
      <c r="L839" s="4" t="s">
        <v>3406</v>
      </c>
      <c r="M839" s="4" t="s">
        <v>3407</v>
      </c>
      <c r="N839" s="6" t="n">
        <v>62981</v>
      </c>
      <c r="O839" s="6" t="n">
        <v>97068</v>
      </c>
      <c r="P839" s="4" t="s">
        <v>46</v>
      </c>
      <c r="Q839" s="6"/>
      <c r="R839" s="15"/>
      <c r="S839" s="6"/>
      <c r="T839" s="15"/>
      <c r="U839" s="6"/>
      <c r="V839" s="15"/>
      <c r="W839" s="4" t="s">
        <v>47</v>
      </c>
      <c r="X839" s="4" t="s">
        <v>47</v>
      </c>
      <c r="Y839" s="4" t="s">
        <v>3408</v>
      </c>
      <c r="Z839" s="4" t="s">
        <v>3396</v>
      </c>
      <c r="AA839" s="6" t="n">
        <v>0</v>
      </c>
      <c r="AB839" s="6" t="n">
        <v>10250.66</v>
      </c>
      <c r="AC839" s="6" t="n">
        <v>10952.58</v>
      </c>
      <c r="AD839" s="14" t="b">
        <f aca="false">FALSE()</f>
        <v>0</v>
      </c>
    </row>
    <row r="840" customFormat="false" ht="15" hidden="false" customHeight="false" outlineLevel="0" collapsed="false">
      <c r="A840" s="14" t="b">
        <f aca="false">TRUE()</f>
        <v>1</v>
      </c>
      <c r="B840" s="14" t="b">
        <f aca="false">FALSE()</f>
        <v>0</v>
      </c>
      <c r="C840" s="4" t="n">
        <v>2</v>
      </c>
      <c r="D840" s="4"/>
      <c r="E840" s="4"/>
      <c r="F840" s="4"/>
      <c r="G840" s="4"/>
      <c r="H840" s="14" t="b">
        <f aca="false">FALSE()</f>
        <v>0</v>
      </c>
      <c r="I840" s="14" t="b">
        <f aca="false">FALSE()</f>
        <v>0</v>
      </c>
      <c r="J840" s="4"/>
      <c r="K840" s="4" t="s">
        <v>3409</v>
      </c>
      <c r="L840" s="4" t="s">
        <v>3410</v>
      </c>
      <c r="M840" s="4" t="s">
        <v>3411</v>
      </c>
      <c r="N840" s="6" t="n">
        <v>59409</v>
      </c>
      <c r="O840" s="6" t="n">
        <v>87448</v>
      </c>
      <c r="P840" s="4" t="s">
        <v>46</v>
      </c>
      <c r="Q840" s="6"/>
      <c r="R840" s="15"/>
      <c r="S840" s="6" t="n">
        <v>50000</v>
      </c>
      <c r="T840" s="15" t="n">
        <v>38364</v>
      </c>
      <c r="U840" s="6"/>
      <c r="V840" s="15"/>
      <c r="W840" s="4" t="s">
        <v>47</v>
      </c>
      <c r="X840" s="4" t="s">
        <v>47</v>
      </c>
      <c r="Y840" s="4" t="s">
        <v>3412</v>
      </c>
      <c r="Z840" s="4" t="s">
        <v>3396</v>
      </c>
      <c r="AA840" s="6" t="n">
        <v>0</v>
      </c>
      <c r="AB840" s="6" t="n">
        <v>9311.92</v>
      </c>
      <c r="AC840" s="6" t="n">
        <v>4875.48</v>
      </c>
      <c r="AD840" s="14" t="b">
        <f aca="false">TRUE()</f>
        <v>1</v>
      </c>
    </row>
    <row r="841" customFormat="false" ht="15" hidden="false" customHeight="false" outlineLevel="0" collapsed="false">
      <c r="A841" s="14" t="b">
        <f aca="false">TRUE()</f>
        <v>1</v>
      </c>
      <c r="B841" s="14" t="b">
        <f aca="false">FALSE()</f>
        <v>0</v>
      </c>
      <c r="C841" s="4" t="n">
        <v>2</v>
      </c>
      <c r="D841" s="4"/>
      <c r="E841" s="4"/>
      <c r="F841" s="4"/>
      <c r="G841" s="4"/>
      <c r="H841" s="14" t="b">
        <f aca="false">TRUE()</f>
        <v>1</v>
      </c>
      <c r="I841" s="14" t="b">
        <f aca="false">FALSE()</f>
        <v>0</v>
      </c>
      <c r="J841" s="4"/>
      <c r="K841" s="4" t="s">
        <v>3413</v>
      </c>
      <c r="L841" s="4" t="s">
        <v>3414</v>
      </c>
      <c r="M841" s="4" t="s">
        <v>3415</v>
      </c>
      <c r="N841" s="6" t="n">
        <v>4668</v>
      </c>
      <c r="O841" s="6" t="n">
        <v>39149</v>
      </c>
      <c r="P841" s="4" t="s">
        <v>46</v>
      </c>
      <c r="Q841" s="6" t="n">
        <v>178500</v>
      </c>
      <c r="R841" s="15" t="n">
        <v>39247</v>
      </c>
      <c r="S841" s="6"/>
      <c r="T841" s="15"/>
      <c r="U841" s="6"/>
      <c r="V841" s="15"/>
      <c r="W841" s="4" t="s">
        <v>47</v>
      </c>
      <c r="X841" s="4" t="s">
        <v>58</v>
      </c>
      <c r="Y841" s="4" t="s">
        <v>3416</v>
      </c>
      <c r="Z841" s="4" t="s">
        <v>3396</v>
      </c>
      <c r="AA841" s="6" t="n">
        <v>0</v>
      </c>
      <c r="AB841" s="6" t="n">
        <v>3035.56</v>
      </c>
      <c r="AC841" s="6" t="n">
        <v>3250.46</v>
      </c>
      <c r="AD841" s="14" t="b">
        <f aca="false">FALSE()</f>
        <v>0</v>
      </c>
    </row>
    <row r="842" customFormat="false" ht="15" hidden="false" customHeight="false" outlineLevel="0" collapsed="false">
      <c r="A842" s="14" t="b">
        <f aca="false">TRUE()</f>
        <v>1</v>
      </c>
      <c r="B842" s="14" t="b">
        <f aca="false">FALSE()</f>
        <v>0</v>
      </c>
      <c r="C842" s="4" t="n">
        <v>2</v>
      </c>
      <c r="D842" s="4"/>
      <c r="E842" s="4"/>
      <c r="F842" s="4"/>
      <c r="G842" s="4"/>
      <c r="H842" s="14" t="b">
        <f aca="false">FALSE()</f>
        <v>0</v>
      </c>
      <c r="I842" s="14" t="b">
        <f aca="false">FALSE()</f>
        <v>0</v>
      </c>
      <c r="J842" s="4"/>
      <c r="K842" s="4" t="s">
        <v>3417</v>
      </c>
      <c r="L842" s="4" t="s">
        <v>3418</v>
      </c>
      <c r="M842" s="4" t="s">
        <v>3419</v>
      </c>
      <c r="N842" s="6" t="n">
        <v>4668</v>
      </c>
      <c r="O842" s="6" t="n">
        <v>39149</v>
      </c>
      <c r="P842" s="4" t="s">
        <v>46</v>
      </c>
      <c r="Q842" s="6" t="n">
        <v>84000</v>
      </c>
      <c r="R842" s="15" t="n">
        <v>43649</v>
      </c>
      <c r="S842" s="6"/>
      <c r="T842" s="15"/>
      <c r="U842" s="6"/>
      <c r="V842" s="15"/>
      <c r="W842" s="4" t="s">
        <v>47</v>
      </c>
      <c r="X842" s="4" t="s">
        <v>58</v>
      </c>
      <c r="Y842" s="4" t="s">
        <v>3420</v>
      </c>
      <c r="Z842" s="4" t="s">
        <v>3396</v>
      </c>
      <c r="AA842" s="6" t="n">
        <v>0</v>
      </c>
      <c r="AB842" s="6" t="n">
        <v>3035.56</v>
      </c>
      <c r="AC842" s="6" t="n">
        <v>3250.46</v>
      </c>
      <c r="AD842" s="14" t="b">
        <f aca="false">FALSE()</f>
        <v>0</v>
      </c>
    </row>
    <row r="843" customFormat="false" ht="15" hidden="false" customHeight="false" outlineLevel="0" collapsed="false">
      <c r="A843" s="14" t="b">
        <f aca="false">TRUE()</f>
        <v>1</v>
      </c>
      <c r="B843" s="14" t="b">
        <f aca="false">FALSE()</f>
        <v>0</v>
      </c>
      <c r="C843" s="4" t="n">
        <v>2</v>
      </c>
      <c r="D843" s="4"/>
      <c r="E843" s="4"/>
      <c r="F843" s="4"/>
      <c r="G843" s="4"/>
      <c r="H843" s="14" t="b">
        <f aca="false">FALSE()</f>
        <v>0</v>
      </c>
      <c r="I843" s="14" t="b">
        <f aca="false">FALSE()</f>
        <v>0</v>
      </c>
      <c r="J843" s="4"/>
      <c r="K843" s="4" t="s">
        <v>3421</v>
      </c>
      <c r="L843" s="4" t="s">
        <v>3422</v>
      </c>
      <c r="M843" s="4" t="s">
        <v>3423</v>
      </c>
      <c r="N843" s="6" t="n">
        <v>4668</v>
      </c>
      <c r="O843" s="6" t="n">
        <v>39149</v>
      </c>
      <c r="P843" s="4" t="s">
        <v>46</v>
      </c>
      <c r="Q843" s="6" t="n">
        <v>147000</v>
      </c>
      <c r="R843" s="15" t="n">
        <v>39008</v>
      </c>
      <c r="S843" s="6"/>
      <c r="T843" s="15"/>
      <c r="U843" s="6"/>
      <c r="V843" s="15"/>
      <c r="W843" s="4" t="s">
        <v>47</v>
      </c>
      <c r="X843" s="4" t="s">
        <v>58</v>
      </c>
      <c r="Y843" s="4" t="s">
        <v>3424</v>
      </c>
      <c r="Z843" s="4" t="s">
        <v>3396</v>
      </c>
      <c r="AA843" s="6" t="n">
        <v>0</v>
      </c>
      <c r="AB843" s="6" t="n">
        <v>3035.56</v>
      </c>
      <c r="AC843" s="6" t="n">
        <v>1596.08</v>
      </c>
      <c r="AD843" s="14" t="b">
        <f aca="false">TRUE()</f>
        <v>1</v>
      </c>
    </row>
    <row r="844" customFormat="false" ht="15" hidden="false" customHeight="false" outlineLevel="0" collapsed="false">
      <c r="A844" s="14" t="b">
        <f aca="false">TRUE()</f>
        <v>1</v>
      </c>
      <c r="B844" s="14" t="b">
        <f aca="false">FALSE()</f>
        <v>0</v>
      </c>
      <c r="C844" s="4" t="n">
        <v>3</v>
      </c>
      <c r="D844" s="4"/>
      <c r="E844" s="4"/>
      <c r="F844" s="4"/>
      <c r="G844" s="4"/>
      <c r="H844" s="14" t="b">
        <f aca="false">FALSE()</f>
        <v>0</v>
      </c>
      <c r="I844" s="14" t="b">
        <f aca="false">FALSE()</f>
        <v>0</v>
      </c>
      <c r="J844" s="4"/>
      <c r="K844" s="4" t="s">
        <v>3425</v>
      </c>
      <c r="L844" s="4" t="s">
        <v>3426</v>
      </c>
      <c r="M844" s="4" t="s">
        <v>3427</v>
      </c>
      <c r="N844" s="6" t="n">
        <v>76107</v>
      </c>
      <c r="O844" s="6" t="n">
        <v>125173</v>
      </c>
      <c r="P844" s="4" t="s">
        <v>46</v>
      </c>
      <c r="Q844" s="6" t="n">
        <v>600000</v>
      </c>
      <c r="R844" s="15" t="n">
        <v>45706</v>
      </c>
      <c r="S844" s="6" t="n">
        <v>480000</v>
      </c>
      <c r="T844" s="15" t="n">
        <v>45706</v>
      </c>
      <c r="U844" s="6"/>
      <c r="V844" s="15"/>
      <c r="W844" s="4" t="s">
        <v>47</v>
      </c>
      <c r="X844" s="4" t="s">
        <v>47</v>
      </c>
      <c r="Y844" s="4" t="s">
        <v>3428</v>
      </c>
      <c r="Z844" s="4" t="s">
        <v>2108</v>
      </c>
      <c r="AA844" s="6" t="n">
        <v>0</v>
      </c>
      <c r="AB844" s="6" t="n">
        <v>11840.52</v>
      </c>
      <c r="AC844" s="6" t="n">
        <v>12649.75</v>
      </c>
      <c r="AD844" s="14" t="b">
        <f aca="false">FALSE()</f>
        <v>0</v>
      </c>
    </row>
    <row r="845" customFormat="false" ht="15" hidden="false" customHeight="false" outlineLevel="0" collapsed="false">
      <c r="A845" s="14" t="b">
        <f aca="false">TRUE()</f>
        <v>1</v>
      </c>
      <c r="B845" s="14" t="b">
        <f aca="false">FALSE()</f>
        <v>0</v>
      </c>
      <c r="C845" s="4" t="n">
        <v>3</v>
      </c>
      <c r="D845" s="4"/>
      <c r="E845" s="4"/>
      <c r="F845" s="4"/>
      <c r="G845" s="4"/>
      <c r="H845" s="14" t="b">
        <f aca="false">FALSE()</f>
        <v>0</v>
      </c>
      <c r="I845" s="14" t="b">
        <f aca="false">FALSE()</f>
        <v>0</v>
      </c>
      <c r="J845" s="4"/>
      <c r="K845" s="4" t="s">
        <v>3429</v>
      </c>
      <c r="L845" s="4" t="s">
        <v>3430</v>
      </c>
      <c r="M845" s="4" t="s">
        <v>3431</v>
      </c>
      <c r="N845" s="6" t="n">
        <v>79975</v>
      </c>
      <c r="O845" s="6" t="n">
        <v>125041</v>
      </c>
      <c r="P845" s="4" t="s">
        <v>46</v>
      </c>
      <c r="Q845" s="6" t="n">
        <v>500000</v>
      </c>
      <c r="R845" s="15" t="n">
        <v>44474</v>
      </c>
      <c r="S845" s="6"/>
      <c r="T845" s="15"/>
      <c r="U845" s="6"/>
      <c r="V845" s="15"/>
      <c r="W845" s="4" t="s">
        <v>58</v>
      </c>
      <c r="X845" s="4" t="s">
        <v>47</v>
      </c>
      <c r="Y845" s="4" t="s">
        <v>3432</v>
      </c>
      <c r="Z845" s="4" t="s">
        <v>2108</v>
      </c>
      <c r="AA845" s="6" t="n">
        <v>0</v>
      </c>
      <c r="AB845" s="6" t="n">
        <v>12559.5</v>
      </c>
      <c r="AC845" s="6" t="n">
        <v>13417.27</v>
      </c>
      <c r="AD845" s="14" t="b">
        <f aca="false">FALSE()</f>
        <v>0</v>
      </c>
    </row>
    <row r="846" customFormat="false" ht="15" hidden="false" customHeight="false" outlineLevel="0" collapsed="false">
      <c r="A846" s="14" t="b">
        <f aca="false">TRUE()</f>
        <v>1</v>
      </c>
      <c r="B846" s="14" t="b">
        <f aca="false">FALSE()</f>
        <v>0</v>
      </c>
      <c r="C846" s="4" t="n">
        <v>2</v>
      </c>
      <c r="D846" s="4"/>
      <c r="E846" s="4"/>
      <c r="F846" s="4"/>
      <c r="G846" s="4"/>
      <c r="H846" s="14" t="b">
        <f aca="false">FALSE()</f>
        <v>0</v>
      </c>
      <c r="I846" s="14" t="b">
        <f aca="false">FALSE()</f>
        <v>0</v>
      </c>
      <c r="J846" s="4"/>
      <c r="K846" s="4" t="s">
        <v>3433</v>
      </c>
      <c r="L846" s="4" t="s">
        <v>3434</v>
      </c>
      <c r="M846" s="4" t="s">
        <v>3435</v>
      </c>
      <c r="N846" s="6" t="n">
        <v>83372</v>
      </c>
      <c r="O846" s="6" t="n">
        <v>85289</v>
      </c>
      <c r="P846" s="4" t="s">
        <v>46</v>
      </c>
      <c r="Q846" s="6"/>
      <c r="R846" s="15" t="n">
        <v>38036</v>
      </c>
      <c r="S846" s="6" t="n">
        <v>397000</v>
      </c>
      <c r="T846" s="15" t="n">
        <v>39654</v>
      </c>
      <c r="U846" s="6"/>
      <c r="V846" s="15"/>
      <c r="W846" s="4" t="s">
        <v>47</v>
      </c>
      <c r="X846" s="4" t="s">
        <v>47</v>
      </c>
      <c r="Y846" s="4" t="s">
        <v>3436</v>
      </c>
      <c r="Z846" s="4" t="s">
        <v>2108</v>
      </c>
      <c r="AA846" s="6" t="n">
        <v>0</v>
      </c>
      <c r="AB846" s="6" t="n">
        <v>9842.26</v>
      </c>
      <c r="AC846" s="6" t="n">
        <v>5152.58</v>
      </c>
      <c r="AD846" s="14" t="b">
        <f aca="false">TRUE()</f>
        <v>1</v>
      </c>
    </row>
    <row r="847" customFormat="false" ht="15" hidden="false" customHeight="false" outlineLevel="0" collapsed="false">
      <c r="A847" s="14" t="b">
        <f aca="false">TRUE()</f>
        <v>1</v>
      </c>
      <c r="B847" s="14" t="b">
        <f aca="false">FALSE()</f>
        <v>0</v>
      </c>
      <c r="C847" s="4" t="n">
        <v>2</v>
      </c>
      <c r="D847" s="4"/>
      <c r="E847" s="4"/>
      <c r="F847" s="4"/>
      <c r="G847" s="4"/>
      <c r="H847" s="14" t="b">
        <f aca="false">FALSE()</f>
        <v>0</v>
      </c>
      <c r="I847" s="14" t="b">
        <f aca="false">FALSE()</f>
        <v>0</v>
      </c>
      <c r="J847" s="4"/>
      <c r="K847" s="4" t="s">
        <v>3437</v>
      </c>
      <c r="L847" s="4" t="s">
        <v>3438</v>
      </c>
      <c r="M847" s="4" t="s">
        <v>3439</v>
      </c>
      <c r="N847" s="6" t="n">
        <v>43083</v>
      </c>
      <c r="O847" s="6" t="n">
        <v>43861</v>
      </c>
      <c r="P847" s="4" t="s">
        <v>46</v>
      </c>
      <c r="Q847" s="6" t="n">
        <v>275500</v>
      </c>
      <c r="R847" s="15" t="n">
        <v>45706</v>
      </c>
      <c r="S847" s="6"/>
      <c r="T847" s="15"/>
      <c r="U847" s="6"/>
      <c r="V847" s="15"/>
      <c r="W847" s="4" t="s">
        <v>47</v>
      </c>
      <c r="X847" s="4" t="s">
        <v>47</v>
      </c>
      <c r="Y847" s="4" t="s">
        <v>3440</v>
      </c>
      <c r="Z847" s="4" t="s">
        <v>3396</v>
      </c>
      <c r="AA847" s="6" t="n">
        <v>0</v>
      </c>
      <c r="AB847" s="6" t="n">
        <v>5156.72</v>
      </c>
      <c r="AC847" s="6" t="n">
        <v>5514.8</v>
      </c>
      <c r="AD847" s="14" t="b">
        <f aca="false">FALSE()</f>
        <v>0</v>
      </c>
    </row>
    <row r="848" customFormat="false" ht="15" hidden="false" customHeight="false" outlineLevel="0" collapsed="false">
      <c r="A848" s="14" t="b">
        <f aca="false">TRUE()</f>
        <v>1</v>
      </c>
      <c r="B848" s="14" t="b">
        <f aca="false">FALSE()</f>
        <v>0</v>
      </c>
      <c r="C848" s="4" t="n">
        <v>2</v>
      </c>
      <c r="D848" s="4"/>
      <c r="E848" s="4"/>
      <c r="F848" s="4"/>
      <c r="G848" s="4"/>
      <c r="H848" s="14" t="b">
        <f aca="false">FALSE()</f>
        <v>0</v>
      </c>
      <c r="I848" s="14" t="b">
        <f aca="false">FALSE()</f>
        <v>0</v>
      </c>
      <c r="J848" s="4"/>
      <c r="K848" s="4" t="s">
        <v>3441</v>
      </c>
      <c r="L848" s="4" t="s">
        <v>3442</v>
      </c>
      <c r="M848" s="4" t="s">
        <v>3443</v>
      </c>
      <c r="N848" s="6" t="n">
        <v>8382</v>
      </c>
      <c r="O848" s="6" t="n">
        <v>64449</v>
      </c>
      <c r="P848" s="4" t="s">
        <v>46</v>
      </c>
      <c r="Q848" s="6"/>
      <c r="R848" s="15"/>
      <c r="S848" s="6"/>
      <c r="T848" s="15"/>
      <c r="U848" s="6"/>
      <c r="V848" s="15"/>
      <c r="W848" s="4"/>
      <c r="X848" s="4"/>
      <c r="Y848" s="4" t="s">
        <v>3444</v>
      </c>
      <c r="Z848" s="4" t="s">
        <v>3396</v>
      </c>
      <c r="AA848" s="6" t="n">
        <v>0</v>
      </c>
      <c r="AB848" s="6" t="n">
        <v>4130.88</v>
      </c>
      <c r="AC848" s="6" t="n">
        <v>4419.71</v>
      </c>
      <c r="AD848" s="14" t="b">
        <f aca="false">FALSE()</f>
        <v>0</v>
      </c>
    </row>
    <row r="849" customFormat="false" ht="15" hidden="false" customHeight="false" outlineLevel="0" collapsed="false">
      <c r="A849" s="14" t="b">
        <f aca="false">TRUE()</f>
        <v>1</v>
      </c>
      <c r="B849" s="14" t="b">
        <f aca="false">FALSE()</f>
        <v>0</v>
      </c>
      <c r="C849" s="4" t="n">
        <v>3</v>
      </c>
      <c r="D849" s="4"/>
      <c r="E849" s="4"/>
      <c r="F849" s="4"/>
      <c r="G849" s="4"/>
      <c r="H849" s="14" t="b">
        <f aca="false">FALSE()</f>
        <v>0</v>
      </c>
      <c r="I849" s="14" t="b">
        <f aca="false">FALSE()</f>
        <v>0</v>
      </c>
      <c r="J849" s="4"/>
      <c r="K849" s="4" t="s">
        <v>3445</v>
      </c>
      <c r="L849" s="4" t="s">
        <v>3446</v>
      </c>
      <c r="M849" s="4" t="s">
        <v>3447</v>
      </c>
      <c r="N849" s="6" t="n">
        <v>61567</v>
      </c>
      <c r="O849" s="6" t="n">
        <v>52846</v>
      </c>
      <c r="P849" s="4" t="s">
        <v>46</v>
      </c>
      <c r="Q849" s="6" t="n">
        <v>185000</v>
      </c>
      <c r="R849" s="15" t="n">
        <v>40900</v>
      </c>
      <c r="S849" s="6" t="n">
        <v>180000</v>
      </c>
      <c r="T849" s="15" t="n">
        <v>45574</v>
      </c>
      <c r="U849" s="6"/>
      <c r="V849" s="15"/>
      <c r="W849" s="4" t="s">
        <v>47</v>
      </c>
      <c r="X849" s="4" t="s">
        <v>47</v>
      </c>
      <c r="Y849" s="4" t="s">
        <v>3448</v>
      </c>
      <c r="Z849" s="4" t="s">
        <v>2108</v>
      </c>
      <c r="AA849" s="6" t="n">
        <v>0</v>
      </c>
      <c r="AB849" s="6" t="n">
        <v>7751.74</v>
      </c>
      <c r="AC849" s="6" t="n">
        <v>8284.98</v>
      </c>
      <c r="AD849" s="14" t="b">
        <f aca="false">FALSE()</f>
        <v>0</v>
      </c>
    </row>
    <row r="850" customFormat="false" ht="15" hidden="false" customHeight="false" outlineLevel="0" collapsed="false">
      <c r="A850" s="14" t="b">
        <f aca="false">TRUE()</f>
        <v>1</v>
      </c>
      <c r="B850" s="14" t="b">
        <f aca="false">FALSE()</f>
        <v>0</v>
      </c>
      <c r="C850" s="4" t="n">
        <v>2</v>
      </c>
      <c r="D850" s="4"/>
      <c r="E850" s="4"/>
      <c r="F850" s="4"/>
      <c r="G850" s="4" t="n">
        <v>2</v>
      </c>
      <c r="H850" s="14" t="b">
        <f aca="false">FALSE()</f>
        <v>0</v>
      </c>
      <c r="I850" s="14" t="b">
        <f aca="false">FALSE()</f>
        <v>0</v>
      </c>
      <c r="J850" s="4"/>
      <c r="K850" s="4" t="s">
        <v>3449</v>
      </c>
      <c r="L850" s="4" t="s">
        <v>3450</v>
      </c>
      <c r="M850" s="4" t="s">
        <v>3451</v>
      </c>
      <c r="N850" s="6" t="n">
        <v>44442</v>
      </c>
      <c r="O850" s="6" t="n">
        <v>39840</v>
      </c>
      <c r="P850" s="4" t="s">
        <v>46</v>
      </c>
      <c r="Q850" s="6" t="n">
        <v>129000</v>
      </c>
      <c r="R850" s="15" t="n">
        <v>40030</v>
      </c>
      <c r="S850" s="6"/>
      <c r="T850" s="15"/>
      <c r="U850" s="6"/>
      <c r="V850" s="15"/>
      <c r="W850" s="4" t="s">
        <v>47</v>
      </c>
      <c r="X850" s="4" t="s">
        <v>47</v>
      </c>
      <c r="Y850" s="4" t="s">
        <v>3452</v>
      </c>
      <c r="Z850" s="4" t="s">
        <v>3396</v>
      </c>
      <c r="AA850" s="6" t="n">
        <v>0</v>
      </c>
      <c r="AB850" s="6" t="n">
        <v>5544.72</v>
      </c>
      <c r="AC850" s="6" t="n">
        <v>5928.99</v>
      </c>
      <c r="AD850" s="14" t="b">
        <f aca="false">FALSE()</f>
        <v>0</v>
      </c>
    </row>
    <row r="851" customFormat="false" ht="15" hidden="false" customHeight="false" outlineLevel="0" collapsed="false">
      <c r="A851" s="14" t="b">
        <f aca="false">TRUE()</f>
        <v>1</v>
      </c>
      <c r="B851" s="14" t="b">
        <f aca="false">FALSE()</f>
        <v>0</v>
      </c>
      <c r="C851" s="4" t="n">
        <v>2</v>
      </c>
      <c r="D851" s="4"/>
      <c r="E851" s="4"/>
      <c r="F851" s="4"/>
      <c r="G851" s="4"/>
      <c r="H851" s="14" t="b">
        <f aca="false">FALSE()</f>
        <v>0</v>
      </c>
      <c r="I851" s="14" t="b">
        <f aca="false">FALSE()</f>
        <v>0</v>
      </c>
      <c r="J851" s="4"/>
      <c r="K851" s="4" t="s">
        <v>3453</v>
      </c>
      <c r="L851" s="4" t="s">
        <v>3454</v>
      </c>
      <c r="M851" s="4" t="s">
        <v>3455</v>
      </c>
      <c r="N851" s="6" t="n">
        <v>28631</v>
      </c>
      <c r="O851" s="6" t="n">
        <v>35939</v>
      </c>
      <c r="P851" s="4" t="s">
        <v>46</v>
      </c>
      <c r="Q851" s="6" t="n">
        <v>35000</v>
      </c>
      <c r="R851" s="15" t="n">
        <v>41492</v>
      </c>
      <c r="S851" s="6"/>
      <c r="T851" s="15"/>
      <c r="U851" s="6"/>
      <c r="V851" s="15"/>
      <c r="W851" s="4" t="s">
        <v>47</v>
      </c>
      <c r="X851" s="4" t="s">
        <v>47</v>
      </c>
      <c r="Y851" s="4" t="s">
        <v>3456</v>
      </c>
      <c r="Z851" s="4" t="s">
        <v>3396</v>
      </c>
      <c r="AA851" s="6" t="n">
        <v>0</v>
      </c>
      <c r="AB851" s="6" t="n">
        <v>4693.42</v>
      </c>
      <c r="AC851" s="6" t="n">
        <v>2462.31</v>
      </c>
      <c r="AD851" s="14" t="b">
        <f aca="false">TRUE()</f>
        <v>1</v>
      </c>
    </row>
    <row r="852" customFormat="false" ht="15" hidden="false" customHeight="false" outlineLevel="0" collapsed="false">
      <c r="A852" s="14" t="b">
        <f aca="false">TRUE()</f>
        <v>1</v>
      </c>
      <c r="B852" s="14" t="b">
        <f aca="false">FALSE()</f>
        <v>0</v>
      </c>
      <c r="C852" s="4" t="n">
        <v>2</v>
      </c>
      <c r="D852" s="4"/>
      <c r="E852" s="4"/>
      <c r="F852" s="4"/>
      <c r="G852" s="4"/>
      <c r="H852" s="14" t="b">
        <f aca="false">FALSE()</f>
        <v>0</v>
      </c>
      <c r="I852" s="14" t="b">
        <f aca="false">FALSE()</f>
        <v>0</v>
      </c>
      <c r="J852" s="4"/>
      <c r="K852" s="4" t="s">
        <v>3457</v>
      </c>
      <c r="L852" s="4" t="s">
        <v>3458</v>
      </c>
      <c r="M852" s="4" t="s">
        <v>3459</v>
      </c>
      <c r="N852" s="6" t="n">
        <v>17980</v>
      </c>
      <c r="O852" s="6" t="n">
        <v>86681</v>
      </c>
      <c r="P852" s="4" t="s">
        <v>46</v>
      </c>
      <c r="Q852" s="6"/>
      <c r="R852" s="15" t="n">
        <v>45251</v>
      </c>
      <c r="S852" s="6"/>
      <c r="T852" s="15"/>
      <c r="U852" s="6"/>
      <c r="V852" s="15"/>
      <c r="W852" s="4" t="s">
        <v>47</v>
      </c>
      <c r="X852" s="4" t="s">
        <v>47</v>
      </c>
      <c r="Y852" s="4" t="s">
        <v>3460</v>
      </c>
      <c r="Z852" s="4" t="s">
        <v>3396</v>
      </c>
      <c r="AA852" s="6" t="n">
        <v>0</v>
      </c>
      <c r="AB852" s="6" t="n">
        <v>7026</v>
      </c>
      <c r="AC852" s="6" t="n">
        <v>7510.26</v>
      </c>
      <c r="AD852" s="14" t="b">
        <f aca="false">FALSE()</f>
        <v>0</v>
      </c>
    </row>
    <row r="853" customFormat="false" ht="15" hidden="false" customHeight="false" outlineLevel="0" collapsed="false">
      <c r="A853" s="14" t="b">
        <f aca="false">TRUE()</f>
        <v>1</v>
      </c>
      <c r="B853" s="14" t="b">
        <f aca="false">FALSE()</f>
        <v>0</v>
      </c>
      <c r="C853" s="4" t="n">
        <v>2</v>
      </c>
      <c r="D853" s="4"/>
      <c r="E853" s="4"/>
      <c r="F853" s="4"/>
      <c r="G853" s="4"/>
      <c r="H853" s="14" t="b">
        <f aca="false">FALSE()</f>
        <v>0</v>
      </c>
      <c r="I853" s="14" t="b">
        <f aca="false">FALSE()</f>
        <v>0</v>
      </c>
      <c r="J853" s="4"/>
      <c r="K853" s="4" t="s">
        <v>3461</v>
      </c>
      <c r="L853" s="4" t="s">
        <v>3462</v>
      </c>
      <c r="M853" s="4" t="s">
        <v>3463</v>
      </c>
      <c r="N853" s="6" t="n">
        <v>57743</v>
      </c>
      <c r="O853" s="6" t="n">
        <v>52594</v>
      </c>
      <c r="P853" s="4" t="s">
        <v>46</v>
      </c>
      <c r="Q853" s="6" t="n">
        <v>337500</v>
      </c>
      <c r="R853" s="15" t="n">
        <v>45770</v>
      </c>
      <c r="S853" s="6"/>
      <c r="T853" s="15"/>
      <c r="U853" s="6"/>
      <c r="V853" s="15"/>
      <c r="W853" s="4" t="s">
        <v>47</v>
      </c>
      <c r="X853" s="4" t="s">
        <v>47</v>
      </c>
      <c r="Y853" s="4" t="s">
        <v>3464</v>
      </c>
      <c r="Z853" s="4" t="s">
        <v>3396</v>
      </c>
      <c r="AA853" s="6" t="n">
        <v>0</v>
      </c>
      <c r="AB853" s="6" t="n">
        <v>7438.58</v>
      </c>
      <c r="AC853" s="6" t="n">
        <v>3896.66</v>
      </c>
      <c r="AD853" s="14" t="b">
        <f aca="false">TRUE()</f>
        <v>1</v>
      </c>
    </row>
    <row r="854" customFormat="false" ht="15" hidden="false" customHeight="false" outlineLevel="0" collapsed="false">
      <c r="A854" s="14" t="b">
        <f aca="false">TRUE()</f>
        <v>1</v>
      </c>
      <c r="B854" s="14" t="b">
        <f aca="false">FALSE()</f>
        <v>0</v>
      </c>
      <c r="C854" s="4" t="n">
        <v>2</v>
      </c>
      <c r="D854" s="4"/>
      <c r="E854" s="4"/>
      <c r="F854" s="4"/>
      <c r="G854" s="4"/>
      <c r="H854" s="14" t="b">
        <f aca="false">FALSE()</f>
        <v>0</v>
      </c>
      <c r="I854" s="14" t="b">
        <f aca="false">FALSE()</f>
        <v>0</v>
      </c>
      <c r="J854" s="4"/>
      <c r="K854" s="4" t="s">
        <v>3465</v>
      </c>
      <c r="L854" s="4" t="s">
        <v>3466</v>
      </c>
      <c r="M854" s="4" t="s">
        <v>3467</v>
      </c>
      <c r="N854" s="6" t="n">
        <v>4405</v>
      </c>
      <c r="O854" s="6" t="n">
        <v>37024</v>
      </c>
      <c r="P854" s="4" t="s">
        <v>46</v>
      </c>
      <c r="Q854" s="6" t="n">
        <v>155000</v>
      </c>
      <c r="R854" s="15" t="n">
        <v>45188</v>
      </c>
      <c r="S854" s="6"/>
      <c r="T854" s="15"/>
      <c r="U854" s="6"/>
      <c r="V854" s="15"/>
      <c r="W854" s="4" t="s">
        <v>47</v>
      </c>
      <c r="X854" s="4" t="s">
        <v>47</v>
      </c>
      <c r="Y854" s="4" t="s">
        <v>3468</v>
      </c>
      <c r="Z854" s="4" t="s">
        <v>2911</v>
      </c>
      <c r="AA854" s="6" t="n">
        <v>0</v>
      </c>
      <c r="AB854" s="6" t="n">
        <v>2170.38</v>
      </c>
      <c r="AC854" s="6" t="n">
        <v>1144.02</v>
      </c>
      <c r="AD854" s="14" t="b">
        <f aca="false">TRUE()</f>
        <v>1</v>
      </c>
    </row>
    <row r="855" customFormat="false" ht="15" hidden="false" customHeight="false" outlineLevel="0" collapsed="false">
      <c r="A855" s="14" t="b">
        <f aca="false">TRUE()</f>
        <v>1</v>
      </c>
      <c r="B855" s="14" t="b">
        <f aca="false">FALSE()</f>
        <v>0</v>
      </c>
      <c r="C855" s="4" t="n">
        <v>3</v>
      </c>
      <c r="D855" s="4"/>
      <c r="E855" s="4"/>
      <c r="F855" s="4"/>
      <c r="G855" s="4"/>
      <c r="H855" s="14" t="b">
        <f aca="false">TRUE()</f>
        <v>1</v>
      </c>
      <c r="I855" s="14" t="b">
        <f aca="false">FALSE()</f>
        <v>0</v>
      </c>
      <c r="J855" s="4"/>
      <c r="K855" s="4" t="s">
        <v>3469</v>
      </c>
      <c r="L855" s="4" t="s">
        <v>3470</v>
      </c>
      <c r="M855" s="4" t="s">
        <v>3471</v>
      </c>
      <c r="N855" s="6" t="n">
        <v>70114</v>
      </c>
      <c r="O855" s="6" t="n">
        <v>24850</v>
      </c>
      <c r="P855" s="4" t="s">
        <v>46</v>
      </c>
      <c r="Q855" s="6"/>
      <c r="R855" s="15" t="n">
        <v>45432</v>
      </c>
      <c r="S855" s="6" t="n">
        <v>24000</v>
      </c>
      <c r="T855" s="15" t="n">
        <v>45432</v>
      </c>
      <c r="U855" s="6"/>
      <c r="V855" s="15"/>
      <c r="W855" s="4" t="s">
        <v>47</v>
      </c>
      <c r="X855" s="4" t="s">
        <v>47</v>
      </c>
      <c r="Y855" s="4" t="s">
        <v>3472</v>
      </c>
      <c r="Z855" s="4" t="s">
        <v>2911</v>
      </c>
      <c r="AA855" s="6" t="n">
        <v>0</v>
      </c>
      <c r="AB855" s="6" t="n">
        <v>4567.7</v>
      </c>
      <c r="AC855" s="6" t="n">
        <v>4886.02</v>
      </c>
      <c r="AD855" s="14" t="b">
        <f aca="false">FALSE()</f>
        <v>0</v>
      </c>
    </row>
    <row r="856" customFormat="false" ht="15" hidden="false" customHeight="false" outlineLevel="0" collapsed="false">
      <c r="A856" s="14" t="b">
        <f aca="false">TRUE()</f>
        <v>1</v>
      </c>
      <c r="B856" s="14" t="b">
        <f aca="false">FALSE()</f>
        <v>0</v>
      </c>
      <c r="C856" s="4" t="n">
        <v>3</v>
      </c>
      <c r="D856" s="4"/>
      <c r="E856" s="4"/>
      <c r="F856" s="4"/>
      <c r="G856" s="4" t="n">
        <v>2</v>
      </c>
      <c r="H856" s="14" t="b">
        <f aca="false">FALSE()</f>
        <v>0</v>
      </c>
      <c r="I856" s="14" t="b">
        <f aca="false">FALSE()</f>
        <v>0</v>
      </c>
      <c r="J856" s="4"/>
      <c r="K856" s="4" t="s">
        <v>3473</v>
      </c>
      <c r="L856" s="4" t="s">
        <v>3474</v>
      </c>
      <c r="M856" s="4" t="s">
        <v>3475</v>
      </c>
      <c r="N856" s="6" t="n">
        <v>52616</v>
      </c>
      <c r="O856" s="6" t="n">
        <v>89475</v>
      </c>
      <c r="P856" s="4" t="s">
        <v>46</v>
      </c>
      <c r="Q856" s="6" t="n">
        <v>570000</v>
      </c>
      <c r="R856" s="15" t="n">
        <v>45155</v>
      </c>
      <c r="S856" s="6" t="n">
        <v>570000</v>
      </c>
      <c r="T856" s="15" t="n">
        <v>45155</v>
      </c>
      <c r="U856" s="6"/>
      <c r="V856" s="15"/>
      <c r="W856" s="4" t="s">
        <v>47</v>
      </c>
      <c r="X856" s="4" t="s">
        <v>58</v>
      </c>
      <c r="Y856" s="4" t="s">
        <v>3476</v>
      </c>
      <c r="Z856" s="4" t="s">
        <v>2911</v>
      </c>
      <c r="AA856" s="6" t="n">
        <v>0</v>
      </c>
      <c r="AB856" s="6" t="n">
        <v>7043.02</v>
      </c>
      <c r="AC856" s="6" t="n">
        <v>7528.43</v>
      </c>
      <c r="AD856" s="14" t="b">
        <f aca="false">FALSE()</f>
        <v>0</v>
      </c>
    </row>
    <row r="857" customFormat="false" ht="15" hidden="false" customHeight="false" outlineLevel="0" collapsed="false">
      <c r="A857" s="14" t="b">
        <f aca="false">TRUE()</f>
        <v>1</v>
      </c>
      <c r="B857" s="14" t="b">
        <f aca="false">FALSE()</f>
        <v>0</v>
      </c>
      <c r="C857" s="4" t="n">
        <v>2</v>
      </c>
      <c r="D857" s="4"/>
      <c r="E857" s="4"/>
      <c r="F857" s="4"/>
      <c r="G857" s="4" t="n">
        <v>2</v>
      </c>
      <c r="H857" s="14" t="b">
        <f aca="false">FALSE()</f>
        <v>0</v>
      </c>
      <c r="I857" s="14" t="b">
        <f aca="false">FALSE()</f>
        <v>0</v>
      </c>
      <c r="J857" s="4"/>
      <c r="K857" s="4" t="s">
        <v>3477</v>
      </c>
      <c r="L857" s="4" t="s">
        <v>3478</v>
      </c>
      <c r="M857" s="4" t="s">
        <v>3479</v>
      </c>
      <c r="N857" s="6" t="n">
        <v>53032</v>
      </c>
      <c r="O857" s="6" t="n">
        <v>87481</v>
      </c>
      <c r="P857" s="4" t="s">
        <v>46</v>
      </c>
      <c r="Q857" s="6"/>
      <c r="R857" s="15" t="n">
        <v>45966</v>
      </c>
      <c r="S857" s="6"/>
      <c r="T857" s="15"/>
      <c r="U857" s="6"/>
      <c r="V857" s="15"/>
      <c r="W857" s="4" t="s">
        <v>58</v>
      </c>
      <c r="X857" s="4" t="s">
        <v>47</v>
      </c>
      <c r="Y857" s="4" t="s">
        <v>3480</v>
      </c>
      <c r="Z857" s="4" t="s">
        <v>2911</v>
      </c>
      <c r="AA857" s="6" t="n">
        <v>0</v>
      </c>
      <c r="AB857" s="6" t="n">
        <v>7380.3</v>
      </c>
      <c r="AC857" s="6" t="n">
        <v>7888.47</v>
      </c>
      <c r="AD857" s="14" t="b">
        <f aca="false">FALSE()</f>
        <v>0</v>
      </c>
    </row>
    <row r="858" customFormat="false" ht="15" hidden="false" customHeight="false" outlineLevel="0" collapsed="false">
      <c r="A858" s="14" t="b">
        <f aca="false">TRUE()</f>
        <v>1</v>
      </c>
      <c r="B858" s="14" t="b">
        <f aca="false">FALSE()</f>
        <v>0</v>
      </c>
      <c r="C858" s="4" t="n">
        <v>2</v>
      </c>
      <c r="D858" s="4"/>
      <c r="E858" s="4"/>
      <c r="F858" s="4"/>
      <c r="G858" s="4"/>
      <c r="H858" s="14" t="b">
        <f aca="false">FALSE()</f>
        <v>0</v>
      </c>
      <c r="I858" s="14" t="b">
        <f aca="false">FALSE()</f>
        <v>0</v>
      </c>
      <c r="J858" s="4"/>
      <c r="K858" s="4" t="s">
        <v>3481</v>
      </c>
      <c r="L858" s="4" t="s">
        <v>3482</v>
      </c>
      <c r="M858" s="4" t="s">
        <v>3483</v>
      </c>
      <c r="N858" s="6" t="n">
        <v>41812</v>
      </c>
      <c r="O858" s="6" t="n">
        <v>222066</v>
      </c>
      <c r="P858" s="4" t="s">
        <v>46</v>
      </c>
      <c r="Q858" s="6" t="n">
        <v>25000</v>
      </c>
      <c r="R858" s="15" t="n">
        <v>37312</v>
      </c>
      <c r="S858" s="6" t="n">
        <v>250000</v>
      </c>
      <c r="T858" s="15" t="n">
        <v>38695</v>
      </c>
      <c r="U858" s="6" t="n">
        <v>175000</v>
      </c>
      <c r="V858" s="15" t="n">
        <v>39924</v>
      </c>
      <c r="W858" s="4" t="s">
        <v>47</v>
      </c>
      <c r="X858" s="4" t="s">
        <v>47</v>
      </c>
      <c r="Y858" s="4" t="s">
        <v>3484</v>
      </c>
      <c r="Z858" s="4" t="s">
        <v>2911</v>
      </c>
      <c r="AA858" s="6" t="n">
        <v>0</v>
      </c>
      <c r="AB858" s="6" t="n">
        <v>13790.36</v>
      </c>
      <c r="AC858" s="6" t="n">
        <v>7215.46</v>
      </c>
      <c r="AD858" s="14" t="b">
        <f aca="false">TRUE()</f>
        <v>1</v>
      </c>
    </row>
    <row r="859" customFormat="false" ht="15" hidden="false" customHeight="false" outlineLevel="0" collapsed="false">
      <c r="A859" s="14" t="b">
        <f aca="false">TRUE()</f>
        <v>1</v>
      </c>
      <c r="B859" s="14" t="b">
        <f aca="false">FALSE()</f>
        <v>0</v>
      </c>
      <c r="C859" s="4" t="n">
        <v>3</v>
      </c>
      <c r="D859" s="4"/>
      <c r="E859" s="4"/>
      <c r="F859" s="4"/>
      <c r="G859" s="4"/>
      <c r="H859" s="14" t="b">
        <f aca="false">FALSE()</f>
        <v>0</v>
      </c>
      <c r="I859" s="14" t="b">
        <f aca="false">FALSE()</f>
        <v>0</v>
      </c>
      <c r="J859" s="4"/>
      <c r="K859" s="4" t="s">
        <v>2555</v>
      </c>
      <c r="L859" s="4" t="s">
        <v>3485</v>
      </c>
      <c r="M859" s="4" t="s">
        <v>3486</v>
      </c>
      <c r="N859" s="6" t="n">
        <v>47148</v>
      </c>
      <c r="O859" s="6" t="n">
        <v>113887</v>
      </c>
      <c r="P859" s="4" t="s">
        <v>46</v>
      </c>
      <c r="Q859" s="6" t="n">
        <v>260000</v>
      </c>
      <c r="R859" s="15" t="n">
        <v>40031</v>
      </c>
      <c r="S859" s="6" t="n">
        <v>195000</v>
      </c>
      <c r="T859" s="15" t="n">
        <v>40031</v>
      </c>
      <c r="U859" s="6"/>
      <c r="V859" s="15"/>
      <c r="W859" s="4" t="s">
        <v>47</v>
      </c>
      <c r="X859" s="4" t="s">
        <v>47</v>
      </c>
      <c r="Y859" s="4" t="s">
        <v>3487</v>
      </c>
      <c r="Z859" s="4" t="s">
        <v>2911</v>
      </c>
      <c r="AA859" s="6" t="n">
        <v>0</v>
      </c>
      <c r="AB859" s="6" t="n">
        <v>8521.68</v>
      </c>
      <c r="AC859" s="6" t="n">
        <v>9106.9</v>
      </c>
      <c r="AD859" s="14" t="b">
        <f aca="false">FALSE()</f>
        <v>0</v>
      </c>
    </row>
    <row r="860" customFormat="false" ht="15" hidden="false" customHeight="false" outlineLevel="0" collapsed="false">
      <c r="A860" s="14" t="b">
        <f aca="false">TRUE()</f>
        <v>1</v>
      </c>
      <c r="B860" s="14" t="b">
        <f aca="false">FALSE()</f>
        <v>0</v>
      </c>
      <c r="C860" s="4" t="n">
        <v>2</v>
      </c>
      <c r="D860" s="4"/>
      <c r="E860" s="4"/>
      <c r="F860" s="4"/>
      <c r="G860" s="4"/>
      <c r="H860" s="14" t="b">
        <f aca="false">FALSE()</f>
        <v>0</v>
      </c>
      <c r="I860" s="14" t="b">
        <f aca="false">FALSE()</f>
        <v>0</v>
      </c>
      <c r="J860" s="4"/>
      <c r="K860" s="4" t="s">
        <v>3488</v>
      </c>
      <c r="L860" s="4" t="s">
        <v>3489</v>
      </c>
      <c r="M860" s="4" t="s">
        <v>3490</v>
      </c>
      <c r="N860" s="6" t="n">
        <v>6859</v>
      </c>
      <c r="O860" s="6" t="n">
        <v>31458</v>
      </c>
      <c r="P860" s="4" t="s">
        <v>46</v>
      </c>
      <c r="Q860" s="6" t="n">
        <v>100000</v>
      </c>
      <c r="R860" s="15" t="n">
        <v>45589</v>
      </c>
      <c r="S860" s="6"/>
      <c r="T860" s="15"/>
      <c r="U860" s="6"/>
      <c r="V860" s="15"/>
      <c r="W860" s="4" t="s">
        <v>47</v>
      </c>
      <c r="X860" s="4" t="s">
        <v>47</v>
      </c>
      <c r="Y860" s="4" t="s">
        <v>3491</v>
      </c>
      <c r="Z860" s="4" t="s">
        <v>3396</v>
      </c>
      <c r="AA860" s="6" t="n">
        <v>0</v>
      </c>
      <c r="AB860" s="6" t="n">
        <v>3014.1</v>
      </c>
      <c r="AC860" s="6" t="n">
        <v>3227.55</v>
      </c>
      <c r="AD860" s="14" t="b">
        <f aca="false">FALSE()</f>
        <v>0</v>
      </c>
    </row>
    <row r="861" customFormat="false" ht="15" hidden="false" customHeight="false" outlineLevel="0" collapsed="false">
      <c r="A861" s="14" t="b">
        <f aca="false">TRUE()</f>
        <v>1</v>
      </c>
      <c r="B861" s="14" t="b">
        <f aca="false">FALSE()</f>
        <v>0</v>
      </c>
      <c r="C861" s="4" t="n">
        <v>2</v>
      </c>
      <c r="D861" s="4"/>
      <c r="E861" s="4"/>
      <c r="F861" s="4"/>
      <c r="G861" s="4"/>
      <c r="H861" s="14" t="b">
        <f aca="false">FALSE()</f>
        <v>0</v>
      </c>
      <c r="I861" s="14" t="b">
        <f aca="false">FALSE()</f>
        <v>0</v>
      </c>
      <c r="J861" s="4"/>
      <c r="K861" s="4" t="s">
        <v>3492</v>
      </c>
      <c r="L861" s="4" t="s">
        <v>3493</v>
      </c>
      <c r="M861" s="4" t="s">
        <v>3494</v>
      </c>
      <c r="N861" s="6" t="n">
        <v>3188</v>
      </c>
      <c r="O861" s="6" t="n">
        <v>28302</v>
      </c>
      <c r="P861" s="4" t="s">
        <v>46</v>
      </c>
      <c r="Q861" s="6" t="n">
        <v>105000</v>
      </c>
      <c r="R861" s="15" t="n">
        <v>45393</v>
      </c>
      <c r="S861" s="6" t="n">
        <v>110000</v>
      </c>
      <c r="T861" s="15" t="n">
        <v>45393</v>
      </c>
      <c r="U861" s="6"/>
      <c r="V861" s="15"/>
      <c r="W861" s="4" t="s">
        <v>47</v>
      </c>
      <c r="X861" s="4" t="s">
        <v>47</v>
      </c>
      <c r="Y861" s="4" t="s">
        <v>3495</v>
      </c>
      <c r="Z861" s="4" t="s">
        <v>3396</v>
      </c>
      <c r="AA861" s="6" t="n">
        <v>0</v>
      </c>
      <c r="AB861" s="6" t="n">
        <v>2477.06</v>
      </c>
      <c r="AC861" s="6" t="n">
        <v>1304.26</v>
      </c>
      <c r="AD861" s="14" t="b">
        <f aca="false">TRUE()</f>
        <v>1</v>
      </c>
    </row>
    <row r="862" customFormat="false" ht="15" hidden="false" customHeight="false" outlineLevel="0" collapsed="false">
      <c r="A862" s="14" t="b">
        <f aca="false">TRUE()</f>
        <v>1</v>
      </c>
      <c r="B862" s="14" t="b">
        <f aca="false">FALSE()</f>
        <v>0</v>
      </c>
      <c r="C862" s="4" t="n">
        <v>3</v>
      </c>
      <c r="D862" s="4"/>
      <c r="E862" s="4"/>
      <c r="F862" s="4"/>
      <c r="G862" s="4"/>
      <c r="H862" s="14" t="b">
        <f aca="false">FALSE()</f>
        <v>0</v>
      </c>
      <c r="I862" s="14" t="b">
        <f aca="false">FALSE()</f>
        <v>0</v>
      </c>
      <c r="J862" s="4"/>
      <c r="K862" s="4" t="s">
        <v>3496</v>
      </c>
      <c r="L862" s="4" t="s">
        <v>3497</v>
      </c>
      <c r="M862" s="4" t="s">
        <v>3498</v>
      </c>
      <c r="N862" s="6" t="n">
        <v>25650</v>
      </c>
      <c r="O862" s="6" t="n">
        <v>92335</v>
      </c>
      <c r="P862" s="4" t="s">
        <v>46</v>
      </c>
      <c r="Q862" s="6" t="n">
        <v>280000</v>
      </c>
      <c r="R862" s="15" t="n">
        <v>38163</v>
      </c>
      <c r="S862" s="6" t="n">
        <v>84000</v>
      </c>
      <c r="T862" s="15" t="n">
        <v>41120</v>
      </c>
      <c r="U862" s="6"/>
      <c r="V862" s="15"/>
      <c r="W862" s="4" t="s">
        <v>47</v>
      </c>
      <c r="X862" s="4" t="s">
        <v>47</v>
      </c>
      <c r="Y862" s="4" t="s">
        <v>3499</v>
      </c>
      <c r="Z862" s="4" t="s">
        <v>3396</v>
      </c>
      <c r="AA862" s="6" t="n">
        <v>0</v>
      </c>
      <c r="AB862" s="6" t="n">
        <v>9026.58</v>
      </c>
      <c r="AC862" s="6" t="n">
        <v>9645.88</v>
      </c>
      <c r="AD862" s="14" t="b">
        <f aca="false">FALSE()</f>
        <v>0</v>
      </c>
    </row>
    <row r="863" customFormat="false" ht="15" hidden="false" customHeight="false" outlineLevel="0" collapsed="false">
      <c r="A863" s="14" t="b">
        <f aca="false">TRUE()</f>
        <v>1</v>
      </c>
      <c r="B863" s="14" t="b">
        <f aca="false">FALSE()</f>
        <v>0</v>
      </c>
      <c r="C863" s="4" t="n">
        <v>3</v>
      </c>
      <c r="D863" s="4"/>
      <c r="E863" s="4"/>
      <c r="F863" s="4"/>
      <c r="G863" s="4"/>
      <c r="H863" s="14" t="b">
        <f aca="false">FALSE()</f>
        <v>0</v>
      </c>
      <c r="I863" s="14" t="b">
        <f aca="false">FALSE()</f>
        <v>0</v>
      </c>
      <c r="J863" s="4"/>
      <c r="K863" s="4" t="s">
        <v>3500</v>
      </c>
      <c r="L863" s="4" t="s">
        <v>3501</v>
      </c>
      <c r="M863" s="4" t="s">
        <v>3502</v>
      </c>
      <c r="N863" s="6" t="n">
        <v>8842</v>
      </c>
      <c r="O863" s="6" t="n">
        <v>63857</v>
      </c>
      <c r="P863" s="4" t="s">
        <v>46</v>
      </c>
      <c r="Q863" s="6" t="n">
        <v>300000</v>
      </c>
      <c r="R863" s="15" t="n">
        <v>45503</v>
      </c>
      <c r="S863" s="6" t="n">
        <v>300000</v>
      </c>
      <c r="T863" s="15" t="n">
        <v>45503</v>
      </c>
      <c r="U863" s="6"/>
      <c r="V863" s="15"/>
      <c r="W863" s="4" t="s">
        <v>47</v>
      </c>
      <c r="X863" s="4" t="s">
        <v>47</v>
      </c>
      <c r="Y863" s="4" t="s">
        <v>3503</v>
      </c>
      <c r="Z863" s="4" t="s">
        <v>3396</v>
      </c>
      <c r="AA863" s="6" t="n">
        <v>0</v>
      </c>
      <c r="AB863" s="6" t="n">
        <v>5089.38</v>
      </c>
      <c r="AC863" s="6" t="n">
        <v>5442.91</v>
      </c>
      <c r="AD863" s="14" t="b">
        <f aca="false">FALSE()</f>
        <v>0</v>
      </c>
    </row>
    <row r="864" customFormat="false" ht="15" hidden="false" customHeight="false" outlineLevel="0" collapsed="false">
      <c r="A864" s="14" t="b">
        <f aca="false">TRUE()</f>
        <v>1</v>
      </c>
      <c r="B864" s="14" t="b">
        <f aca="false">FALSE()</f>
        <v>0</v>
      </c>
      <c r="C864" s="4" t="n">
        <v>2</v>
      </c>
      <c r="D864" s="4"/>
      <c r="E864" s="4"/>
      <c r="F864" s="4"/>
      <c r="G864" s="4" t="n">
        <v>2</v>
      </c>
      <c r="H864" s="14" t="b">
        <f aca="false">FALSE()</f>
        <v>0</v>
      </c>
      <c r="I864" s="14" t="b">
        <f aca="false">FALSE()</f>
        <v>0</v>
      </c>
      <c r="J864" s="4"/>
      <c r="K864" s="4" t="s">
        <v>3504</v>
      </c>
      <c r="L864" s="4" t="s">
        <v>3505</v>
      </c>
      <c r="M864" s="4" t="s">
        <v>3506</v>
      </c>
      <c r="N864" s="6" t="n">
        <v>8853</v>
      </c>
      <c r="O864" s="6" t="n">
        <v>63835</v>
      </c>
      <c r="P864" s="4" t="s">
        <v>46</v>
      </c>
      <c r="Q864" s="6" t="n">
        <v>251000</v>
      </c>
      <c r="R864" s="15" t="n">
        <v>45329</v>
      </c>
      <c r="S864" s="6"/>
      <c r="T864" s="15"/>
      <c r="U864" s="6"/>
      <c r="V864" s="15"/>
      <c r="W864" s="4" t="s">
        <v>47</v>
      </c>
      <c r="X864" s="4" t="s">
        <v>47</v>
      </c>
      <c r="Y864" s="4" t="s">
        <v>3507</v>
      </c>
      <c r="Z864" s="4" t="s">
        <v>3396</v>
      </c>
      <c r="AA864" s="6" t="n">
        <v>0</v>
      </c>
      <c r="AB864" s="6" t="n">
        <v>5717.78</v>
      </c>
      <c r="AC864" s="6" t="n">
        <v>6113.73</v>
      </c>
      <c r="AD864" s="14" t="b">
        <f aca="false">FALSE()</f>
        <v>0</v>
      </c>
    </row>
    <row r="865" customFormat="false" ht="15" hidden="false" customHeight="false" outlineLevel="0" collapsed="false">
      <c r="A865" s="14" t="b">
        <f aca="false">TRUE()</f>
        <v>1</v>
      </c>
      <c r="B865" s="14" t="b">
        <f aca="false">FALSE()</f>
        <v>0</v>
      </c>
      <c r="C865" s="4" t="n">
        <v>2</v>
      </c>
      <c r="D865" s="4"/>
      <c r="E865" s="4"/>
      <c r="F865" s="4"/>
      <c r="G865" s="4"/>
      <c r="H865" s="14" t="b">
        <f aca="false">FALSE()</f>
        <v>0</v>
      </c>
      <c r="I865" s="14" t="b">
        <f aca="false">FALSE()</f>
        <v>0</v>
      </c>
      <c r="J865" s="4"/>
      <c r="K865" s="4" t="s">
        <v>3508</v>
      </c>
      <c r="L865" s="4" t="s">
        <v>3509</v>
      </c>
      <c r="M865" s="4" t="s">
        <v>3510</v>
      </c>
      <c r="N865" s="6" t="n">
        <v>5972</v>
      </c>
      <c r="O865" s="6" t="n">
        <v>44661</v>
      </c>
      <c r="P865" s="4" t="s">
        <v>46</v>
      </c>
      <c r="Q865" s="6" t="n">
        <v>160000</v>
      </c>
      <c r="R865" s="15" t="n">
        <v>44777</v>
      </c>
      <c r="S865" s="6"/>
      <c r="T865" s="15"/>
      <c r="U865" s="6"/>
      <c r="V865" s="15"/>
      <c r="W865" s="4" t="s">
        <v>47</v>
      </c>
      <c r="X865" s="4" t="s">
        <v>47</v>
      </c>
      <c r="Y865" s="4" t="s">
        <v>3511</v>
      </c>
      <c r="Z865" s="4" t="s">
        <v>3396</v>
      </c>
      <c r="AA865" s="6" t="n">
        <v>0</v>
      </c>
      <c r="AB865" s="6" t="n">
        <v>3982.9</v>
      </c>
      <c r="AC865" s="6" t="n">
        <v>2091.07</v>
      </c>
      <c r="AD865" s="14" t="b">
        <f aca="false">TRUE()</f>
        <v>1</v>
      </c>
    </row>
    <row r="866" customFormat="false" ht="15" hidden="false" customHeight="false" outlineLevel="0" collapsed="false">
      <c r="A866" s="14" t="b">
        <f aca="false">TRUE()</f>
        <v>1</v>
      </c>
      <c r="B866" s="14" t="b">
        <f aca="false">FALSE()</f>
        <v>0</v>
      </c>
      <c r="C866" s="4" t="n">
        <v>2</v>
      </c>
      <c r="D866" s="4"/>
      <c r="E866" s="4"/>
      <c r="F866" s="4"/>
      <c r="G866" s="4"/>
      <c r="H866" s="14" t="b">
        <f aca="false">FALSE()</f>
        <v>0</v>
      </c>
      <c r="I866" s="14" t="b">
        <f aca="false">FALSE()</f>
        <v>0</v>
      </c>
      <c r="J866" s="4"/>
      <c r="K866" s="4" t="s">
        <v>3512</v>
      </c>
      <c r="L866" s="4" t="s">
        <v>3513</v>
      </c>
      <c r="M866" s="4" t="s">
        <v>3514</v>
      </c>
      <c r="N866" s="6" t="n">
        <v>57787</v>
      </c>
      <c r="O866" s="6" t="n">
        <v>55694</v>
      </c>
      <c r="P866" s="4" t="s">
        <v>46</v>
      </c>
      <c r="Q866" s="6"/>
      <c r="R866" s="15"/>
      <c r="S866" s="6"/>
      <c r="T866" s="15"/>
      <c r="U866" s="6"/>
      <c r="V866" s="15"/>
      <c r="W866" s="4" t="s">
        <v>47</v>
      </c>
      <c r="X866" s="4" t="s">
        <v>58</v>
      </c>
      <c r="Y866" s="4" t="s">
        <v>3515</v>
      </c>
      <c r="Z866" s="4" t="s">
        <v>2108</v>
      </c>
      <c r="AA866" s="6" t="n">
        <v>0</v>
      </c>
      <c r="AB866" s="6" t="n">
        <v>7146.54</v>
      </c>
      <c r="AC866" s="6" t="n">
        <v>3744.07</v>
      </c>
      <c r="AD866" s="14" t="b">
        <f aca="false">TRUE()</f>
        <v>1</v>
      </c>
    </row>
    <row r="867" customFormat="false" ht="15" hidden="false" customHeight="false" outlineLevel="0" collapsed="false">
      <c r="A867" s="14" t="b">
        <f aca="false">TRUE()</f>
        <v>1</v>
      </c>
      <c r="B867" s="14" t="b">
        <f aca="false">FALSE()</f>
        <v>0</v>
      </c>
      <c r="C867" s="4" t="n">
        <v>3</v>
      </c>
      <c r="D867" s="4"/>
      <c r="E867" s="4"/>
      <c r="F867" s="4"/>
      <c r="G867" s="4"/>
      <c r="H867" s="14" t="b">
        <f aca="false">FALSE()</f>
        <v>0</v>
      </c>
      <c r="I867" s="14" t="b">
        <f aca="false">FALSE()</f>
        <v>0</v>
      </c>
      <c r="J867" s="4"/>
      <c r="K867" s="4" t="s">
        <v>3516</v>
      </c>
      <c r="L867" s="4" t="s">
        <v>3517</v>
      </c>
      <c r="M867" s="4" t="s">
        <v>3518</v>
      </c>
      <c r="N867" s="6" t="n">
        <v>50534</v>
      </c>
      <c r="O867" s="6" t="n">
        <v>73686</v>
      </c>
      <c r="P867" s="4" t="s">
        <v>46</v>
      </c>
      <c r="Q867" s="6" t="n">
        <v>217000</v>
      </c>
      <c r="R867" s="15" t="n">
        <v>37559</v>
      </c>
      <c r="S867" s="6" t="n">
        <v>177357</v>
      </c>
      <c r="T867" s="15" t="n">
        <v>41562</v>
      </c>
      <c r="U867" s="6"/>
      <c r="V867" s="15"/>
      <c r="W867" s="4" t="s">
        <v>47</v>
      </c>
      <c r="X867" s="4" t="s">
        <v>47</v>
      </c>
      <c r="Y867" s="4" t="s">
        <v>3519</v>
      </c>
      <c r="Z867" s="4" t="s">
        <v>2108</v>
      </c>
      <c r="AA867" s="6" t="n">
        <v>0</v>
      </c>
      <c r="AB867" s="6" t="n">
        <v>7119.76</v>
      </c>
      <c r="AC867" s="6" t="n">
        <v>7610.34</v>
      </c>
      <c r="AD867" s="14" t="b">
        <f aca="false">FALSE()</f>
        <v>0</v>
      </c>
    </row>
    <row r="868" customFormat="false" ht="15" hidden="false" customHeight="false" outlineLevel="0" collapsed="false">
      <c r="A868" s="14" t="b">
        <f aca="false">TRUE()</f>
        <v>1</v>
      </c>
      <c r="B868" s="14" t="b">
        <f aca="false">FALSE()</f>
        <v>0</v>
      </c>
      <c r="C868" s="4" t="n">
        <v>3</v>
      </c>
      <c r="D868" s="4"/>
      <c r="E868" s="4"/>
      <c r="F868" s="4"/>
      <c r="G868" s="4"/>
      <c r="H868" s="14" t="b">
        <f aca="false">FALSE()</f>
        <v>0</v>
      </c>
      <c r="I868" s="14" t="b">
        <f aca="false">FALSE()</f>
        <v>0</v>
      </c>
      <c r="J868" s="4"/>
      <c r="K868" s="4" t="s">
        <v>3520</v>
      </c>
      <c r="L868" s="4" t="s">
        <v>3521</v>
      </c>
      <c r="M868" s="4" t="s">
        <v>3522</v>
      </c>
      <c r="N868" s="6" t="n">
        <v>81882</v>
      </c>
      <c r="O868" s="6" t="n">
        <v>95874</v>
      </c>
      <c r="P868" s="4" t="s">
        <v>46</v>
      </c>
      <c r="Q868" s="6"/>
      <c r="R868" s="15"/>
      <c r="S868" s="6"/>
      <c r="T868" s="15"/>
      <c r="U868" s="6"/>
      <c r="V868" s="15"/>
      <c r="W868" s="4" t="s">
        <v>47</v>
      </c>
      <c r="X868" s="4" t="s">
        <v>47</v>
      </c>
      <c r="Y868" s="4" t="s">
        <v>3523</v>
      </c>
      <c r="Z868" s="4" t="s">
        <v>2108</v>
      </c>
      <c r="AA868" s="6" t="n">
        <v>0</v>
      </c>
      <c r="AB868" s="6" t="n">
        <v>9477.32</v>
      </c>
      <c r="AC868" s="6" t="n">
        <v>10127.04</v>
      </c>
      <c r="AD868" s="14" t="b">
        <f aca="false">FALSE()</f>
        <v>0</v>
      </c>
    </row>
    <row r="869" customFormat="false" ht="15" hidden="false" customHeight="false" outlineLevel="0" collapsed="false">
      <c r="A869" s="14" t="b">
        <f aca="false">TRUE()</f>
        <v>1</v>
      </c>
      <c r="B869" s="14" t="b">
        <f aca="false">FALSE()</f>
        <v>0</v>
      </c>
      <c r="C869" s="4" t="n">
        <v>2</v>
      </c>
      <c r="D869" s="4"/>
      <c r="E869" s="4"/>
      <c r="F869" s="4"/>
      <c r="G869" s="4"/>
      <c r="H869" s="14" t="b">
        <f aca="false">FALSE()</f>
        <v>0</v>
      </c>
      <c r="I869" s="14" t="b">
        <f aca="false">FALSE()</f>
        <v>0</v>
      </c>
      <c r="J869" s="4"/>
      <c r="K869" s="4" t="s">
        <v>3524</v>
      </c>
      <c r="L869" s="4" t="s">
        <v>3525</v>
      </c>
      <c r="M869" s="4" t="s">
        <v>3526</v>
      </c>
      <c r="N869" s="6" t="n">
        <v>81882</v>
      </c>
      <c r="O869" s="6" t="n">
        <v>48518</v>
      </c>
      <c r="P869" s="4" t="s">
        <v>46</v>
      </c>
      <c r="Q869" s="6"/>
      <c r="R869" s="15"/>
      <c r="S869" s="6"/>
      <c r="T869" s="15"/>
      <c r="U869" s="6"/>
      <c r="V869" s="15"/>
      <c r="W869" s="4" t="s">
        <v>47</v>
      </c>
      <c r="X869" s="4" t="s">
        <v>47</v>
      </c>
      <c r="Y869" s="4" t="s">
        <v>3527</v>
      </c>
      <c r="Z869" s="4" t="s">
        <v>2108</v>
      </c>
      <c r="AA869" s="6" t="n">
        <v>0</v>
      </c>
      <c r="AB869" s="6" t="n">
        <v>6386.82</v>
      </c>
      <c r="AC869" s="6" t="n">
        <v>3347.11</v>
      </c>
      <c r="AD869" s="14" t="b">
        <f aca="false">TRUE()</f>
        <v>1</v>
      </c>
    </row>
    <row r="870" customFormat="false" ht="15" hidden="false" customHeight="false" outlineLevel="0" collapsed="false">
      <c r="A870" s="14" t="b">
        <f aca="false">TRUE()</f>
        <v>1</v>
      </c>
      <c r="B870" s="14" t="b">
        <f aca="false">FALSE()</f>
        <v>0</v>
      </c>
      <c r="C870" s="4" t="n">
        <v>2</v>
      </c>
      <c r="D870" s="4"/>
      <c r="E870" s="4"/>
      <c r="F870" s="4"/>
      <c r="G870" s="4"/>
      <c r="H870" s="14" t="b">
        <f aca="false">FALSE()</f>
        <v>0</v>
      </c>
      <c r="I870" s="14" t="b">
        <f aca="false">FALSE()</f>
        <v>0</v>
      </c>
      <c r="J870" s="4"/>
      <c r="K870" s="4" t="s">
        <v>3528</v>
      </c>
      <c r="L870" s="4" t="s">
        <v>3529</v>
      </c>
      <c r="M870" s="4" t="s">
        <v>3530</v>
      </c>
      <c r="N870" s="6" t="n">
        <v>7221</v>
      </c>
      <c r="O870" s="6" t="n">
        <v>53065</v>
      </c>
      <c r="P870" s="4" t="s">
        <v>46</v>
      </c>
      <c r="Q870" s="6"/>
      <c r="R870" s="15" t="n">
        <v>42150</v>
      </c>
      <c r="S870" s="6"/>
      <c r="T870" s="15"/>
      <c r="U870" s="6"/>
      <c r="V870" s="15"/>
      <c r="W870" s="4" t="s">
        <v>47</v>
      </c>
      <c r="X870" s="4" t="s">
        <v>58</v>
      </c>
      <c r="Y870" s="4" t="s">
        <v>3531</v>
      </c>
      <c r="Z870" s="4" t="s">
        <v>2108</v>
      </c>
      <c r="AA870" s="6" t="n">
        <v>0</v>
      </c>
      <c r="AB870" s="6" t="n">
        <v>3693.18</v>
      </c>
      <c r="AC870" s="6" t="n">
        <v>3952.47</v>
      </c>
      <c r="AD870" s="14" t="b">
        <f aca="false">FALSE()</f>
        <v>0</v>
      </c>
    </row>
    <row r="871" customFormat="false" ht="15" hidden="false" customHeight="false" outlineLevel="0" collapsed="false">
      <c r="A871" s="14" t="b">
        <f aca="false">TRUE()</f>
        <v>1</v>
      </c>
      <c r="B871" s="14" t="b">
        <f aca="false">FALSE()</f>
        <v>0</v>
      </c>
      <c r="C871" s="4" t="n">
        <v>2</v>
      </c>
      <c r="D871" s="4"/>
      <c r="E871" s="4"/>
      <c r="F871" s="4"/>
      <c r="G871" s="4"/>
      <c r="H871" s="14" t="b">
        <f aca="false">FALSE()</f>
        <v>0</v>
      </c>
      <c r="I871" s="14" t="b">
        <f aca="false">FALSE()</f>
        <v>0</v>
      </c>
      <c r="J871" s="4"/>
      <c r="K871" s="4" t="s">
        <v>3532</v>
      </c>
      <c r="L871" s="4" t="s">
        <v>3533</v>
      </c>
      <c r="M871" s="4" t="s">
        <v>3534</v>
      </c>
      <c r="N871" s="6" t="n">
        <v>115947</v>
      </c>
      <c r="O871" s="6" t="n">
        <v>27754</v>
      </c>
      <c r="P871" s="4" t="s">
        <v>46</v>
      </c>
      <c r="Q871" s="6" t="n">
        <v>937.5</v>
      </c>
      <c r="R871" s="15" t="n">
        <v>43409</v>
      </c>
      <c r="S871" s="6"/>
      <c r="T871" s="15"/>
      <c r="U871" s="6"/>
      <c r="V871" s="15"/>
      <c r="W871" s="4" t="s">
        <v>58</v>
      </c>
      <c r="X871" s="4" t="s">
        <v>47</v>
      </c>
      <c r="Y871" s="4" t="s">
        <v>3535</v>
      </c>
      <c r="Z871" s="4" t="s">
        <v>2108</v>
      </c>
      <c r="AA871" s="6" t="n">
        <v>0</v>
      </c>
      <c r="AB871" s="6" t="n">
        <v>8313.2</v>
      </c>
      <c r="AC871" s="6" t="n">
        <v>8884.34</v>
      </c>
      <c r="AD871" s="14" t="b">
        <f aca="false">FALSE()</f>
        <v>0</v>
      </c>
    </row>
    <row r="872" customFormat="false" ht="15" hidden="false" customHeight="false" outlineLevel="0" collapsed="false">
      <c r="A872" s="14" t="b">
        <f aca="false">TRUE()</f>
        <v>1</v>
      </c>
      <c r="B872" s="14" t="b">
        <f aca="false">FALSE()</f>
        <v>0</v>
      </c>
      <c r="C872" s="4" t="n">
        <v>2</v>
      </c>
      <c r="D872" s="4"/>
      <c r="E872" s="4"/>
      <c r="F872" s="4"/>
      <c r="G872" s="4"/>
      <c r="H872" s="14" t="b">
        <f aca="false">TRUE()</f>
        <v>1</v>
      </c>
      <c r="I872" s="14" t="b">
        <f aca="false">FALSE()</f>
        <v>0</v>
      </c>
      <c r="J872" s="4"/>
      <c r="K872" s="4" t="s">
        <v>3536</v>
      </c>
      <c r="L872" s="4" t="s">
        <v>3537</v>
      </c>
      <c r="M872" s="4" t="s">
        <v>3538</v>
      </c>
      <c r="N872" s="6" t="n">
        <v>79197</v>
      </c>
      <c r="O872" s="6" t="n">
        <v>21037</v>
      </c>
      <c r="P872" s="4" t="s">
        <v>46</v>
      </c>
      <c r="Q872" s="6" t="n">
        <v>335000</v>
      </c>
      <c r="R872" s="15" t="n">
        <v>44679</v>
      </c>
      <c r="S872" s="6"/>
      <c r="T872" s="15"/>
      <c r="U872" s="6"/>
      <c r="V872" s="15"/>
      <c r="W872" s="4" t="s">
        <v>47</v>
      </c>
      <c r="X872" s="4" t="s">
        <v>47</v>
      </c>
      <c r="Y872" s="4" t="s">
        <v>3539</v>
      </c>
      <c r="Z872" s="4" t="s">
        <v>2108</v>
      </c>
      <c r="AA872" s="6" t="n">
        <v>0</v>
      </c>
      <c r="AB872" s="6" t="n">
        <v>6140.44</v>
      </c>
      <c r="AC872" s="6" t="n">
        <v>6564.92</v>
      </c>
      <c r="AD872" s="14" t="b">
        <f aca="false">FALSE()</f>
        <v>0</v>
      </c>
    </row>
    <row r="873" customFormat="false" ht="15" hidden="false" customHeight="false" outlineLevel="0" collapsed="false">
      <c r="A873" s="14" t="b">
        <f aca="false">TRUE()</f>
        <v>1</v>
      </c>
      <c r="B873" s="14" t="b">
        <f aca="false">FALSE()</f>
        <v>0</v>
      </c>
      <c r="C873" s="4" t="n">
        <v>2</v>
      </c>
      <c r="D873" s="4"/>
      <c r="E873" s="4"/>
      <c r="F873" s="4"/>
      <c r="G873" s="4"/>
      <c r="H873" s="14" t="b">
        <f aca="false">FALSE()</f>
        <v>0</v>
      </c>
      <c r="I873" s="14" t="b">
        <f aca="false">FALSE()</f>
        <v>0</v>
      </c>
      <c r="J873" s="4"/>
      <c r="K873" s="4" t="s">
        <v>3540</v>
      </c>
      <c r="L873" s="4" t="s">
        <v>3541</v>
      </c>
      <c r="M873" s="4" t="s">
        <v>3542</v>
      </c>
      <c r="N873" s="6" t="n">
        <v>110436</v>
      </c>
      <c r="O873" s="6" t="n">
        <v>75943</v>
      </c>
      <c r="P873" s="4" t="s">
        <v>46</v>
      </c>
      <c r="Q873" s="6" t="n">
        <v>505000</v>
      </c>
      <c r="R873" s="15" t="n">
        <v>44600</v>
      </c>
      <c r="S873" s="6" t="n">
        <v>326500</v>
      </c>
      <c r="T873" s="15" t="n">
        <v>44600</v>
      </c>
      <c r="U873" s="6"/>
      <c r="V873" s="15"/>
      <c r="W873" s="4" t="s">
        <v>58</v>
      </c>
      <c r="X873" s="4" t="s">
        <v>47</v>
      </c>
      <c r="Y873" s="4" t="s">
        <v>3543</v>
      </c>
      <c r="Z873" s="4" t="s">
        <v>2108</v>
      </c>
      <c r="AA873" s="6" t="n">
        <v>0</v>
      </c>
      <c r="AB873" s="6" t="n">
        <v>11417.78</v>
      </c>
      <c r="AC873" s="6" t="n">
        <v>5975.79</v>
      </c>
      <c r="AD873" s="14" t="b">
        <f aca="false">TRUE()</f>
        <v>1</v>
      </c>
    </row>
    <row r="874" customFormat="false" ht="15" hidden="false" customHeight="false" outlineLevel="0" collapsed="false">
      <c r="A874" s="14" t="b">
        <f aca="false">TRUE()</f>
        <v>1</v>
      </c>
      <c r="B874" s="14" t="b">
        <f aca="false">FALSE()</f>
        <v>0</v>
      </c>
      <c r="C874" s="4" t="n">
        <v>2</v>
      </c>
      <c r="D874" s="4"/>
      <c r="E874" s="4"/>
      <c r="F874" s="4"/>
      <c r="G874" s="4"/>
      <c r="H874" s="14" t="b">
        <f aca="false">FALSE()</f>
        <v>0</v>
      </c>
      <c r="I874" s="14" t="b">
        <f aca="false">FALSE()</f>
        <v>0</v>
      </c>
      <c r="J874" s="4"/>
      <c r="K874" s="4" t="s">
        <v>3544</v>
      </c>
      <c r="L874" s="4" t="s">
        <v>3545</v>
      </c>
      <c r="M874" s="4" t="s">
        <v>3546</v>
      </c>
      <c r="N874" s="6" t="n">
        <v>78573</v>
      </c>
      <c r="O874" s="6" t="n">
        <v>53404</v>
      </c>
      <c r="P874" s="4" t="s">
        <v>46</v>
      </c>
      <c r="Q874" s="6"/>
      <c r="R874" s="15"/>
      <c r="S874" s="6"/>
      <c r="T874" s="15"/>
      <c r="U874" s="6"/>
      <c r="V874" s="15"/>
      <c r="W874" s="4" t="s">
        <v>47</v>
      </c>
      <c r="X874" s="4" t="s">
        <v>47</v>
      </c>
      <c r="Y874" s="4" t="s">
        <v>3547</v>
      </c>
      <c r="Z874" s="4" t="s">
        <v>2108</v>
      </c>
      <c r="AA874" s="6" t="n">
        <v>0</v>
      </c>
      <c r="AB874" s="6" t="n">
        <v>6762.96</v>
      </c>
      <c r="AC874" s="6" t="n">
        <v>3543.65</v>
      </c>
      <c r="AD874" s="14" t="b">
        <f aca="false">TRUE()</f>
        <v>1</v>
      </c>
    </row>
    <row r="875" customFormat="false" ht="15" hidden="false" customHeight="false" outlineLevel="0" collapsed="false">
      <c r="A875" s="14" t="b">
        <f aca="false">TRUE()</f>
        <v>1</v>
      </c>
      <c r="B875" s="14" t="b">
        <f aca="false">FALSE()</f>
        <v>0</v>
      </c>
      <c r="C875" s="4" t="n">
        <v>2</v>
      </c>
      <c r="D875" s="4"/>
      <c r="E875" s="4"/>
      <c r="F875" s="4"/>
      <c r="G875" s="4" t="n">
        <v>3</v>
      </c>
      <c r="H875" s="14" t="b">
        <f aca="false">FALSE()</f>
        <v>0</v>
      </c>
      <c r="I875" s="14" t="b">
        <f aca="false">FALSE()</f>
        <v>0</v>
      </c>
      <c r="J875" s="4"/>
      <c r="K875" s="4" t="s">
        <v>3548</v>
      </c>
      <c r="L875" s="4" t="s">
        <v>3549</v>
      </c>
      <c r="M875" s="4" t="s">
        <v>3550</v>
      </c>
      <c r="N875" s="6" t="n">
        <v>81531</v>
      </c>
      <c r="O875" s="6" t="n">
        <v>178369</v>
      </c>
      <c r="P875" s="4" t="s">
        <v>46</v>
      </c>
      <c r="Q875" s="6" t="n">
        <v>470000</v>
      </c>
      <c r="R875" s="15" t="n">
        <v>39556</v>
      </c>
      <c r="S875" s="6" t="n">
        <v>350000</v>
      </c>
      <c r="T875" s="15" t="n">
        <v>44047</v>
      </c>
      <c r="U875" s="6"/>
      <c r="V875" s="15"/>
      <c r="W875" s="4" t="s">
        <v>47</v>
      </c>
      <c r="X875" s="4" t="s">
        <v>47</v>
      </c>
      <c r="Y875" s="4" t="s">
        <v>3551</v>
      </c>
      <c r="Z875" s="4" t="s">
        <v>2108</v>
      </c>
      <c r="AA875" s="6" t="n">
        <v>0</v>
      </c>
      <c r="AB875" s="6" t="n">
        <v>13900.12</v>
      </c>
      <c r="AC875" s="6" t="n">
        <v>7272.81</v>
      </c>
      <c r="AD875" s="14" t="b">
        <f aca="false">TRUE()</f>
        <v>1</v>
      </c>
    </row>
    <row r="876" customFormat="false" ht="15" hidden="false" customHeight="false" outlineLevel="0" collapsed="false">
      <c r="A876" s="14" t="b">
        <f aca="false">TRUE()</f>
        <v>1</v>
      </c>
      <c r="B876" s="14" t="b">
        <f aca="false">FALSE()</f>
        <v>0</v>
      </c>
      <c r="C876" s="4" t="n">
        <v>3</v>
      </c>
      <c r="D876" s="4"/>
      <c r="E876" s="4"/>
      <c r="F876" s="4"/>
      <c r="G876" s="4"/>
      <c r="H876" s="14" t="b">
        <f aca="false">FALSE()</f>
        <v>0</v>
      </c>
      <c r="I876" s="14" t="b">
        <f aca="false">FALSE()</f>
        <v>0</v>
      </c>
      <c r="J876" s="4"/>
      <c r="K876" s="4" t="s">
        <v>3552</v>
      </c>
      <c r="L876" s="4" t="s">
        <v>3553</v>
      </c>
      <c r="M876" s="4" t="s">
        <v>3554</v>
      </c>
      <c r="N876" s="6" t="n">
        <v>80961</v>
      </c>
      <c r="O876" s="6" t="n">
        <v>106655</v>
      </c>
      <c r="P876" s="4" t="s">
        <v>46</v>
      </c>
      <c r="Q876" s="6"/>
      <c r="R876" s="15" t="n">
        <v>43143</v>
      </c>
      <c r="S876" s="6"/>
      <c r="T876" s="15"/>
      <c r="U876" s="6"/>
      <c r="V876" s="15"/>
      <c r="W876" s="4" t="s">
        <v>47</v>
      </c>
      <c r="X876" s="4" t="s">
        <v>47</v>
      </c>
      <c r="Y876" s="4" t="s">
        <v>3555</v>
      </c>
      <c r="Z876" s="4" t="s">
        <v>2108</v>
      </c>
      <c r="AA876" s="6" t="n">
        <v>0</v>
      </c>
      <c r="AB876" s="6" t="n">
        <v>10513.38</v>
      </c>
      <c r="AC876" s="6" t="n">
        <v>11233.03</v>
      </c>
      <c r="AD876" s="14" t="b">
        <f aca="false">FALSE()</f>
        <v>0</v>
      </c>
    </row>
    <row r="877" customFormat="false" ht="15" hidden="false" customHeight="false" outlineLevel="0" collapsed="false">
      <c r="A877" s="14" t="b">
        <f aca="false">TRUE()</f>
        <v>1</v>
      </c>
      <c r="B877" s="14" t="b">
        <f aca="false">FALSE()</f>
        <v>0</v>
      </c>
      <c r="C877" s="4" t="n">
        <v>2</v>
      </c>
      <c r="D877" s="4"/>
      <c r="E877" s="4"/>
      <c r="F877" s="4"/>
      <c r="G877" s="4"/>
      <c r="H877" s="14" t="b">
        <f aca="false">FALSE()</f>
        <v>0</v>
      </c>
      <c r="I877" s="14" t="b">
        <f aca="false">FALSE()</f>
        <v>0</v>
      </c>
      <c r="J877" s="4"/>
      <c r="K877" s="4" t="s">
        <v>3556</v>
      </c>
      <c r="L877" s="4" t="s">
        <v>3557</v>
      </c>
      <c r="M877" s="4" t="s">
        <v>3558</v>
      </c>
      <c r="N877" s="6" t="n">
        <v>80961</v>
      </c>
      <c r="O877" s="6" t="n">
        <v>94373</v>
      </c>
      <c r="P877" s="4" t="s">
        <v>46</v>
      </c>
      <c r="Q877" s="6"/>
      <c r="R877" s="15" t="n">
        <v>35971</v>
      </c>
      <c r="S877" s="6"/>
      <c r="T877" s="15"/>
      <c r="U877" s="6"/>
      <c r="V877" s="15"/>
      <c r="W877" s="4" t="s">
        <v>47</v>
      </c>
      <c r="X877" s="4" t="s">
        <v>47</v>
      </c>
      <c r="Y877" s="4" t="s">
        <v>3559</v>
      </c>
      <c r="Z877" s="4" t="s">
        <v>2108</v>
      </c>
      <c r="AA877" s="6" t="n">
        <v>0</v>
      </c>
      <c r="AB877" s="6" t="n">
        <v>10251.06</v>
      </c>
      <c r="AC877" s="6" t="n">
        <v>5366.18</v>
      </c>
      <c r="AD877" s="14" t="b">
        <f aca="false">TRUE()</f>
        <v>1</v>
      </c>
    </row>
    <row r="878" customFormat="false" ht="15" hidden="false" customHeight="false" outlineLevel="0" collapsed="false">
      <c r="A878" s="14" t="b">
        <f aca="false">TRUE()</f>
        <v>1</v>
      </c>
      <c r="B878" s="14" t="b">
        <f aca="false">FALSE()</f>
        <v>0</v>
      </c>
      <c r="C878" s="4" t="n">
        <v>3</v>
      </c>
      <c r="D878" s="4"/>
      <c r="E878" s="4"/>
      <c r="F878" s="4"/>
      <c r="G878" s="4"/>
      <c r="H878" s="14" t="b">
        <f aca="false">FALSE()</f>
        <v>0</v>
      </c>
      <c r="I878" s="14" t="b">
        <f aca="false">FALSE()</f>
        <v>0</v>
      </c>
      <c r="J878" s="4"/>
      <c r="K878" s="4" t="s">
        <v>3560</v>
      </c>
      <c r="L878" s="4" t="s">
        <v>3561</v>
      </c>
      <c r="M878" s="4" t="s">
        <v>3562</v>
      </c>
      <c r="N878" s="6" t="n">
        <v>50819</v>
      </c>
      <c r="O878" s="6" t="n">
        <v>68470</v>
      </c>
      <c r="P878" s="4" t="s">
        <v>46</v>
      </c>
      <c r="Q878" s="6"/>
      <c r="R878" s="15"/>
      <c r="S878" s="6" t="n">
        <v>150340</v>
      </c>
      <c r="T878" s="15" t="n">
        <v>43745</v>
      </c>
      <c r="U878" s="6"/>
      <c r="V878" s="15"/>
      <c r="W878" s="4" t="s">
        <v>47</v>
      </c>
      <c r="X878" s="4" t="s">
        <v>58</v>
      </c>
      <c r="Y878" s="4" t="s">
        <v>3563</v>
      </c>
      <c r="Z878" s="4" t="s">
        <v>3396</v>
      </c>
      <c r="AA878" s="6" t="n">
        <v>0</v>
      </c>
      <c r="AB878" s="6" t="n">
        <v>7919.44</v>
      </c>
      <c r="AC878" s="6" t="n">
        <v>8464</v>
      </c>
      <c r="AD878" s="14" t="b">
        <f aca="false">FALSE()</f>
        <v>0</v>
      </c>
    </row>
    <row r="879" customFormat="false" ht="15" hidden="false" customHeight="false" outlineLevel="0" collapsed="false">
      <c r="A879" s="14" t="b">
        <f aca="false">TRUE()</f>
        <v>1</v>
      </c>
      <c r="B879" s="14" t="b">
        <f aca="false">FALSE()</f>
        <v>0</v>
      </c>
      <c r="C879" s="4" t="n">
        <v>2</v>
      </c>
      <c r="D879" s="4"/>
      <c r="E879" s="4"/>
      <c r="F879" s="4"/>
      <c r="G879" s="4" t="n">
        <v>2</v>
      </c>
      <c r="H879" s="14" t="b">
        <f aca="false">FALSE()</f>
        <v>0</v>
      </c>
      <c r="I879" s="14" t="b">
        <f aca="false">FALSE()</f>
        <v>0</v>
      </c>
      <c r="J879" s="4"/>
      <c r="K879" s="4" t="s">
        <v>3564</v>
      </c>
      <c r="L879" s="4" t="s">
        <v>3565</v>
      </c>
      <c r="M879" s="4" t="s">
        <v>3566</v>
      </c>
      <c r="N879" s="6" t="n">
        <v>49964</v>
      </c>
      <c r="O879" s="6" t="n">
        <v>53656</v>
      </c>
      <c r="P879" s="4" t="s">
        <v>46</v>
      </c>
      <c r="Q879" s="6" t="n">
        <v>225000</v>
      </c>
      <c r="R879" s="15" t="n">
        <v>40336</v>
      </c>
      <c r="S879" s="6"/>
      <c r="T879" s="15"/>
      <c r="U879" s="6"/>
      <c r="V879" s="15"/>
      <c r="W879" s="4" t="s">
        <v>47</v>
      </c>
      <c r="X879" s="4" t="s">
        <v>47</v>
      </c>
      <c r="Y879" s="4" t="s">
        <v>3567</v>
      </c>
      <c r="Z879" s="4" t="s">
        <v>3396</v>
      </c>
      <c r="AA879" s="6" t="n">
        <v>0</v>
      </c>
      <c r="AB879" s="6" t="n">
        <v>6804.42</v>
      </c>
      <c r="AC879" s="6" t="n">
        <v>3565.31</v>
      </c>
      <c r="AD879" s="14" t="b">
        <f aca="false">TRUE()</f>
        <v>1</v>
      </c>
    </row>
    <row r="880" customFormat="false" ht="15" hidden="false" customHeight="false" outlineLevel="0" collapsed="false">
      <c r="A880" s="14" t="b">
        <f aca="false">TRUE()</f>
        <v>1</v>
      </c>
      <c r="B880" s="14" t="b">
        <f aca="false">FALSE()</f>
        <v>0</v>
      </c>
      <c r="C880" s="4" t="n">
        <v>3</v>
      </c>
      <c r="D880" s="4"/>
      <c r="E880" s="4"/>
      <c r="F880" s="4" t="s">
        <v>440</v>
      </c>
      <c r="G880" s="4"/>
      <c r="H880" s="14" t="b">
        <f aca="false">FALSE()</f>
        <v>0</v>
      </c>
      <c r="I880" s="14" t="b">
        <f aca="false">FALSE()</f>
        <v>0</v>
      </c>
      <c r="J880" s="4"/>
      <c r="K880" s="4" t="s">
        <v>3568</v>
      </c>
      <c r="L880" s="4" t="s">
        <v>3569</v>
      </c>
      <c r="M880" s="4" t="s">
        <v>3570</v>
      </c>
      <c r="N880" s="6" t="n">
        <v>64734</v>
      </c>
      <c r="O880" s="6" t="n">
        <v>145399</v>
      </c>
      <c r="P880" s="4" t="s">
        <v>46</v>
      </c>
      <c r="Q880" s="6" t="n">
        <v>460000</v>
      </c>
      <c r="R880" s="15" t="n">
        <v>41911</v>
      </c>
      <c r="S880" s="6"/>
      <c r="T880" s="15"/>
      <c r="U880" s="6"/>
      <c r="V880" s="15"/>
      <c r="W880" s="4" t="s">
        <v>47</v>
      </c>
      <c r="X880" s="4" t="s">
        <v>58</v>
      </c>
      <c r="Y880" s="4" t="s">
        <v>3571</v>
      </c>
      <c r="Z880" s="4" t="s">
        <v>3396</v>
      </c>
      <c r="AA880" s="6" t="n">
        <v>0</v>
      </c>
      <c r="AB880" s="6" t="n">
        <v>14383.98</v>
      </c>
      <c r="AC880" s="6" t="n">
        <v>15364.9</v>
      </c>
      <c r="AD880" s="14" t="b">
        <f aca="false">FALSE()</f>
        <v>0</v>
      </c>
    </row>
    <row r="881" customFormat="false" ht="15" hidden="false" customHeight="false" outlineLevel="0" collapsed="false">
      <c r="A881" s="14" t="b">
        <f aca="false">TRUE()</f>
        <v>1</v>
      </c>
      <c r="B881" s="14" t="b">
        <f aca="false">FALSE()</f>
        <v>0</v>
      </c>
      <c r="C881" s="4" t="n">
        <v>2</v>
      </c>
      <c r="D881" s="4"/>
      <c r="E881" s="4"/>
      <c r="F881" s="4"/>
      <c r="G881" s="4"/>
      <c r="H881" s="14" t="b">
        <f aca="false">FALSE()</f>
        <v>0</v>
      </c>
      <c r="I881" s="14" t="b">
        <f aca="false">FALSE()</f>
        <v>0</v>
      </c>
      <c r="J881" s="4"/>
      <c r="K881" s="4" t="s">
        <v>3572</v>
      </c>
      <c r="L881" s="4" t="s">
        <v>3573</v>
      </c>
      <c r="M881" s="4" t="s">
        <v>3574</v>
      </c>
      <c r="N881" s="6" t="n">
        <v>45439</v>
      </c>
      <c r="O881" s="6" t="n">
        <v>87470</v>
      </c>
      <c r="P881" s="4" t="s">
        <v>46</v>
      </c>
      <c r="Q881" s="6"/>
      <c r="R881" s="15"/>
      <c r="S881" s="6"/>
      <c r="T881" s="15"/>
      <c r="U881" s="6"/>
      <c r="V881" s="15"/>
      <c r="W881" s="4" t="s">
        <v>47</v>
      </c>
      <c r="X881" s="4" t="s">
        <v>47</v>
      </c>
      <c r="Y881" s="4" t="s">
        <v>3575</v>
      </c>
      <c r="Z881" s="4" t="s">
        <v>3396</v>
      </c>
      <c r="AA881" s="6" t="n">
        <v>0</v>
      </c>
      <c r="AB881" s="6" t="n">
        <v>8319.34</v>
      </c>
      <c r="AC881" s="6" t="n">
        <v>8890.9</v>
      </c>
      <c r="AD881" s="14" t="b">
        <f aca="false">FALSE()</f>
        <v>0</v>
      </c>
    </row>
    <row r="882" customFormat="false" ht="15" hidden="false" customHeight="false" outlineLevel="0" collapsed="false">
      <c r="A882" s="14" t="b">
        <f aca="false">TRUE()</f>
        <v>1</v>
      </c>
      <c r="B882" s="14" t="b">
        <f aca="false">FALSE()</f>
        <v>0</v>
      </c>
      <c r="C882" s="4" t="n">
        <v>3</v>
      </c>
      <c r="D882" s="4"/>
      <c r="E882" s="4"/>
      <c r="F882" s="4"/>
      <c r="G882" s="4"/>
      <c r="H882" s="14" t="b">
        <f aca="false">TRUE()</f>
        <v>1</v>
      </c>
      <c r="I882" s="14" t="b">
        <f aca="false">FALSE()</f>
        <v>0</v>
      </c>
      <c r="J882" s="4"/>
      <c r="K882" s="4" t="s">
        <v>3576</v>
      </c>
      <c r="L882" s="4" t="s">
        <v>3577</v>
      </c>
      <c r="M882" s="4" t="s">
        <v>3578</v>
      </c>
      <c r="N882" s="6" t="n">
        <v>71768</v>
      </c>
      <c r="O882" s="6" t="n">
        <v>86878</v>
      </c>
      <c r="P882" s="4" t="s">
        <v>46</v>
      </c>
      <c r="Q882" s="6" t="n">
        <v>446000</v>
      </c>
      <c r="R882" s="15" t="n">
        <v>44417</v>
      </c>
      <c r="S882" s="6"/>
      <c r="T882" s="15"/>
      <c r="U882" s="6"/>
      <c r="V882" s="15"/>
      <c r="W882" s="4" t="s">
        <v>47</v>
      </c>
      <c r="X882" s="4" t="s">
        <v>47</v>
      </c>
      <c r="Y882" s="4" t="s">
        <v>3579</v>
      </c>
      <c r="Z882" s="4" t="s">
        <v>3396</v>
      </c>
      <c r="AA882" s="6" t="n">
        <v>0</v>
      </c>
      <c r="AB882" s="6" t="n">
        <v>10720.12</v>
      </c>
      <c r="AC882" s="6" t="n">
        <v>11453.73</v>
      </c>
      <c r="AD882" s="14" t="b">
        <f aca="false">FALSE()</f>
        <v>0</v>
      </c>
    </row>
    <row r="883" customFormat="false" ht="15" hidden="false" customHeight="false" outlineLevel="0" collapsed="false">
      <c r="A883" s="14" t="b">
        <f aca="false">TRUE()</f>
        <v>1</v>
      </c>
      <c r="B883" s="14" t="b">
        <f aca="false">FALSE()</f>
        <v>0</v>
      </c>
      <c r="C883" s="4" t="n">
        <v>3</v>
      </c>
      <c r="D883" s="4"/>
      <c r="E883" s="4"/>
      <c r="F883" s="4"/>
      <c r="G883" s="4"/>
      <c r="H883" s="14" t="b">
        <f aca="false">FALSE()</f>
        <v>0</v>
      </c>
      <c r="I883" s="14" t="b">
        <f aca="false">FALSE()</f>
        <v>0</v>
      </c>
      <c r="J883" s="4"/>
      <c r="K883" s="4" t="s">
        <v>3580</v>
      </c>
      <c r="L883" s="4" t="s">
        <v>3581</v>
      </c>
      <c r="M883" s="4" t="s">
        <v>3582</v>
      </c>
      <c r="N883" s="6" t="n">
        <v>16326</v>
      </c>
      <c r="O883" s="6" t="n">
        <v>100541</v>
      </c>
      <c r="P883" s="4" t="s">
        <v>46</v>
      </c>
      <c r="Q883" s="6" t="n">
        <v>220000</v>
      </c>
      <c r="R883" s="15" t="n">
        <v>38041</v>
      </c>
      <c r="S883" s="6" t="n">
        <v>26288.98</v>
      </c>
      <c r="T883" s="15" t="n">
        <v>38881</v>
      </c>
      <c r="U883" s="6"/>
      <c r="V883" s="15"/>
      <c r="W883" s="4" t="s">
        <v>47</v>
      </c>
      <c r="X883" s="4" t="s">
        <v>47</v>
      </c>
      <c r="Y883" s="4" t="s">
        <v>3583</v>
      </c>
      <c r="Z883" s="4" t="s">
        <v>2108</v>
      </c>
      <c r="AA883" s="6" t="n">
        <v>0</v>
      </c>
      <c r="AB883" s="6" t="n">
        <v>6578.84</v>
      </c>
      <c r="AC883" s="6" t="n">
        <v>7032.91</v>
      </c>
      <c r="AD883" s="14" t="b">
        <f aca="false">FALSE()</f>
        <v>0</v>
      </c>
    </row>
    <row r="884" customFormat="false" ht="15" hidden="false" customHeight="false" outlineLevel="0" collapsed="false">
      <c r="A884" s="14" t="b">
        <f aca="false">TRUE()</f>
        <v>1</v>
      </c>
      <c r="B884" s="14" t="b">
        <f aca="false">FALSE()</f>
        <v>0</v>
      </c>
      <c r="C884" s="4" t="n">
        <v>3</v>
      </c>
      <c r="D884" s="4"/>
      <c r="E884" s="4"/>
      <c r="F884" s="4"/>
      <c r="G884" s="4"/>
      <c r="H884" s="14" t="b">
        <f aca="false">FALSE()</f>
        <v>0</v>
      </c>
      <c r="I884" s="14" t="b">
        <f aca="false">FALSE()</f>
        <v>0</v>
      </c>
      <c r="J884" s="4"/>
      <c r="K884" s="4" t="s">
        <v>3584</v>
      </c>
      <c r="L884" s="4" t="s">
        <v>3585</v>
      </c>
      <c r="M884" s="4" t="s">
        <v>3586</v>
      </c>
      <c r="N884" s="6" t="n">
        <v>16074</v>
      </c>
      <c r="O884" s="6" t="n">
        <v>107203</v>
      </c>
      <c r="P884" s="4" t="s">
        <v>46</v>
      </c>
      <c r="Q884" s="6"/>
      <c r="R884" s="15" t="n">
        <v>41704</v>
      </c>
      <c r="S884" s="6"/>
      <c r="T884" s="15"/>
      <c r="U884" s="6"/>
      <c r="V884" s="15"/>
      <c r="W884" s="4" t="s">
        <v>58</v>
      </c>
      <c r="X884" s="4" t="s">
        <v>58</v>
      </c>
      <c r="Y884" s="4" t="s">
        <v>3587</v>
      </c>
      <c r="Z884" s="4" t="s">
        <v>3588</v>
      </c>
      <c r="AA884" s="6" t="n">
        <v>0</v>
      </c>
      <c r="AB884" s="6" t="n">
        <v>9423.68</v>
      </c>
      <c r="AC884" s="6" t="n">
        <v>10069.78</v>
      </c>
      <c r="AD884" s="14" t="b">
        <f aca="false">FALSE()</f>
        <v>0</v>
      </c>
    </row>
    <row r="885" customFormat="false" ht="15" hidden="false" customHeight="false" outlineLevel="0" collapsed="false">
      <c r="A885" s="14" t="b">
        <f aca="false">TRUE()</f>
        <v>1</v>
      </c>
      <c r="B885" s="14" t="b">
        <f aca="false">FALSE()</f>
        <v>0</v>
      </c>
      <c r="C885" s="4" t="n">
        <v>2</v>
      </c>
      <c r="D885" s="4"/>
      <c r="E885" s="4"/>
      <c r="F885" s="4"/>
      <c r="G885" s="4" t="n">
        <v>2</v>
      </c>
      <c r="H885" s="14" t="b">
        <f aca="false">FALSE()</f>
        <v>0</v>
      </c>
      <c r="I885" s="14" t="b">
        <f aca="false">FALSE()</f>
        <v>0</v>
      </c>
      <c r="J885" s="4"/>
      <c r="K885" s="4" t="s">
        <v>3589</v>
      </c>
      <c r="L885" s="4" t="s">
        <v>3590</v>
      </c>
      <c r="M885" s="4" t="s">
        <v>3591</v>
      </c>
      <c r="N885" s="6" t="n">
        <v>4832</v>
      </c>
      <c r="O885" s="6" t="n">
        <v>40179</v>
      </c>
      <c r="P885" s="4" t="s">
        <v>46</v>
      </c>
      <c r="Q885" s="6"/>
      <c r="R885" s="15"/>
      <c r="S885" s="6"/>
      <c r="T885" s="15"/>
      <c r="U885" s="6"/>
      <c r="V885" s="15"/>
      <c r="W885" s="4" t="s">
        <v>47</v>
      </c>
      <c r="X885" s="4" t="s">
        <v>58</v>
      </c>
      <c r="Y885" s="4" t="s">
        <v>3592</v>
      </c>
      <c r="Z885" s="4" t="s">
        <v>3588</v>
      </c>
      <c r="AA885" s="6" t="n">
        <v>0</v>
      </c>
      <c r="AB885" s="6" t="n">
        <v>3014.82</v>
      </c>
      <c r="AC885" s="6" t="n">
        <v>3228.32</v>
      </c>
      <c r="AD885" s="14" t="b">
        <f aca="false">FALSE()</f>
        <v>0</v>
      </c>
    </row>
    <row r="886" customFormat="false" ht="15" hidden="false" customHeight="false" outlineLevel="0" collapsed="false">
      <c r="A886" s="14" t="b">
        <f aca="false">TRUE()</f>
        <v>1</v>
      </c>
      <c r="B886" s="14" t="b">
        <f aca="false">FALSE()</f>
        <v>0</v>
      </c>
      <c r="C886" s="4" t="n">
        <v>3</v>
      </c>
      <c r="D886" s="4"/>
      <c r="E886" s="4"/>
      <c r="F886" s="4"/>
      <c r="G886" s="4"/>
      <c r="H886" s="14" t="b">
        <f aca="false">FALSE()</f>
        <v>0</v>
      </c>
      <c r="I886" s="14" t="b">
        <f aca="false">FALSE()</f>
        <v>0</v>
      </c>
      <c r="J886" s="4"/>
      <c r="K886" s="4" t="s">
        <v>3593</v>
      </c>
      <c r="L886" s="4" t="s">
        <v>3594</v>
      </c>
      <c r="M886" s="4" t="s">
        <v>3595</v>
      </c>
      <c r="N886" s="6" t="n">
        <v>4832</v>
      </c>
      <c r="O886" s="6" t="n">
        <v>40179</v>
      </c>
      <c r="P886" s="4" t="s">
        <v>46</v>
      </c>
      <c r="Q886" s="6" t="n">
        <v>200000</v>
      </c>
      <c r="R886" s="15" t="n">
        <v>45132</v>
      </c>
      <c r="S886" s="6" t="n">
        <v>194000</v>
      </c>
      <c r="T886" s="15" t="n">
        <v>45132</v>
      </c>
      <c r="U886" s="6"/>
      <c r="V886" s="15"/>
      <c r="W886" s="4" t="s">
        <v>47</v>
      </c>
      <c r="X886" s="4" t="s">
        <v>58</v>
      </c>
      <c r="Y886" s="4" t="s">
        <v>3596</v>
      </c>
      <c r="Z886" s="4" t="s">
        <v>3588</v>
      </c>
      <c r="AA886" s="6" t="n">
        <v>0</v>
      </c>
      <c r="AB886" s="6" t="n">
        <v>3014.82</v>
      </c>
      <c r="AC886" s="6" t="n">
        <v>3228.32</v>
      </c>
      <c r="AD886" s="14" t="b">
        <f aca="false">FALSE()</f>
        <v>0</v>
      </c>
    </row>
    <row r="887" customFormat="false" ht="15" hidden="false" customHeight="false" outlineLevel="0" collapsed="false">
      <c r="A887" s="14" t="b">
        <f aca="false">TRUE()</f>
        <v>1</v>
      </c>
      <c r="B887" s="14" t="b">
        <f aca="false">FALSE()</f>
        <v>0</v>
      </c>
      <c r="C887" s="4" t="n">
        <v>2</v>
      </c>
      <c r="D887" s="4"/>
      <c r="E887" s="4"/>
      <c r="F887" s="4"/>
      <c r="G887" s="4" t="n">
        <v>2</v>
      </c>
      <c r="H887" s="14" t="b">
        <f aca="false">FALSE()</f>
        <v>0</v>
      </c>
      <c r="I887" s="14" t="b">
        <f aca="false">FALSE()</f>
        <v>0</v>
      </c>
      <c r="J887" s="4"/>
      <c r="K887" s="4" t="s">
        <v>3597</v>
      </c>
      <c r="L887" s="4" t="s">
        <v>3598</v>
      </c>
      <c r="M887" s="4" t="s">
        <v>3599</v>
      </c>
      <c r="N887" s="6" t="n">
        <v>66115</v>
      </c>
      <c r="O887" s="6" t="n">
        <v>66082</v>
      </c>
      <c r="P887" s="4" t="s">
        <v>46</v>
      </c>
      <c r="Q887" s="6"/>
      <c r="R887" s="15" t="n">
        <v>39505</v>
      </c>
      <c r="S887" s="6" t="n">
        <v>412800</v>
      </c>
      <c r="T887" s="15" t="n">
        <v>39505</v>
      </c>
      <c r="U887" s="6"/>
      <c r="V887" s="15"/>
      <c r="W887" s="4" t="s">
        <v>47</v>
      </c>
      <c r="X887" s="4" t="s">
        <v>58</v>
      </c>
      <c r="Y887" s="4" t="s">
        <v>3600</v>
      </c>
      <c r="Z887" s="4" t="s">
        <v>2911</v>
      </c>
      <c r="AA887" s="6" t="n">
        <v>0</v>
      </c>
      <c r="AB887" s="6" t="n">
        <v>9504.68</v>
      </c>
      <c r="AC887" s="6" t="n">
        <v>4976.2</v>
      </c>
      <c r="AD887" s="14" t="b">
        <f aca="false">TRUE()</f>
        <v>1</v>
      </c>
    </row>
    <row r="888" customFormat="false" ht="15" hidden="false" customHeight="false" outlineLevel="0" collapsed="false">
      <c r="A888" s="14" t="b">
        <f aca="false">TRUE()</f>
        <v>1</v>
      </c>
      <c r="B888" s="14" t="b">
        <f aca="false">FALSE()</f>
        <v>0</v>
      </c>
      <c r="C888" s="4" t="n">
        <v>3</v>
      </c>
      <c r="D888" s="4"/>
      <c r="E888" s="4"/>
      <c r="F888" s="4"/>
      <c r="G888" s="4"/>
      <c r="H888" s="14" t="b">
        <f aca="false">TRUE()</f>
        <v>1</v>
      </c>
      <c r="I888" s="14" t="b">
        <f aca="false">FALSE()</f>
        <v>0</v>
      </c>
      <c r="J888" s="4"/>
      <c r="K888" s="4" t="s">
        <v>3601</v>
      </c>
      <c r="L888" s="4" t="s">
        <v>3602</v>
      </c>
      <c r="M888" s="4" t="s">
        <v>3603</v>
      </c>
      <c r="N888" s="6" t="n">
        <v>73445</v>
      </c>
      <c r="O888" s="6" t="n">
        <v>51268</v>
      </c>
      <c r="P888" s="4" t="s">
        <v>46</v>
      </c>
      <c r="Q888" s="6" t="n">
        <v>267500</v>
      </c>
      <c r="R888" s="15" t="n">
        <v>45600</v>
      </c>
      <c r="S888" s="6" t="n">
        <v>214000</v>
      </c>
      <c r="T888" s="15" t="n">
        <v>45600</v>
      </c>
      <c r="U888" s="6"/>
      <c r="V888" s="15"/>
      <c r="W888" s="4" t="s">
        <v>47</v>
      </c>
      <c r="X888" s="4" t="s">
        <v>47</v>
      </c>
      <c r="Y888" s="4" t="s">
        <v>3604</v>
      </c>
      <c r="Z888" s="4" t="s">
        <v>2911</v>
      </c>
      <c r="AA888" s="6" t="n">
        <v>0</v>
      </c>
      <c r="AB888" s="6" t="n">
        <v>8931.92</v>
      </c>
      <c r="AC888" s="6" t="n">
        <v>9544.83</v>
      </c>
      <c r="AD888" s="14" t="b">
        <f aca="false">FALSE()</f>
        <v>0</v>
      </c>
    </row>
    <row r="889" customFormat="false" ht="15" hidden="false" customHeight="false" outlineLevel="0" collapsed="false">
      <c r="A889" s="14" t="b">
        <f aca="false">TRUE()</f>
        <v>1</v>
      </c>
      <c r="B889" s="14" t="b">
        <f aca="false">FALSE()</f>
        <v>0</v>
      </c>
      <c r="C889" s="4" t="n">
        <v>2</v>
      </c>
      <c r="D889" s="4"/>
      <c r="E889" s="4"/>
      <c r="F889" s="4"/>
      <c r="G889" s="4"/>
      <c r="H889" s="14" t="b">
        <f aca="false">FALSE()</f>
        <v>0</v>
      </c>
      <c r="I889" s="14" t="b">
        <f aca="false">FALSE()</f>
        <v>0</v>
      </c>
      <c r="J889" s="4"/>
      <c r="K889" s="4" t="s">
        <v>3605</v>
      </c>
      <c r="L889" s="4" t="s">
        <v>3606</v>
      </c>
      <c r="M889" s="4" t="s">
        <v>3607</v>
      </c>
      <c r="N889" s="6" t="n">
        <v>50490</v>
      </c>
      <c r="O889" s="6" t="n">
        <v>65698</v>
      </c>
      <c r="P889" s="4" t="s">
        <v>46</v>
      </c>
      <c r="Q889" s="6" t="n">
        <v>152500</v>
      </c>
      <c r="R889" s="15" t="n">
        <v>35893</v>
      </c>
      <c r="S889" s="6"/>
      <c r="T889" s="15"/>
      <c r="U889" s="6"/>
      <c r="V889" s="15"/>
      <c r="W889" s="4" t="s">
        <v>58</v>
      </c>
      <c r="X889" s="4" t="s">
        <v>47</v>
      </c>
      <c r="Y889" s="4" t="s">
        <v>3608</v>
      </c>
      <c r="Z889" s="4" t="s">
        <v>3588</v>
      </c>
      <c r="AA889" s="6" t="n">
        <v>0</v>
      </c>
      <c r="AB889" s="6" t="n">
        <v>8812.68</v>
      </c>
      <c r="AC889" s="6" t="n">
        <v>9417.54</v>
      </c>
      <c r="AD889" s="14" t="b">
        <f aca="false">FALSE()</f>
        <v>0</v>
      </c>
    </row>
    <row r="890" customFormat="false" ht="15" hidden="false" customHeight="false" outlineLevel="0" collapsed="false">
      <c r="A890" s="14" t="b">
        <f aca="false">TRUE()</f>
        <v>1</v>
      </c>
      <c r="B890" s="14" t="b">
        <f aca="false">FALSE()</f>
        <v>0</v>
      </c>
      <c r="C890" s="4" t="n">
        <v>2</v>
      </c>
      <c r="D890" s="4"/>
      <c r="E890" s="4"/>
      <c r="F890" s="4"/>
      <c r="G890" s="4"/>
      <c r="H890" s="14" t="b">
        <f aca="false">FALSE()</f>
        <v>0</v>
      </c>
      <c r="I890" s="14" t="b">
        <f aca="false">FALSE()</f>
        <v>0</v>
      </c>
      <c r="J890" s="4"/>
      <c r="K890" s="4" t="s">
        <v>3609</v>
      </c>
      <c r="L890" s="4" t="s">
        <v>3610</v>
      </c>
      <c r="M890" s="4" t="s">
        <v>3611</v>
      </c>
      <c r="N890" s="6" t="n">
        <v>50490</v>
      </c>
      <c r="O890" s="6" t="n">
        <v>66257</v>
      </c>
      <c r="P890" s="4" t="s">
        <v>46</v>
      </c>
      <c r="Q890" s="6"/>
      <c r="R890" s="15"/>
      <c r="S890" s="6"/>
      <c r="T890" s="15"/>
      <c r="U890" s="6"/>
      <c r="V890" s="15"/>
      <c r="W890" s="4" t="s">
        <v>47</v>
      </c>
      <c r="X890" s="4" t="s">
        <v>47</v>
      </c>
      <c r="Y890" s="4" t="s">
        <v>3612</v>
      </c>
      <c r="Z890" s="4" t="s">
        <v>3588</v>
      </c>
      <c r="AA890" s="6" t="n">
        <v>0</v>
      </c>
      <c r="AB890" s="6" t="n">
        <v>8206.56</v>
      </c>
      <c r="AC890" s="6" t="n">
        <v>8770.51</v>
      </c>
      <c r="AD890" s="14" t="b">
        <f aca="false">FALSE()</f>
        <v>0</v>
      </c>
    </row>
    <row r="891" customFormat="false" ht="15" hidden="false" customHeight="false" outlineLevel="0" collapsed="false">
      <c r="A891" s="14" t="b">
        <f aca="false">TRUE()</f>
        <v>1</v>
      </c>
      <c r="B891" s="14" t="b">
        <f aca="false">FALSE()</f>
        <v>0</v>
      </c>
      <c r="C891" s="4" t="n">
        <v>2</v>
      </c>
      <c r="D891" s="4"/>
      <c r="E891" s="4"/>
      <c r="F891" s="4"/>
      <c r="G891" s="4"/>
      <c r="H891" s="14" t="b">
        <f aca="false">FALSE()</f>
        <v>0</v>
      </c>
      <c r="I891" s="14" t="b">
        <f aca="false">FALSE()</f>
        <v>0</v>
      </c>
      <c r="J891" s="4"/>
      <c r="K891" s="4" t="s">
        <v>3613</v>
      </c>
      <c r="L891" s="4" t="s">
        <v>3614</v>
      </c>
      <c r="M891" s="4" t="s">
        <v>3615</v>
      </c>
      <c r="N891" s="6" t="n">
        <v>10815</v>
      </c>
      <c r="O891" s="6" t="n">
        <v>54741</v>
      </c>
      <c r="P891" s="4" t="s">
        <v>46</v>
      </c>
      <c r="Q891" s="6" t="n">
        <v>95500</v>
      </c>
      <c r="R891" s="15" t="n">
        <v>33939</v>
      </c>
      <c r="S891" s="6"/>
      <c r="T891" s="15"/>
      <c r="U891" s="6"/>
      <c r="V891" s="15"/>
      <c r="W891" s="4" t="s">
        <v>47</v>
      </c>
      <c r="X891" s="4" t="s">
        <v>47</v>
      </c>
      <c r="Y891" s="4" t="s">
        <v>3616</v>
      </c>
      <c r="Z891" s="4" t="s">
        <v>3588</v>
      </c>
      <c r="AA891" s="6" t="n">
        <v>0</v>
      </c>
      <c r="AB891" s="6" t="n">
        <v>3124.7</v>
      </c>
      <c r="AC891" s="6" t="n">
        <v>1642.66</v>
      </c>
      <c r="AD891" s="14" t="b">
        <f aca="false">TRUE()</f>
        <v>1</v>
      </c>
    </row>
    <row r="892" customFormat="false" ht="15" hidden="false" customHeight="false" outlineLevel="0" collapsed="false">
      <c r="A892" s="14" t="b">
        <f aca="false">TRUE()</f>
        <v>1</v>
      </c>
      <c r="B892" s="14" t="b">
        <f aca="false">FALSE()</f>
        <v>0</v>
      </c>
      <c r="C892" s="4" t="n">
        <v>2</v>
      </c>
      <c r="D892" s="4"/>
      <c r="E892" s="4"/>
      <c r="F892" s="4"/>
      <c r="G892" s="4" t="n">
        <v>3</v>
      </c>
      <c r="H892" s="14" t="b">
        <f aca="false">TRUE()</f>
        <v>1</v>
      </c>
      <c r="I892" s="14" t="b">
        <f aca="false">FALSE()</f>
        <v>0</v>
      </c>
      <c r="J892" s="4"/>
      <c r="K892" s="4" t="s">
        <v>3617</v>
      </c>
      <c r="L892" s="4" t="s">
        <v>3618</v>
      </c>
      <c r="M892" s="4" t="s">
        <v>3619</v>
      </c>
      <c r="N892" s="6" t="n">
        <v>47236</v>
      </c>
      <c r="O892" s="6" t="n">
        <v>73752</v>
      </c>
      <c r="P892" s="4" t="s">
        <v>46</v>
      </c>
      <c r="Q892" s="6" t="n">
        <v>234000</v>
      </c>
      <c r="R892" s="15" t="n">
        <v>37146</v>
      </c>
      <c r="S892" s="6"/>
      <c r="T892" s="15"/>
      <c r="U892" s="6"/>
      <c r="V892" s="15"/>
      <c r="W892" s="4" t="s">
        <v>47</v>
      </c>
      <c r="X892" s="4" t="s">
        <v>58</v>
      </c>
      <c r="Y892" s="4" t="s">
        <v>3620</v>
      </c>
      <c r="Z892" s="4" t="s">
        <v>3588</v>
      </c>
      <c r="AA892" s="6" t="n">
        <v>0</v>
      </c>
      <c r="AB892" s="6" t="n">
        <v>9011.8</v>
      </c>
      <c r="AC892" s="6" t="n">
        <v>4718.67</v>
      </c>
      <c r="AD892" s="14" t="b">
        <f aca="false">TRUE()</f>
        <v>1</v>
      </c>
    </row>
    <row r="893" customFormat="false" ht="15" hidden="false" customHeight="false" outlineLevel="0" collapsed="false">
      <c r="A893" s="14" t="b">
        <f aca="false">TRUE()</f>
        <v>1</v>
      </c>
      <c r="B893" s="14" t="b">
        <f aca="false">FALSE()</f>
        <v>0</v>
      </c>
      <c r="C893" s="4" t="n">
        <v>2</v>
      </c>
      <c r="D893" s="4"/>
      <c r="E893" s="4"/>
      <c r="F893" s="4"/>
      <c r="G893" s="4" t="n">
        <v>2</v>
      </c>
      <c r="H893" s="14" t="b">
        <f aca="false">TRUE()</f>
        <v>1</v>
      </c>
      <c r="I893" s="14" t="b">
        <f aca="false">FALSE()</f>
        <v>0</v>
      </c>
      <c r="J893" s="4"/>
      <c r="K893" s="4" t="s">
        <v>3621</v>
      </c>
      <c r="L893" s="4" t="s">
        <v>3622</v>
      </c>
      <c r="M893" s="4" t="s">
        <v>3623</v>
      </c>
      <c r="N893" s="6" t="n">
        <v>5259</v>
      </c>
      <c r="O893" s="6" t="n">
        <v>54522</v>
      </c>
      <c r="P893" s="4" t="s">
        <v>46</v>
      </c>
      <c r="Q893" s="6" t="n">
        <v>105000</v>
      </c>
      <c r="R893" s="15" t="n">
        <v>37957</v>
      </c>
      <c r="S893" s="6" t="n">
        <v>94000</v>
      </c>
      <c r="T893" s="15" t="n">
        <v>42286</v>
      </c>
      <c r="U893" s="6" t="n">
        <v>12200</v>
      </c>
      <c r="V893" s="15" t="n">
        <v>42286</v>
      </c>
      <c r="W893" s="4" t="s">
        <v>47</v>
      </c>
      <c r="X893" s="4" t="s">
        <v>58</v>
      </c>
      <c r="Y893" s="4" t="s">
        <v>3624</v>
      </c>
      <c r="Z893" s="4" t="s">
        <v>3588</v>
      </c>
      <c r="AA893" s="6" t="n">
        <v>0</v>
      </c>
      <c r="AB893" s="6" t="n">
        <v>3491.94</v>
      </c>
      <c r="AC893" s="6" t="n">
        <v>1834.54</v>
      </c>
      <c r="AD893" s="14" t="b">
        <f aca="false">TRUE()</f>
        <v>1</v>
      </c>
    </row>
    <row r="894" customFormat="false" ht="15" hidden="false" customHeight="false" outlineLevel="0" collapsed="false">
      <c r="A894" s="14" t="b">
        <f aca="false">TRUE()</f>
        <v>1</v>
      </c>
      <c r="B894" s="14" t="b">
        <f aca="false">FALSE()</f>
        <v>0</v>
      </c>
      <c r="C894" s="4" t="n">
        <v>2</v>
      </c>
      <c r="D894" s="4"/>
      <c r="E894" s="4"/>
      <c r="F894" s="4"/>
      <c r="G894" s="4"/>
      <c r="H894" s="14" t="b">
        <f aca="false">FALSE()</f>
        <v>0</v>
      </c>
      <c r="I894" s="14" t="b">
        <f aca="false">FALSE()</f>
        <v>0</v>
      </c>
      <c r="J894" s="4"/>
      <c r="K894" s="4" t="s">
        <v>3625</v>
      </c>
      <c r="L894" s="4" t="s">
        <v>3626</v>
      </c>
      <c r="M894" s="4" t="s">
        <v>3627</v>
      </c>
      <c r="N894" s="6" t="n">
        <v>5237</v>
      </c>
      <c r="O894" s="6" t="n">
        <v>55760</v>
      </c>
      <c r="P894" s="4" t="s">
        <v>46</v>
      </c>
      <c r="Q894" s="6"/>
      <c r="R894" s="15" t="n">
        <v>41172</v>
      </c>
      <c r="S894" s="6"/>
      <c r="T894" s="15"/>
      <c r="U894" s="6"/>
      <c r="V894" s="15"/>
      <c r="W894" s="4" t="s">
        <v>47</v>
      </c>
      <c r="X894" s="4" t="s">
        <v>47</v>
      </c>
      <c r="Y894" s="4" t="s">
        <v>3628</v>
      </c>
      <c r="Z894" s="4" t="s">
        <v>3588</v>
      </c>
      <c r="AA894" s="6" t="n">
        <v>0</v>
      </c>
      <c r="AB894" s="6" t="n">
        <v>4227</v>
      </c>
      <c r="AC894" s="6" t="n">
        <v>2218.61</v>
      </c>
      <c r="AD894" s="14" t="b">
        <f aca="false">TRUE()</f>
        <v>1</v>
      </c>
    </row>
    <row r="895" customFormat="false" ht="15" hidden="false" customHeight="false" outlineLevel="0" collapsed="false">
      <c r="A895" s="14" t="b">
        <f aca="false">TRUE()</f>
        <v>1</v>
      </c>
      <c r="B895" s="14" t="b">
        <f aca="false">FALSE()</f>
        <v>0</v>
      </c>
      <c r="C895" s="4" t="n">
        <v>2</v>
      </c>
      <c r="D895" s="4"/>
      <c r="E895" s="4"/>
      <c r="F895" s="4"/>
      <c r="G895" s="4"/>
      <c r="H895" s="14" t="b">
        <f aca="false">FALSE()</f>
        <v>0</v>
      </c>
      <c r="I895" s="14" t="b">
        <f aca="false">FALSE()</f>
        <v>0</v>
      </c>
      <c r="J895" s="4"/>
      <c r="K895" s="4" t="s">
        <v>3508</v>
      </c>
      <c r="L895" s="4" t="s">
        <v>3629</v>
      </c>
      <c r="M895" s="4" t="s">
        <v>3630</v>
      </c>
      <c r="N895" s="6" t="n">
        <v>5237</v>
      </c>
      <c r="O895" s="6" t="n">
        <v>58412</v>
      </c>
      <c r="P895" s="4" t="s">
        <v>46</v>
      </c>
      <c r="Q895" s="6" t="n">
        <v>200000</v>
      </c>
      <c r="R895" s="15" t="n">
        <v>45140</v>
      </c>
      <c r="S895" s="6"/>
      <c r="T895" s="15"/>
      <c r="U895" s="6"/>
      <c r="V895" s="15"/>
      <c r="W895" s="4" t="s">
        <v>47</v>
      </c>
      <c r="X895" s="4" t="s">
        <v>47</v>
      </c>
      <c r="Y895" s="4" t="s">
        <v>3631</v>
      </c>
      <c r="Z895" s="4" t="s">
        <v>3588</v>
      </c>
      <c r="AA895" s="6" t="n">
        <v>0</v>
      </c>
      <c r="AB895" s="6" t="n">
        <v>4438.52</v>
      </c>
      <c r="AC895" s="6" t="n">
        <v>2329.13</v>
      </c>
      <c r="AD895" s="14" t="b">
        <f aca="false">TRUE()</f>
        <v>1</v>
      </c>
    </row>
    <row r="896" customFormat="false" ht="15" hidden="false" customHeight="false" outlineLevel="0" collapsed="false">
      <c r="A896" s="14" t="b">
        <f aca="false">TRUE()</f>
        <v>1</v>
      </c>
      <c r="B896" s="14" t="b">
        <f aca="false">FALSE()</f>
        <v>0</v>
      </c>
      <c r="C896" s="4" t="n">
        <v>3</v>
      </c>
      <c r="D896" s="4"/>
      <c r="E896" s="4"/>
      <c r="F896" s="4"/>
      <c r="G896" s="4"/>
      <c r="H896" s="14" t="b">
        <f aca="false">FALSE()</f>
        <v>0</v>
      </c>
      <c r="I896" s="14" t="b">
        <f aca="false">FALSE()</f>
        <v>0</v>
      </c>
      <c r="J896" s="4"/>
      <c r="K896" s="4" t="s">
        <v>3632</v>
      </c>
      <c r="L896" s="4" t="s">
        <v>3633</v>
      </c>
      <c r="M896" s="4" t="s">
        <v>3634</v>
      </c>
      <c r="N896" s="6" t="n">
        <v>55322</v>
      </c>
      <c r="O896" s="6" t="n">
        <v>50643</v>
      </c>
      <c r="P896" s="4" t="s">
        <v>46</v>
      </c>
      <c r="Q896" s="6"/>
      <c r="R896" s="15"/>
      <c r="S896" s="6" t="n">
        <v>139174.34</v>
      </c>
      <c r="T896" s="15" t="n">
        <v>39818</v>
      </c>
      <c r="U896" s="6"/>
      <c r="V896" s="15"/>
      <c r="W896" s="4" t="s">
        <v>58</v>
      </c>
      <c r="X896" s="4" t="s">
        <v>47</v>
      </c>
      <c r="Y896" s="4" t="s">
        <v>3635</v>
      </c>
      <c r="Z896" s="4" t="s">
        <v>3588</v>
      </c>
      <c r="AA896" s="6" t="n">
        <v>0</v>
      </c>
      <c r="AB896" s="6" t="n">
        <v>7328.28</v>
      </c>
      <c r="AC896" s="6" t="n">
        <v>7832.94</v>
      </c>
      <c r="AD896" s="14" t="b">
        <f aca="false">FALSE()</f>
        <v>0</v>
      </c>
    </row>
    <row r="897" customFormat="false" ht="15" hidden="false" customHeight="false" outlineLevel="0" collapsed="false">
      <c r="A897" s="14" t="b">
        <f aca="false">TRUE()</f>
        <v>1</v>
      </c>
      <c r="B897" s="14" t="b">
        <f aca="false">FALSE()</f>
        <v>0</v>
      </c>
      <c r="C897" s="4" t="n">
        <v>2</v>
      </c>
      <c r="D897" s="4"/>
      <c r="E897" s="4"/>
      <c r="F897" s="4"/>
      <c r="G897" s="4"/>
      <c r="H897" s="14" t="b">
        <f aca="false">FALSE()</f>
        <v>0</v>
      </c>
      <c r="I897" s="14" t="b">
        <f aca="false">FALSE()</f>
        <v>0</v>
      </c>
      <c r="J897" s="4"/>
      <c r="K897" s="4" t="s">
        <v>3636</v>
      </c>
      <c r="L897" s="4" t="s">
        <v>3637</v>
      </c>
      <c r="M897" s="4" t="s">
        <v>3638</v>
      </c>
      <c r="N897" s="6" t="n">
        <v>58039</v>
      </c>
      <c r="O897" s="6" t="n">
        <v>47816</v>
      </c>
      <c r="P897" s="4" t="s">
        <v>46</v>
      </c>
      <c r="Q897" s="6" t="n">
        <v>337500</v>
      </c>
      <c r="R897" s="15" t="n">
        <v>45735</v>
      </c>
      <c r="S897" s="6"/>
      <c r="T897" s="15"/>
      <c r="U897" s="6"/>
      <c r="V897" s="15"/>
      <c r="W897" s="4" t="s">
        <v>47</v>
      </c>
      <c r="X897" s="4" t="s">
        <v>47</v>
      </c>
      <c r="Y897" s="4" t="s">
        <v>3639</v>
      </c>
      <c r="Z897" s="4" t="s">
        <v>3588</v>
      </c>
      <c r="AA897" s="6" t="n">
        <v>0</v>
      </c>
      <c r="AB897" s="6" t="n">
        <v>7970.96</v>
      </c>
      <c r="AC897" s="6" t="n">
        <v>8519</v>
      </c>
      <c r="AD897" s="14" t="b">
        <f aca="false">FALSE()</f>
        <v>0</v>
      </c>
    </row>
    <row r="898" customFormat="false" ht="15" hidden="false" customHeight="false" outlineLevel="0" collapsed="false">
      <c r="A898" s="14" t="b">
        <f aca="false">TRUE()</f>
        <v>1</v>
      </c>
      <c r="B898" s="14" t="b">
        <f aca="false">FALSE()</f>
        <v>0</v>
      </c>
      <c r="C898" s="4" t="n">
        <v>2</v>
      </c>
      <c r="D898" s="4"/>
      <c r="E898" s="4"/>
      <c r="F898" s="4"/>
      <c r="G898" s="4"/>
      <c r="H898" s="14" t="b">
        <f aca="false">FALSE()</f>
        <v>0</v>
      </c>
      <c r="I898" s="14" t="b">
        <f aca="false">FALSE()</f>
        <v>0</v>
      </c>
      <c r="J898" s="4"/>
      <c r="K898" s="4" t="s">
        <v>3640</v>
      </c>
      <c r="L898" s="4" t="s">
        <v>3641</v>
      </c>
      <c r="M898" s="4" t="s">
        <v>3642</v>
      </c>
      <c r="N898" s="6" t="n">
        <v>58039</v>
      </c>
      <c r="O898" s="6" t="n">
        <v>50819</v>
      </c>
      <c r="P898" s="4" t="s">
        <v>46</v>
      </c>
      <c r="Q898" s="6" t="n">
        <v>275000</v>
      </c>
      <c r="R898" s="15" t="n">
        <v>43396</v>
      </c>
      <c r="S898" s="6"/>
      <c r="T898" s="15"/>
      <c r="U898" s="6"/>
      <c r="V898" s="15"/>
      <c r="W898" s="4" t="s">
        <v>47</v>
      </c>
      <c r="X898" s="4" t="s">
        <v>47</v>
      </c>
      <c r="Y898" s="4" t="s">
        <v>3643</v>
      </c>
      <c r="Z898" s="4" t="s">
        <v>3588</v>
      </c>
      <c r="AA898" s="6" t="n">
        <v>0</v>
      </c>
      <c r="AB898" s="6" t="n">
        <v>8215.58</v>
      </c>
      <c r="AC898" s="6" t="n">
        <v>8780.13</v>
      </c>
      <c r="AD898" s="14" t="b">
        <f aca="false">FALSE()</f>
        <v>0</v>
      </c>
    </row>
    <row r="899" customFormat="false" ht="15" hidden="false" customHeight="false" outlineLevel="0" collapsed="false">
      <c r="A899" s="14" t="b">
        <f aca="false">TRUE()</f>
        <v>1</v>
      </c>
      <c r="B899" s="14" t="b">
        <f aca="false">FALSE()</f>
        <v>0</v>
      </c>
      <c r="C899" s="4" t="n">
        <v>2</v>
      </c>
      <c r="D899" s="4"/>
      <c r="E899" s="4"/>
      <c r="F899" s="4"/>
      <c r="G899" s="4"/>
      <c r="H899" s="14" t="b">
        <f aca="false">FALSE()</f>
        <v>0</v>
      </c>
      <c r="I899" s="14" t="b">
        <f aca="false">FALSE()</f>
        <v>0</v>
      </c>
      <c r="J899" s="4"/>
      <c r="K899" s="4" t="s">
        <v>3644</v>
      </c>
      <c r="L899" s="4" t="s">
        <v>3645</v>
      </c>
      <c r="M899" s="4" t="s">
        <v>3646</v>
      </c>
      <c r="N899" s="6" t="n">
        <v>58039</v>
      </c>
      <c r="O899" s="6" t="n">
        <v>44014</v>
      </c>
      <c r="P899" s="4" t="s">
        <v>46</v>
      </c>
      <c r="Q899" s="6"/>
      <c r="R899" s="15"/>
      <c r="S899" s="6"/>
      <c r="T899" s="15"/>
      <c r="U899" s="6"/>
      <c r="V899" s="15"/>
      <c r="W899" s="4" t="s">
        <v>47</v>
      </c>
      <c r="X899" s="4" t="s">
        <v>47</v>
      </c>
      <c r="Y899" s="4" t="s">
        <v>3647</v>
      </c>
      <c r="Z899" s="4" t="s">
        <v>3588</v>
      </c>
      <c r="AA899" s="6" t="n">
        <v>0</v>
      </c>
      <c r="AB899" s="6" t="n">
        <v>7009.64</v>
      </c>
      <c r="AC899" s="6" t="n">
        <v>3672.54</v>
      </c>
      <c r="AD899" s="14" t="b">
        <f aca="false">TRUE()</f>
        <v>1</v>
      </c>
    </row>
    <row r="900" customFormat="false" ht="15" hidden="false" customHeight="false" outlineLevel="0" collapsed="false">
      <c r="A900" s="14" t="b">
        <f aca="false">TRUE()</f>
        <v>1</v>
      </c>
      <c r="B900" s="14" t="b">
        <f aca="false">FALSE()</f>
        <v>0</v>
      </c>
      <c r="C900" s="4" t="n">
        <v>2</v>
      </c>
      <c r="D900" s="4"/>
      <c r="E900" s="4"/>
      <c r="F900" s="4"/>
      <c r="G900" s="4"/>
      <c r="H900" s="14" t="b">
        <f aca="false">FALSE()</f>
        <v>0</v>
      </c>
      <c r="I900" s="14" t="b">
        <f aca="false">FALSE()</f>
        <v>0</v>
      </c>
      <c r="J900" s="4"/>
      <c r="K900" s="4" t="s">
        <v>3648</v>
      </c>
      <c r="L900" s="4" t="s">
        <v>3649</v>
      </c>
      <c r="M900" s="4" t="s">
        <v>3650</v>
      </c>
      <c r="N900" s="6" t="n">
        <v>58039</v>
      </c>
      <c r="O900" s="6" t="n">
        <v>43357</v>
      </c>
      <c r="P900" s="4" t="s">
        <v>46</v>
      </c>
      <c r="Q900" s="6"/>
      <c r="R900" s="15"/>
      <c r="S900" s="6"/>
      <c r="T900" s="15"/>
      <c r="U900" s="6"/>
      <c r="V900" s="15"/>
      <c r="W900" s="4" t="s">
        <v>47</v>
      </c>
      <c r="X900" s="4" t="s">
        <v>47</v>
      </c>
      <c r="Y900" s="4" t="s">
        <v>3651</v>
      </c>
      <c r="Z900" s="4" t="s">
        <v>3588</v>
      </c>
      <c r="AA900" s="6" t="n">
        <v>0</v>
      </c>
      <c r="AB900" s="6" t="n">
        <v>7607.76</v>
      </c>
      <c r="AC900" s="6" t="n">
        <v>3985.05</v>
      </c>
      <c r="AD900" s="14" t="b">
        <f aca="false">TRUE()</f>
        <v>1</v>
      </c>
    </row>
    <row r="901" customFormat="false" ht="15" hidden="false" customHeight="false" outlineLevel="0" collapsed="false">
      <c r="A901" s="14" t="b">
        <f aca="false">TRUE()</f>
        <v>1</v>
      </c>
      <c r="B901" s="14" t="b">
        <f aca="false">FALSE()</f>
        <v>0</v>
      </c>
      <c r="C901" s="4" t="n">
        <v>2</v>
      </c>
      <c r="D901" s="4"/>
      <c r="E901" s="4"/>
      <c r="F901" s="4"/>
      <c r="G901" s="4"/>
      <c r="H901" s="14" t="b">
        <f aca="false">FALSE()</f>
        <v>0</v>
      </c>
      <c r="I901" s="14" t="b">
        <f aca="false">FALSE()</f>
        <v>0</v>
      </c>
      <c r="J901" s="4"/>
      <c r="K901" s="4" t="s">
        <v>3652</v>
      </c>
      <c r="L901" s="4" t="s">
        <v>3653</v>
      </c>
      <c r="M901" s="4" t="s">
        <v>3654</v>
      </c>
      <c r="N901" s="6" t="n">
        <v>12732</v>
      </c>
      <c r="O901" s="6" t="n">
        <v>37922</v>
      </c>
      <c r="P901" s="4" t="s">
        <v>46</v>
      </c>
      <c r="Q901" s="6" t="n">
        <v>175000</v>
      </c>
      <c r="R901" s="15" t="n">
        <v>45889</v>
      </c>
      <c r="S901" s="6"/>
      <c r="T901" s="15"/>
      <c r="U901" s="6"/>
      <c r="V901" s="15"/>
      <c r="W901" s="4" t="s">
        <v>47</v>
      </c>
      <c r="X901" s="4" t="s">
        <v>58</v>
      </c>
      <c r="Y901" s="4" t="s">
        <v>3655</v>
      </c>
      <c r="Z901" s="4" t="s">
        <v>3588</v>
      </c>
      <c r="AA901" s="6" t="n">
        <v>0</v>
      </c>
      <c r="AB901" s="6" t="n">
        <v>3474.48</v>
      </c>
      <c r="AC901" s="6" t="n">
        <v>1825.42</v>
      </c>
      <c r="AD901" s="14" t="b">
        <f aca="false">TRUE()</f>
        <v>1</v>
      </c>
    </row>
    <row r="902" customFormat="false" ht="15" hidden="false" customHeight="false" outlineLevel="0" collapsed="false">
      <c r="A902" s="14" t="b">
        <f aca="false">TRUE()</f>
        <v>1</v>
      </c>
      <c r="B902" s="14" t="b">
        <f aca="false">FALSE()</f>
        <v>0</v>
      </c>
      <c r="C902" s="4" t="n">
        <v>2</v>
      </c>
      <c r="D902" s="4"/>
      <c r="E902" s="4"/>
      <c r="F902" s="4"/>
      <c r="G902" s="4"/>
      <c r="H902" s="14" t="b">
        <f aca="false">FALSE()</f>
        <v>0</v>
      </c>
      <c r="I902" s="14" t="b">
        <f aca="false">FALSE()</f>
        <v>0</v>
      </c>
      <c r="J902" s="4"/>
      <c r="K902" s="4" t="s">
        <v>3656</v>
      </c>
      <c r="L902" s="4" t="s">
        <v>3657</v>
      </c>
      <c r="M902" s="4" t="s">
        <v>3658</v>
      </c>
      <c r="N902" s="6" t="n">
        <v>12732</v>
      </c>
      <c r="O902" s="6" t="n">
        <v>39478</v>
      </c>
      <c r="P902" s="4" t="s">
        <v>46</v>
      </c>
      <c r="Q902" s="6" t="n">
        <v>145000</v>
      </c>
      <c r="R902" s="15" t="n">
        <v>44664</v>
      </c>
      <c r="S902" s="6"/>
      <c r="T902" s="15"/>
      <c r="U902" s="6"/>
      <c r="V902" s="15"/>
      <c r="W902" s="4" t="s">
        <v>47</v>
      </c>
      <c r="X902" s="4" t="s">
        <v>58</v>
      </c>
      <c r="Y902" s="4" t="s">
        <v>3659</v>
      </c>
      <c r="Z902" s="4" t="s">
        <v>3588</v>
      </c>
      <c r="AA902" s="6" t="n">
        <v>0</v>
      </c>
      <c r="AB902" s="6" t="n">
        <v>3601.22</v>
      </c>
      <c r="AC902" s="6" t="n">
        <v>3854.3</v>
      </c>
      <c r="AD902" s="14" t="b">
        <f aca="false">FALSE()</f>
        <v>0</v>
      </c>
    </row>
    <row r="903" customFormat="false" ht="15" hidden="false" customHeight="false" outlineLevel="0" collapsed="false">
      <c r="A903" s="14" t="b">
        <f aca="false">TRUE()</f>
        <v>1</v>
      </c>
      <c r="B903" s="14" t="b">
        <f aca="false">FALSE()</f>
        <v>0</v>
      </c>
      <c r="C903" s="4" t="n">
        <v>2</v>
      </c>
      <c r="D903" s="4"/>
      <c r="E903" s="4"/>
      <c r="F903" s="4"/>
      <c r="G903" s="4"/>
      <c r="H903" s="14" t="b">
        <f aca="false">FALSE()</f>
        <v>0</v>
      </c>
      <c r="I903" s="14" t="b">
        <f aca="false">FALSE()</f>
        <v>0</v>
      </c>
      <c r="J903" s="4"/>
      <c r="K903" s="4" t="s">
        <v>3660</v>
      </c>
      <c r="L903" s="4" t="s">
        <v>3661</v>
      </c>
      <c r="M903" s="4" t="s">
        <v>3662</v>
      </c>
      <c r="N903" s="6" t="n">
        <v>10782</v>
      </c>
      <c r="O903" s="6" t="n">
        <v>32071</v>
      </c>
      <c r="P903" s="4" t="s">
        <v>46</v>
      </c>
      <c r="Q903" s="6" t="n">
        <v>113000</v>
      </c>
      <c r="R903" s="15" t="n">
        <v>44238</v>
      </c>
      <c r="S903" s="6"/>
      <c r="T903" s="15"/>
      <c r="U903" s="6"/>
      <c r="V903" s="15"/>
      <c r="W903" s="4" t="s">
        <v>47</v>
      </c>
      <c r="X903" s="4" t="s">
        <v>47</v>
      </c>
      <c r="Y903" s="4" t="s">
        <v>3663</v>
      </c>
      <c r="Z903" s="4" t="s">
        <v>3588</v>
      </c>
      <c r="AA903" s="6" t="n">
        <v>0</v>
      </c>
      <c r="AB903" s="6" t="n">
        <v>3490.68</v>
      </c>
      <c r="AC903" s="6" t="n">
        <v>1807.7</v>
      </c>
      <c r="AD903" s="14" t="b">
        <f aca="false">TRUE()</f>
        <v>1</v>
      </c>
    </row>
    <row r="904" customFormat="false" ht="15" hidden="false" customHeight="false" outlineLevel="0" collapsed="false">
      <c r="A904" s="14" t="b">
        <f aca="false">TRUE()</f>
        <v>1</v>
      </c>
      <c r="B904" s="14" t="b">
        <f aca="false">FALSE()</f>
        <v>0</v>
      </c>
      <c r="C904" s="4" t="n">
        <v>2</v>
      </c>
      <c r="D904" s="4"/>
      <c r="E904" s="4"/>
      <c r="F904" s="4"/>
      <c r="G904" s="4"/>
      <c r="H904" s="14" t="b">
        <f aca="false">FALSE()</f>
        <v>0</v>
      </c>
      <c r="I904" s="14" t="b">
        <f aca="false">FALSE()</f>
        <v>0</v>
      </c>
      <c r="J904" s="4"/>
      <c r="K904" s="4" t="s">
        <v>3664</v>
      </c>
      <c r="L904" s="4" t="s">
        <v>3665</v>
      </c>
      <c r="M904" s="4" t="s">
        <v>3666</v>
      </c>
      <c r="N904" s="6" t="n">
        <v>9555</v>
      </c>
      <c r="O904" s="6" t="n">
        <v>30723</v>
      </c>
      <c r="P904" s="4" t="s">
        <v>46</v>
      </c>
      <c r="Q904" s="6" t="n">
        <v>290000</v>
      </c>
      <c r="R904" s="15" t="n">
        <v>45028</v>
      </c>
      <c r="S904" s="6"/>
      <c r="T904" s="15"/>
      <c r="U904" s="6"/>
      <c r="V904" s="15"/>
      <c r="W904" s="4" t="s">
        <v>47</v>
      </c>
      <c r="X904" s="4" t="s">
        <v>47</v>
      </c>
      <c r="Y904" s="4" t="s">
        <v>3667</v>
      </c>
      <c r="Z904" s="4" t="s">
        <v>3588</v>
      </c>
      <c r="AA904" s="6" t="n">
        <v>0</v>
      </c>
      <c r="AB904" s="6" t="n">
        <v>1977.6</v>
      </c>
      <c r="AC904" s="6" t="n">
        <v>1043.3</v>
      </c>
      <c r="AD904" s="14" t="b">
        <f aca="false">TRUE()</f>
        <v>1</v>
      </c>
    </row>
    <row r="905" customFormat="false" ht="15" hidden="false" customHeight="false" outlineLevel="0" collapsed="false">
      <c r="A905" s="14" t="b">
        <f aca="false">TRUE()</f>
        <v>1</v>
      </c>
      <c r="B905" s="14" t="b">
        <f aca="false">FALSE()</f>
        <v>0</v>
      </c>
      <c r="C905" s="4" t="n">
        <v>3</v>
      </c>
      <c r="D905" s="4"/>
      <c r="E905" s="4"/>
      <c r="F905" s="4"/>
      <c r="G905" s="4"/>
      <c r="H905" s="14" t="b">
        <f aca="false">FALSE()</f>
        <v>0</v>
      </c>
      <c r="I905" s="14" t="b">
        <f aca="false">FALSE()</f>
        <v>0</v>
      </c>
      <c r="J905" s="4"/>
      <c r="K905" s="4" t="s">
        <v>3668</v>
      </c>
      <c r="L905" s="4" t="s">
        <v>3669</v>
      </c>
      <c r="M905" s="4" t="s">
        <v>3670</v>
      </c>
      <c r="N905" s="6" t="n">
        <v>106042</v>
      </c>
      <c r="O905" s="6" t="n">
        <v>64526</v>
      </c>
      <c r="P905" s="4" t="s">
        <v>46</v>
      </c>
      <c r="Q905" s="6" t="n">
        <v>400000</v>
      </c>
      <c r="R905" s="15" t="n">
        <v>44194</v>
      </c>
      <c r="S905" s="6"/>
      <c r="T905" s="15"/>
      <c r="U905" s="6"/>
      <c r="V905" s="15"/>
      <c r="W905" s="4" t="s">
        <v>47</v>
      </c>
      <c r="X905" s="4" t="s">
        <v>58</v>
      </c>
      <c r="Y905" s="4" t="s">
        <v>3671</v>
      </c>
      <c r="Z905" s="4" t="s">
        <v>3588</v>
      </c>
      <c r="AA905" s="6" t="n">
        <v>0</v>
      </c>
      <c r="AB905" s="6" t="n">
        <v>12983.44</v>
      </c>
      <c r="AC905" s="6" t="n">
        <v>13869.82</v>
      </c>
      <c r="AD905" s="14" t="b">
        <f aca="false">FALSE()</f>
        <v>0</v>
      </c>
    </row>
    <row r="906" customFormat="false" ht="15" hidden="false" customHeight="false" outlineLevel="0" collapsed="false">
      <c r="A906" s="14" t="b">
        <f aca="false">TRUE()</f>
        <v>1</v>
      </c>
      <c r="B906" s="14" t="b">
        <f aca="false">FALSE()</f>
        <v>0</v>
      </c>
      <c r="C906" s="4" t="n">
        <v>2</v>
      </c>
      <c r="D906" s="4"/>
      <c r="E906" s="4"/>
      <c r="F906" s="4"/>
      <c r="G906" s="4"/>
      <c r="H906" s="14" t="b">
        <f aca="false">FALSE()</f>
        <v>0</v>
      </c>
      <c r="I906" s="14" t="b">
        <f aca="false">FALSE()</f>
        <v>0</v>
      </c>
      <c r="J906" s="4"/>
      <c r="K906" s="4" t="s">
        <v>3672</v>
      </c>
      <c r="L906" s="4" t="s">
        <v>3673</v>
      </c>
      <c r="M906" s="4" t="s">
        <v>3674</v>
      </c>
      <c r="N906" s="6" t="n">
        <v>58039</v>
      </c>
      <c r="O906" s="6" t="n">
        <v>48967</v>
      </c>
      <c r="P906" s="4" t="s">
        <v>46</v>
      </c>
      <c r="Q906" s="6"/>
      <c r="R906" s="15" t="n">
        <v>35172</v>
      </c>
      <c r="S906" s="6"/>
      <c r="T906" s="15"/>
      <c r="U906" s="6"/>
      <c r="V906" s="15"/>
      <c r="W906" s="4" t="s">
        <v>58</v>
      </c>
      <c r="X906" s="4" t="s">
        <v>58</v>
      </c>
      <c r="Y906" s="4" t="s">
        <v>3675</v>
      </c>
      <c r="Z906" s="4" t="s">
        <v>3588</v>
      </c>
      <c r="AA906" s="6" t="n">
        <v>0</v>
      </c>
      <c r="AB906" s="6" t="n">
        <v>7413.08</v>
      </c>
      <c r="AC906" s="6" t="n">
        <v>3883.33</v>
      </c>
      <c r="AD906" s="14" t="b">
        <f aca="false">TRUE()</f>
        <v>1</v>
      </c>
    </row>
    <row r="907" customFormat="false" ht="15" hidden="false" customHeight="false" outlineLevel="0" collapsed="false">
      <c r="A907" s="14" t="b">
        <f aca="false">TRUE()</f>
        <v>1</v>
      </c>
      <c r="B907" s="14" t="b">
        <f aca="false">FALSE()</f>
        <v>0</v>
      </c>
      <c r="C907" s="4" t="n">
        <v>2</v>
      </c>
      <c r="D907" s="4"/>
      <c r="E907" s="4"/>
      <c r="F907" s="4"/>
      <c r="G907" s="4"/>
      <c r="H907" s="14" t="b">
        <f aca="false">FALSE()</f>
        <v>0</v>
      </c>
      <c r="I907" s="14" t="b">
        <f aca="false">FALSE()</f>
        <v>0</v>
      </c>
      <c r="J907" s="4"/>
      <c r="K907" s="4" t="s">
        <v>3676</v>
      </c>
      <c r="L907" s="4" t="s">
        <v>3677</v>
      </c>
      <c r="M907" s="4" t="s">
        <v>3678</v>
      </c>
      <c r="N907" s="6" t="n">
        <v>58039</v>
      </c>
      <c r="O907" s="6" t="n">
        <v>35172</v>
      </c>
      <c r="P907" s="4" t="s">
        <v>46</v>
      </c>
      <c r="Q907" s="6"/>
      <c r="R907" s="15"/>
      <c r="S907" s="6"/>
      <c r="T907" s="15"/>
      <c r="U907" s="6"/>
      <c r="V907" s="15"/>
      <c r="W907" s="4"/>
      <c r="X907" s="4"/>
      <c r="Y907" s="4" t="s">
        <v>3679</v>
      </c>
      <c r="Z907" s="4" t="s">
        <v>3588</v>
      </c>
      <c r="AA907" s="6" t="n">
        <v>0</v>
      </c>
      <c r="AB907" s="6" t="n">
        <v>6941.04</v>
      </c>
      <c r="AC907" s="6" t="n">
        <v>7419.56</v>
      </c>
      <c r="AD907" s="14" t="b">
        <f aca="false">FALSE()</f>
        <v>0</v>
      </c>
    </row>
    <row r="908" customFormat="false" ht="15" hidden="false" customHeight="false" outlineLevel="0" collapsed="false">
      <c r="A908" s="14" t="b">
        <f aca="false">TRUE()</f>
        <v>1</v>
      </c>
      <c r="B908" s="14" t="b">
        <f aca="false">FALSE()</f>
        <v>0</v>
      </c>
      <c r="C908" s="4" t="n">
        <v>2</v>
      </c>
      <c r="D908" s="4"/>
      <c r="E908" s="4"/>
      <c r="F908" s="4"/>
      <c r="G908" s="4"/>
      <c r="H908" s="14" t="b">
        <f aca="false">FALSE()</f>
        <v>0</v>
      </c>
      <c r="I908" s="14" t="b">
        <f aca="false">FALSE()</f>
        <v>0</v>
      </c>
      <c r="J908" s="4"/>
      <c r="K908" s="4" t="s">
        <v>3680</v>
      </c>
      <c r="L908" s="4" t="s">
        <v>3681</v>
      </c>
      <c r="M908" s="4" t="s">
        <v>3682</v>
      </c>
      <c r="N908" s="6" t="n">
        <v>58039</v>
      </c>
      <c r="O908" s="6" t="n">
        <v>42360</v>
      </c>
      <c r="P908" s="4" t="s">
        <v>46</v>
      </c>
      <c r="Q908" s="6"/>
      <c r="R908" s="15"/>
      <c r="S908" s="6"/>
      <c r="T908" s="15"/>
      <c r="U908" s="6"/>
      <c r="V908" s="15"/>
      <c r="W908" s="4" t="s">
        <v>58</v>
      </c>
      <c r="X908" s="4" t="s">
        <v>47</v>
      </c>
      <c r="Y908" s="4" t="s">
        <v>3683</v>
      </c>
      <c r="Z908" s="4" t="s">
        <v>3588</v>
      </c>
      <c r="AA908" s="6" t="n">
        <v>0</v>
      </c>
      <c r="AB908" s="6" t="n">
        <v>7526.56</v>
      </c>
      <c r="AC908" s="6" t="n">
        <v>8044.61</v>
      </c>
      <c r="AD908" s="14" t="b">
        <f aca="false">FALSE()</f>
        <v>0</v>
      </c>
    </row>
    <row r="909" customFormat="false" ht="15" hidden="false" customHeight="false" outlineLevel="0" collapsed="false">
      <c r="A909" s="14" t="b">
        <f aca="false">TRUE()</f>
        <v>1</v>
      </c>
      <c r="B909" s="14" t="b">
        <f aca="false">FALSE()</f>
        <v>0</v>
      </c>
      <c r="C909" s="4" t="n">
        <v>3</v>
      </c>
      <c r="D909" s="4"/>
      <c r="E909" s="4"/>
      <c r="F909" s="4"/>
      <c r="G909" s="4"/>
      <c r="H909" s="14" t="b">
        <f aca="false">FALSE()</f>
        <v>0</v>
      </c>
      <c r="I909" s="14" t="b">
        <f aca="false">FALSE()</f>
        <v>0</v>
      </c>
      <c r="J909" s="4"/>
      <c r="K909" s="4" t="s">
        <v>3684</v>
      </c>
      <c r="L909" s="4" t="s">
        <v>3685</v>
      </c>
      <c r="M909" s="4" t="s">
        <v>3686</v>
      </c>
      <c r="N909" s="6" t="n">
        <v>86440</v>
      </c>
      <c r="O909" s="6" t="n">
        <v>203724</v>
      </c>
      <c r="P909" s="4" t="s">
        <v>46</v>
      </c>
      <c r="Q909" s="6" t="n">
        <v>855000</v>
      </c>
      <c r="R909" s="15" t="n">
        <v>41110</v>
      </c>
      <c r="S909" s="6"/>
      <c r="T909" s="15"/>
      <c r="U909" s="6"/>
      <c r="V909" s="15"/>
      <c r="W909" s="4" t="s">
        <v>47</v>
      </c>
      <c r="X909" s="4" t="s">
        <v>58</v>
      </c>
      <c r="Y909" s="4" t="s">
        <v>3687</v>
      </c>
      <c r="Z909" s="4" t="s">
        <v>2108</v>
      </c>
      <c r="AA909" s="6" t="n">
        <v>0</v>
      </c>
      <c r="AB909" s="6" t="n">
        <v>17051.16</v>
      </c>
      <c r="AC909" s="6" t="n">
        <v>18212.11</v>
      </c>
      <c r="AD909" s="14" t="b">
        <f aca="false">FALSE()</f>
        <v>0</v>
      </c>
    </row>
    <row r="910" customFormat="false" ht="15" hidden="false" customHeight="false" outlineLevel="0" collapsed="false">
      <c r="A910" s="14" t="b">
        <f aca="false">TRUE()</f>
        <v>1</v>
      </c>
      <c r="B910" s="14" t="b">
        <f aca="false">FALSE()</f>
        <v>0</v>
      </c>
      <c r="C910" s="4" t="n">
        <v>3</v>
      </c>
      <c r="D910" s="4"/>
      <c r="E910" s="4"/>
      <c r="F910" s="4"/>
      <c r="G910" s="4"/>
      <c r="H910" s="14" t="b">
        <f aca="false">FALSE()</f>
        <v>0</v>
      </c>
      <c r="I910" s="14" t="b">
        <f aca="false">FALSE()</f>
        <v>0</v>
      </c>
      <c r="J910" s="4"/>
      <c r="K910" s="4" t="s">
        <v>3688</v>
      </c>
      <c r="L910" s="4" t="s">
        <v>3689</v>
      </c>
      <c r="M910" s="4" t="s">
        <v>3690</v>
      </c>
      <c r="N910" s="6" t="n">
        <v>121097</v>
      </c>
      <c r="O910" s="6" t="n">
        <v>54752</v>
      </c>
      <c r="P910" s="4" t="s">
        <v>46</v>
      </c>
      <c r="Q910" s="6"/>
      <c r="R910" s="15" t="n">
        <v>45450</v>
      </c>
      <c r="S910" s="6" t="n">
        <v>595000</v>
      </c>
      <c r="T910" s="15" t="n">
        <v>45450</v>
      </c>
      <c r="U910" s="6"/>
      <c r="V910" s="15"/>
      <c r="W910" s="4" t="s">
        <v>47</v>
      </c>
      <c r="X910" s="4" t="s">
        <v>47</v>
      </c>
      <c r="Y910" s="4" t="s">
        <v>3691</v>
      </c>
      <c r="Z910" s="4" t="s">
        <v>2108</v>
      </c>
      <c r="AA910" s="6" t="n">
        <v>0</v>
      </c>
      <c r="AB910" s="6" t="n">
        <v>10626.54</v>
      </c>
      <c r="AC910" s="6" t="n">
        <v>11353.83</v>
      </c>
      <c r="AD910" s="14" t="b">
        <f aca="false">FALSE()</f>
        <v>0</v>
      </c>
    </row>
    <row r="911" customFormat="false" ht="15" hidden="false" customHeight="false" outlineLevel="0" collapsed="false">
      <c r="A911" s="14" t="b">
        <f aca="false">TRUE()</f>
        <v>1</v>
      </c>
      <c r="B911" s="14" t="b">
        <f aca="false">FALSE()</f>
        <v>0</v>
      </c>
      <c r="C911" s="4" t="n">
        <v>3</v>
      </c>
      <c r="D911" s="4"/>
      <c r="E911" s="4"/>
      <c r="F911" s="4"/>
      <c r="G911" s="4"/>
      <c r="H911" s="14" t="b">
        <f aca="false">FALSE()</f>
        <v>0</v>
      </c>
      <c r="I911" s="14" t="b">
        <f aca="false">FALSE()</f>
        <v>0</v>
      </c>
      <c r="J911" s="4"/>
      <c r="K911" s="4" t="s">
        <v>3692</v>
      </c>
      <c r="L911" s="4" t="s">
        <v>3693</v>
      </c>
      <c r="M911" s="4" t="s">
        <v>3694</v>
      </c>
      <c r="N911" s="6" t="n">
        <v>89672</v>
      </c>
      <c r="O911" s="6" t="n">
        <v>160871</v>
      </c>
      <c r="P911" s="4" t="s">
        <v>46</v>
      </c>
      <c r="Q911" s="6" t="n">
        <v>280000</v>
      </c>
      <c r="R911" s="15" t="n">
        <v>45131</v>
      </c>
      <c r="S911" s="6"/>
      <c r="T911" s="15"/>
      <c r="U911" s="6"/>
      <c r="V911" s="15"/>
      <c r="W911" s="4" t="s">
        <v>58</v>
      </c>
      <c r="X911" s="4" t="s">
        <v>58</v>
      </c>
      <c r="Y911" s="4" t="s">
        <v>3695</v>
      </c>
      <c r="Z911" s="4" t="s">
        <v>2108</v>
      </c>
      <c r="AA911" s="6" t="n">
        <v>0</v>
      </c>
      <c r="AB911" s="6" t="n">
        <v>15011.08</v>
      </c>
      <c r="AC911" s="6" t="n">
        <v>16034.33</v>
      </c>
      <c r="AD911" s="14" t="b">
        <f aca="false">FALSE()</f>
        <v>0</v>
      </c>
    </row>
    <row r="912" customFormat="false" ht="15" hidden="false" customHeight="false" outlineLevel="0" collapsed="false">
      <c r="A912" s="14" t="b">
        <f aca="false">TRUE()</f>
        <v>1</v>
      </c>
      <c r="B912" s="14" t="b">
        <f aca="false">FALSE()</f>
        <v>0</v>
      </c>
      <c r="C912" s="4" t="n">
        <v>2</v>
      </c>
      <c r="D912" s="4"/>
      <c r="E912" s="4"/>
      <c r="F912" s="4"/>
      <c r="G912" s="4"/>
      <c r="H912" s="14" t="b">
        <f aca="false">FALSE()</f>
        <v>0</v>
      </c>
      <c r="I912" s="14" t="b">
        <f aca="false">FALSE()</f>
        <v>0</v>
      </c>
      <c r="J912" s="4"/>
      <c r="K912" s="4" t="s">
        <v>3696</v>
      </c>
      <c r="L912" s="4" t="s">
        <v>3697</v>
      </c>
      <c r="M912" s="4" t="s">
        <v>3698</v>
      </c>
      <c r="N912" s="6" t="n">
        <v>17531</v>
      </c>
      <c r="O912" s="6" t="n">
        <v>51016</v>
      </c>
      <c r="P912" s="4" t="s">
        <v>46</v>
      </c>
      <c r="Q912" s="6" t="n">
        <v>140000</v>
      </c>
      <c r="R912" s="15" t="n">
        <v>42004</v>
      </c>
      <c r="S912" s="6"/>
      <c r="T912" s="15"/>
      <c r="U912" s="6"/>
      <c r="V912" s="15"/>
      <c r="W912" s="4" t="s">
        <v>47</v>
      </c>
      <c r="X912" s="4" t="s">
        <v>47</v>
      </c>
      <c r="Y912" s="4" t="s">
        <v>3699</v>
      </c>
      <c r="Z912" s="4" t="s">
        <v>2108</v>
      </c>
      <c r="AA912" s="6" t="n">
        <v>0</v>
      </c>
      <c r="AB912" s="6" t="n">
        <v>3709.18</v>
      </c>
      <c r="AC912" s="6" t="n">
        <v>3969.55</v>
      </c>
      <c r="AD912" s="14" t="b">
        <f aca="false">FALSE()</f>
        <v>0</v>
      </c>
    </row>
    <row r="913" customFormat="false" ht="15" hidden="false" customHeight="false" outlineLevel="0" collapsed="false">
      <c r="A913" s="14" t="b">
        <f aca="false">TRUE()</f>
        <v>1</v>
      </c>
      <c r="B913" s="14" t="b">
        <f aca="false">FALSE()</f>
        <v>0</v>
      </c>
      <c r="C913" s="4" t="n">
        <v>3</v>
      </c>
      <c r="D913" s="4"/>
      <c r="E913" s="4"/>
      <c r="F913" s="4"/>
      <c r="G913" s="4"/>
      <c r="H913" s="14" t="b">
        <f aca="false">FALSE()</f>
        <v>0</v>
      </c>
      <c r="I913" s="14" t="b">
        <f aca="false">FALSE()</f>
        <v>0</v>
      </c>
      <c r="J913" s="4"/>
      <c r="K913" s="4" t="s">
        <v>3700</v>
      </c>
      <c r="L913" s="4" t="s">
        <v>3701</v>
      </c>
      <c r="M913" s="4" t="s">
        <v>3702</v>
      </c>
      <c r="N913" s="6" t="n">
        <v>73598</v>
      </c>
      <c r="O913" s="6" t="n">
        <v>196788</v>
      </c>
      <c r="P913" s="4" t="s">
        <v>46</v>
      </c>
      <c r="Q913" s="6" t="n">
        <v>1350000</v>
      </c>
      <c r="R913" s="15" t="n">
        <v>45628</v>
      </c>
      <c r="S913" s="6" t="n">
        <v>800000</v>
      </c>
      <c r="T913" s="15" t="n">
        <v>45628</v>
      </c>
      <c r="U913" s="6"/>
      <c r="V913" s="15"/>
      <c r="W913" s="4" t="s">
        <v>47</v>
      </c>
      <c r="X913" s="4" t="s">
        <v>58</v>
      </c>
      <c r="Y913" s="4" t="s">
        <v>3703</v>
      </c>
      <c r="Z913" s="4" t="s">
        <v>2108</v>
      </c>
      <c r="AA913" s="6" t="n">
        <v>0</v>
      </c>
      <c r="AB913" s="6" t="n">
        <v>15796.84</v>
      </c>
      <c r="AC913" s="6" t="n">
        <v>16873.13</v>
      </c>
      <c r="AD913" s="14" t="b">
        <f aca="false">FALSE()</f>
        <v>0</v>
      </c>
    </row>
    <row r="914" customFormat="false" ht="15" hidden="false" customHeight="false" outlineLevel="0" collapsed="false">
      <c r="A914" s="14" t="b">
        <f aca="false">TRUE()</f>
        <v>1</v>
      </c>
      <c r="B914" s="14" t="b">
        <f aca="false">FALSE()</f>
        <v>0</v>
      </c>
      <c r="C914" s="4" t="n">
        <v>3</v>
      </c>
      <c r="D914" s="4"/>
      <c r="E914" s="4"/>
      <c r="F914" s="4"/>
      <c r="G914" s="4" t="n">
        <v>3</v>
      </c>
      <c r="H914" s="14" t="b">
        <f aca="false">FALSE()</f>
        <v>0</v>
      </c>
      <c r="I914" s="14" t="b">
        <f aca="false">FALSE()</f>
        <v>0</v>
      </c>
      <c r="J914" s="4"/>
      <c r="K914" s="4" t="s">
        <v>3704</v>
      </c>
      <c r="L914" s="4" t="s">
        <v>3705</v>
      </c>
      <c r="M914" s="4" t="s">
        <v>3706</v>
      </c>
      <c r="N914" s="6" t="n">
        <v>77258</v>
      </c>
      <c r="O914" s="6" t="n">
        <v>159129</v>
      </c>
      <c r="P914" s="4" t="s">
        <v>46</v>
      </c>
      <c r="Q914" s="6" t="n">
        <v>512000</v>
      </c>
      <c r="R914" s="15" t="n">
        <v>43474</v>
      </c>
      <c r="S914" s="6"/>
      <c r="T914" s="15"/>
      <c r="U914" s="6"/>
      <c r="V914" s="15"/>
      <c r="W914" s="4" t="s">
        <v>47</v>
      </c>
      <c r="X914" s="4" t="s">
        <v>47</v>
      </c>
      <c r="Y914" s="4" t="s">
        <v>3707</v>
      </c>
      <c r="Z914" s="4" t="s">
        <v>2108</v>
      </c>
      <c r="AA914" s="6" t="n">
        <v>0</v>
      </c>
      <c r="AB914" s="6" t="n">
        <v>13991.22</v>
      </c>
      <c r="AC914" s="6" t="n">
        <v>14945.62</v>
      </c>
      <c r="AD914" s="14" t="b">
        <f aca="false">FALSE()</f>
        <v>0</v>
      </c>
    </row>
    <row r="915" customFormat="false" ht="15" hidden="false" customHeight="false" outlineLevel="0" collapsed="false">
      <c r="A915" s="14" t="b">
        <f aca="false">TRUE()</f>
        <v>1</v>
      </c>
      <c r="B915" s="14" t="b">
        <f aca="false">FALSE()</f>
        <v>0</v>
      </c>
      <c r="C915" s="4" t="n">
        <v>3</v>
      </c>
      <c r="D915" s="4"/>
      <c r="E915" s="4"/>
      <c r="F915" s="4"/>
      <c r="G915" s="4"/>
      <c r="H915" s="14" t="b">
        <f aca="false">TRUE()</f>
        <v>1</v>
      </c>
      <c r="I915" s="14" t="b">
        <f aca="false">FALSE()</f>
        <v>0</v>
      </c>
      <c r="J915" s="4"/>
      <c r="K915" s="4" t="s">
        <v>3708</v>
      </c>
      <c r="L915" s="4" t="s">
        <v>3709</v>
      </c>
      <c r="M915" s="4" t="s">
        <v>3710</v>
      </c>
      <c r="N915" s="6" t="n">
        <v>74968</v>
      </c>
      <c r="O915" s="6" t="n">
        <v>158340</v>
      </c>
      <c r="P915" s="4" t="s">
        <v>46</v>
      </c>
      <c r="Q915" s="6" t="n">
        <v>605000</v>
      </c>
      <c r="R915" s="15" t="n">
        <v>43670</v>
      </c>
      <c r="S915" s="6" t="n">
        <v>484000</v>
      </c>
      <c r="T915" s="15" t="n">
        <v>43670</v>
      </c>
      <c r="U915" s="6"/>
      <c r="V915" s="15"/>
      <c r="W915" s="4" t="s">
        <v>47</v>
      </c>
      <c r="X915" s="4" t="s">
        <v>47</v>
      </c>
      <c r="Y915" s="4" t="s">
        <v>3711</v>
      </c>
      <c r="Z915" s="4" t="s">
        <v>2108</v>
      </c>
      <c r="AA915" s="6" t="n">
        <v>0</v>
      </c>
      <c r="AB915" s="6" t="n">
        <v>13802.58</v>
      </c>
      <c r="AC915" s="6" t="n">
        <v>14744.26</v>
      </c>
      <c r="AD915" s="14" t="b">
        <f aca="false">FALSE()</f>
        <v>0</v>
      </c>
    </row>
    <row r="916" customFormat="false" ht="15" hidden="false" customHeight="false" outlineLevel="0" collapsed="false">
      <c r="A916" s="14" t="b">
        <f aca="false">TRUE()</f>
        <v>1</v>
      </c>
      <c r="B916" s="14" t="b">
        <f aca="false">FALSE()</f>
        <v>0</v>
      </c>
      <c r="C916" s="4" t="n">
        <v>2</v>
      </c>
      <c r="D916" s="4"/>
      <c r="E916" s="4"/>
      <c r="F916" s="4"/>
      <c r="G916" s="4"/>
      <c r="H916" s="14" t="b">
        <f aca="false">FALSE()</f>
        <v>0</v>
      </c>
      <c r="I916" s="14" t="b">
        <f aca="false">FALSE()</f>
        <v>0</v>
      </c>
      <c r="J916" s="4"/>
      <c r="K916" s="4" t="s">
        <v>3712</v>
      </c>
      <c r="L916" s="4" t="s">
        <v>3713</v>
      </c>
      <c r="M916" s="4" t="s">
        <v>3714</v>
      </c>
      <c r="N916" s="6" t="n">
        <v>87042</v>
      </c>
      <c r="O916" s="6" t="n">
        <v>213881</v>
      </c>
      <c r="P916" s="4" t="s">
        <v>46</v>
      </c>
      <c r="Q916" s="6" t="n">
        <v>215000</v>
      </c>
      <c r="R916" s="15" t="n">
        <v>38757</v>
      </c>
      <c r="S916" s="6"/>
      <c r="T916" s="15"/>
      <c r="U916" s="6"/>
      <c r="V916" s="15"/>
      <c r="W916" s="4" t="s">
        <v>47</v>
      </c>
      <c r="X916" s="4" t="s">
        <v>47</v>
      </c>
      <c r="Y916" s="4" t="s">
        <v>3715</v>
      </c>
      <c r="Z916" s="4" t="s">
        <v>2108</v>
      </c>
      <c r="AA916" s="6" t="n">
        <v>0</v>
      </c>
      <c r="AB916" s="6" t="n">
        <v>17944.76</v>
      </c>
      <c r="AC916" s="6" t="n">
        <v>9386.14</v>
      </c>
      <c r="AD916" s="14" t="b">
        <f aca="false">TRUE()</f>
        <v>1</v>
      </c>
    </row>
    <row r="917" customFormat="false" ht="15" hidden="false" customHeight="false" outlineLevel="0" collapsed="false">
      <c r="A917" s="14" t="b">
        <f aca="false">TRUE()</f>
        <v>1</v>
      </c>
      <c r="B917" s="14" t="b">
        <f aca="false">FALSE()</f>
        <v>0</v>
      </c>
      <c r="C917" s="4" t="n">
        <v>3</v>
      </c>
      <c r="D917" s="4"/>
      <c r="E917" s="4"/>
      <c r="F917" s="4"/>
      <c r="G917" s="4" t="n">
        <v>3</v>
      </c>
      <c r="H917" s="14" t="b">
        <f aca="false">TRUE()</f>
        <v>1</v>
      </c>
      <c r="I917" s="14" t="b">
        <f aca="false">FALSE()</f>
        <v>0</v>
      </c>
      <c r="J917" s="4"/>
      <c r="K917" s="4" t="s">
        <v>3716</v>
      </c>
      <c r="L917" s="4" t="s">
        <v>3717</v>
      </c>
      <c r="M917" s="4" t="s">
        <v>3718</v>
      </c>
      <c r="N917" s="6" t="n">
        <v>96706</v>
      </c>
      <c r="O917" s="6" t="n">
        <v>202409</v>
      </c>
      <c r="P917" s="4" t="s">
        <v>46</v>
      </c>
      <c r="Q917" s="6" t="n">
        <v>180000</v>
      </c>
      <c r="R917" s="15" t="n">
        <v>34456</v>
      </c>
      <c r="S917" s="6" t="n">
        <v>720000</v>
      </c>
      <c r="T917" s="15" t="n">
        <v>45118</v>
      </c>
      <c r="U917" s="6" t="n">
        <v>150000</v>
      </c>
      <c r="V917" s="15" t="n">
        <v>45450</v>
      </c>
      <c r="W917" s="4" t="s">
        <v>58</v>
      </c>
      <c r="X917" s="4" t="s">
        <v>47</v>
      </c>
      <c r="Y917" s="4" t="s">
        <v>3719</v>
      </c>
      <c r="Z917" s="4" t="s">
        <v>2108</v>
      </c>
      <c r="AA917" s="6" t="n">
        <v>0</v>
      </c>
      <c r="AB917" s="6" t="n">
        <v>16975.8</v>
      </c>
      <c r="AC917" s="6" t="n">
        <v>18131.67</v>
      </c>
      <c r="AD917" s="14" t="b">
        <f aca="false">FALSE()</f>
        <v>0</v>
      </c>
    </row>
    <row r="918" customFormat="false" ht="15" hidden="false" customHeight="false" outlineLevel="0" collapsed="false">
      <c r="A918" s="14" t="b">
        <f aca="false">TRUE()</f>
        <v>1</v>
      </c>
      <c r="B918" s="14" t="b">
        <f aca="false">FALSE()</f>
        <v>0</v>
      </c>
      <c r="C918" s="4" t="n">
        <v>2</v>
      </c>
      <c r="D918" s="4"/>
      <c r="E918" s="4"/>
      <c r="F918" s="4"/>
      <c r="G918" s="4"/>
      <c r="H918" s="14" t="b">
        <f aca="false">FALSE()</f>
        <v>0</v>
      </c>
      <c r="I918" s="14" t="b">
        <f aca="false">FALSE()</f>
        <v>0</v>
      </c>
      <c r="J918" s="4"/>
      <c r="K918" s="4" t="s">
        <v>3720</v>
      </c>
      <c r="L918" s="4" t="s">
        <v>3721</v>
      </c>
      <c r="M918" s="4" t="s">
        <v>3722</v>
      </c>
      <c r="N918" s="6" t="n">
        <v>28061</v>
      </c>
      <c r="O918" s="6" t="n">
        <v>102371</v>
      </c>
      <c r="P918" s="4" t="s">
        <v>46</v>
      </c>
      <c r="Q918" s="6" t="n">
        <v>207000</v>
      </c>
      <c r="R918" s="15" t="n">
        <v>35605</v>
      </c>
      <c r="S918" s="6"/>
      <c r="T918" s="15"/>
      <c r="U918" s="6"/>
      <c r="V918" s="15"/>
      <c r="W918" s="4" t="s">
        <v>47</v>
      </c>
      <c r="X918" s="4" t="s">
        <v>47</v>
      </c>
      <c r="Y918" s="4" t="s">
        <v>3723</v>
      </c>
      <c r="Z918" s="4" t="s">
        <v>2108</v>
      </c>
      <c r="AA918" s="6" t="n">
        <v>0</v>
      </c>
      <c r="AB918" s="6"/>
      <c r="AC918" s="6" t="n">
        <v>3672.84</v>
      </c>
      <c r="AD918" s="14" t="b">
        <f aca="false">FALSE()</f>
        <v>0</v>
      </c>
    </row>
    <row r="919" customFormat="false" ht="15" hidden="false" customHeight="false" outlineLevel="0" collapsed="false">
      <c r="A919" s="14" t="b">
        <f aca="false">TRUE()</f>
        <v>1</v>
      </c>
      <c r="B919" s="14" t="b">
        <f aca="false">FALSE()</f>
        <v>0</v>
      </c>
      <c r="C919" s="4" t="n">
        <v>3</v>
      </c>
      <c r="D919" s="4"/>
      <c r="E919" s="4"/>
      <c r="F919" s="4"/>
      <c r="G919" s="4"/>
      <c r="H919" s="14" t="b">
        <f aca="false">FALSE()</f>
        <v>0</v>
      </c>
      <c r="I919" s="14" t="b">
        <f aca="false">FALSE()</f>
        <v>0</v>
      </c>
      <c r="J919" s="4"/>
      <c r="K919" s="4" t="s">
        <v>841</v>
      </c>
      <c r="L919" s="4" t="s">
        <v>3724</v>
      </c>
      <c r="M919" s="4" t="s">
        <v>3725</v>
      </c>
      <c r="N919" s="6" t="n">
        <v>75154</v>
      </c>
      <c r="O919" s="6" t="n">
        <v>222559</v>
      </c>
      <c r="P919" s="4" t="s">
        <v>46</v>
      </c>
      <c r="Q919" s="6" t="n">
        <v>1974</v>
      </c>
      <c r="R919" s="15" t="n">
        <v>43399</v>
      </c>
      <c r="S919" s="6" t="n">
        <v>510400</v>
      </c>
      <c r="T919" s="15" t="n">
        <v>44224</v>
      </c>
      <c r="U919" s="6" t="n">
        <v>189000</v>
      </c>
      <c r="V919" s="15" t="n">
        <v>44627</v>
      </c>
      <c r="W919" s="4" t="s">
        <v>47</v>
      </c>
      <c r="X919" s="4" t="s">
        <v>47</v>
      </c>
      <c r="Y919" s="4" t="s">
        <v>3726</v>
      </c>
      <c r="Z919" s="4" t="s">
        <v>2108</v>
      </c>
      <c r="AA919" s="6" t="n">
        <v>0</v>
      </c>
      <c r="AB919" s="6" t="n">
        <v>17115.22</v>
      </c>
      <c r="AC919" s="6" t="n">
        <v>18280.49</v>
      </c>
      <c r="AD919" s="14" t="b">
        <f aca="false">FALSE()</f>
        <v>0</v>
      </c>
    </row>
    <row r="920" customFormat="false" ht="15" hidden="false" customHeight="false" outlineLevel="0" collapsed="false">
      <c r="A920" s="14" t="b">
        <f aca="false">TRUE()</f>
        <v>1</v>
      </c>
      <c r="B920" s="14" t="b">
        <f aca="false">FALSE()</f>
        <v>0</v>
      </c>
      <c r="C920" s="4" t="n">
        <v>2</v>
      </c>
      <c r="D920" s="4"/>
      <c r="E920" s="4"/>
      <c r="F920" s="4"/>
      <c r="G920" s="4"/>
      <c r="H920" s="14" t="b">
        <f aca="false">FALSE()</f>
        <v>0</v>
      </c>
      <c r="I920" s="14" t="b">
        <f aca="false">FALSE()</f>
        <v>0</v>
      </c>
      <c r="J920" s="4"/>
      <c r="K920" s="4" t="s">
        <v>3727</v>
      </c>
      <c r="L920" s="4" t="s">
        <v>3728</v>
      </c>
      <c r="M920" s="4" t="s">
        <v>3729</v>
      </c>
      <c r="N920" s="6" t="n">
        <v>75154</v>
      </c>
      <c r="O920" s="6" t="n">
        <v>202354</v>
      </c>
      <c r="P920" s="4" t="s">
        <v>46</v>
      </c>
      <c r="Q920" s="6" t="n">
        <v>1725</v>
      </c>
      <c r="R920" s="15" t="n">
        <v>43210</v>
      </c>
      <c r="S920" s="6" t="n">
        <v>389700</v>
      </c>
      <c r="T920" s="15" t="n">
        <v>44246</v>
      </c>
      <c r="U920" s="6"/>
      <c r="V920" s="15"/>
      <c r="W920" s="4" t="s">
        <v>58</v>
      </c>
      <c r="X920" s="4" t="s">
        <v>47</v>
      </c>
      <c r="Y920" s="4" t="s">
        <v>3730</v>
      </c>
      <c r="Z920" s="4" t="s">
        <v>2108</v>
      </c>
      <c r="AA920" s="6" t="n">
        <v>0</v>
      </c>
      <c r="AB920" s="6" t="n">
        <v>16510.34</v>
      </c>
      <c r="AC920" s="6" t="n">
        <v>8636.65</v>
      </c>
      <c r="AD920" s="14" t="b">
        <f aca="false">TRUE()</f>
        <v>1</v>
      </c>
    </row>
    <row r="921" customFormat="false" ht="15" hidden="false" customHeight="false" outlineLevel="0" collapsed="false">
      <c r="A921" s="14" t="b">
        <f aca="false">TRUE()</f>
        <v>1</v>
      </c>
      <c r="B921" s="14" t="b">
        <f aca="false">FALSE()</f>
        <v>0</v>
      </c>
      <c r="C921" s="4" t="n">
        <v>2</v>
      </c>
      <c r="D921" s="4"/>
      <c r="E921" s="4"/>
      <c r="F921" s="4"/>
      <c r="G921" s="4"/>
      <c r="H921" s="14" t="b">
        <f aca="false">FALSE()</f>
        <v>0</v>
      </c>
      <c r="I921" s="14" t="b">
        <f aca="false">FALSE()</f>
        <v>0</v>
      </c>
      <c r="J921" s="4"/>
      <c r="K921" s="4" t="s">
        <v>3731</v>
      </c>
      <c r="L921" s="4" t="s">
        <v>3732</v>
      </c>
      <c r="M921" s="4" t="s">
        <v>3733</v>
      </c>
      <c r="N921" s="6" t="n">
        <v>75154</v>
      </c>
      <c r="O921" s="6" t="n">
        <v>206101</v>
      </c>
      <c r="P921" s="4" t="s">
        <v>46</v>
      </c>
      <c r="Q921" s="6" t="n">
        <v>620000</v>
      </c>
      <c r="R921" s="15" t="n">
        <v>42926</v>
      </c>
      <c r="S921" s="6"/>
      <c r="T921" s="15"/>
      <c r="U921" s="6"/>
      <c r="V921" s="15"/>
      <c r="W921" s="4" t="s">
        <v>47</v>
      </c>
      <c r="X921" s="4" t="s">
        <v>47</v>
      </c>
      <c r="Y921" s="4" t="s">
        <v>3734</v>
      </c>
      <c r="Z921" s="4" t="s">
        <v>2108</v>
      </c>
      <c r="AA921" s="6" t="n">
        <v>0</v>
      </c>
      <c r="AB921" s="6" t="n">
        <v>16739.86</v>
      </c>
      <c r="AC921" s="6" t="n">
        <v>8756.58</v>
      </c>
      <c r="AD921" s="14" t="b">
        <f aca="false">TRUE()</f>
        <v>1</v>
      </c>
    </row>
    <row r="922" customFormat="false" ht="15" hidden="false" customHeight="false" outlineLevel="0" collapsed="false">
      <c r="A922" s="14" t="b">
        <f aca="false">TRUE()</f>
        <v>1</v>
      </c>
      <c r="B922" s="14" t="b">
        <f aca="false">FALSE()</f>
        <v>0</v>
      </c>
      <c r="C922" s="4" t="n">
        <v>2</v>
      </c>
      <c r="D922" s="4"/>
      <c r="E922" s="4"/>
      <c r="F922" s="4"/>
      <c r="G922" s="4" t="n">
        <v>2</v>
      </c>
      <c r="H922" s="14" t="b">
        <f aca="false">FALSE()</f>
        <v>0</v>
      </c>
      <c r="I922" s="14" t="b">
        <f aca="false">FALSE()</f>
        <v>0</v>
      </c>
      <c r="J922" s="4"/>
      <c r="K922" s="4" t="s">
        <v>3735</v>
      </c>
      <c r="L922" s="4" t="s">
        <v>3736</v>
      </c>
      <c r="M922" s="4" t="s">
        <v>3737</v>
      </c>
      <c r="N922" s="6" t="n">
        <v>77806</v>
      </c>
      <c r="O922" s="6" t="n">
        <v>77543</v>
      </c>
      <c r="P922" s="4" t="s">
        <v>46</v>
      </c>
      <c r="Q922" s="6"/>
      <c r="R922" s="15"/>
      <c r="S922" s="6"/>
      <c r="T922" s="15"/>
      <c r="U922" s="6"/>
      <c r="V922" s="15"/>
      <c r="W922" s="4" t="s">
        <v>47</v>
      </c>
      <c r="X922" s="4" t="s">
        <v>47</v>
      </c>
      <c r="Y922" s="4" t="s">
        <v>3738</v>
      </c>
      <c r="Z922" s="4" t="s">
        <v>2108</v>
      </c>
      <c r="AA922" s="6" t="n">
        <v>0</v>
      </c>
      <c r="AB922" s="6" t="n">
        <v>9026.74</v>
      </c>
      <c r="AC922" s="6" t="n">
        <v>9646.04</v>
      </c>
      <c r="AD922" s="14" t="b">
        <f aca="false">FALSE()</f>
        <v>0</v>
      </c>
    </row>
    <row r="923" customFormat="false" ht="15" hidden="false" customHeight="false" outlineLevel="0" collapsed="false">
      <c r="A923" s="14" t="b">
        <f aca="false">TRUE()</f>
        <v>1</v>
      </c>
      <c r="B923" s="14" t="b">
        <f aca="false">FALSE()</f>
        <v>0</v>
      </c>
      <c r="C923" s="4" t="n">
        <v>2</v>
      </c>
      <c r="D923" s="4"/>
      <c r="E923" s="4"/>
      <c r="F923" s="4"/>
      <c r="G923" s="4"/>
      <c r="H923" s="14" t="b">
        <f aca="false">FALSE()</f>
        <v>0</v>
      </c>
      <c r="I923" s="14" t="b">
        <f aca="false">FALSE()</f>
        <v>0</v>
      </c>
      <c r="J923" s="4"/>
      <c r="K923" s="4" t="s">
        <v>3739</v>
      </c>
      <c r="L923" s="4" t="s">
        <v>3740</v>
      </c>
      <c r="M923" s="4" t="s">
        <v>3741</v>
      </c>
      <c r="N923" s="6" t="n">
        <v>74628</v>
      </c>
      <c r="O923" s="6" t="n">
        <v>69840</v>
      </c>
      <c r="P923" s="4" t="s">
        <v>46</v>
      </c>
      <c r="Q923" s="6" t="n">
        <v>160000</v>
      </c>
      <c r="R923" s="15" t="n">
        <v>35390</v>
      </c>
      <c r="S923" s="6" t="n">
        <v>160000</v>
      </c>
      <c r="T923" s="15" t="n">
        <v>35759</v>
      </c>
      <c r="U923" s="6" t="n">
        <v>50000</v>
      </c>
      <c r="V923" s="15" t="n">
        <v>38336</v>
      </c>
      <c r="W923" s="4" t="s">
        <v>58</v>
      </c>
      <c r="X923" s="4" t="s">
        <v>47</v>
      </c>
      <c r="Y923" s="4" t="s">
        <v>3742</v>
      </c>
      <c r="Z923" s="4" t="s">
        <v>2108</v>
      </c>
      <c r="AA923" s="6" t="n">
        <v>0</v>
      </c>
      <c r="AB923" s="6" t="n">
        <v>8360.16</v>
      </c>
      <c r="AC923" s="6" t="n">
        <v>4378.18</v>
      </c>
      <c r="AD923" s="14" t="b">
        <f aca="false">TRUE()</f>
        <v>1</v>
      </c>
    </row>
    <row r="924" customFormat="false" ht="15" hidden="false" customHeight="false" outlineLevel="0" collapsed="false">
      <c r="A924" s="14" t="b">
        <f aca="false">TRUE()</f>
        <v>1</v>
      </c>
      <c r="B924" s="14" t="b">
        <f aca="false">FALSE()</f>
        <v>0</v>
      </c>
      <c r="C924" s="4" t="n">
        <v>2</v>
      </c>
      <c r="D924" s="4"/>
      <c r="E924" s="4"/>
      <c r="F924" s="4"/>
      <c r="G924" s="4"/>
      <c r="H924" s="14" t="b">
        <f aca="false">FALSE()</f>
        <v>0</v>
      </c>
      <c r="I924" s="14" t="b">
        <f aca="false">FALSE()</f>
        <v>0</v>
      </c>
      <c r="J924" s="4"/>
      <c r="K924" s="4" t="s">
        <v>3743</v>
      </c>
      <c r="L924" s="4" t="s">
        <v>3744</v>
      </c>
      <c r="M924" s="4" t="s">
        <v>3745</v>
      </c>
      <c r="N924" s="6" t="n">
        <v>70136</v>
      </c>
      <c r="O924" s="6" t="n">
        <v>149169</v>
      </c>
      <c r="P924" s="4" t="s">
        <v>46</v>
      </c>
      <c r="Q924" s="6" t="n">
        <v>695000</v>
      </c>
      <c r="R924" s="15" t="n">
        <v>44764</v>
      </c>
      <c r="S924" s="6" t="n">
        <v>550000</v>
      </c>
      <c r="T924" s="15" t="n">
        <v>44764</v>
      </c>
      <c r="U924" s="6"/>
      <c r="V924" s="15"/>
      <c r="W924" s="4" t="s">
        <v>47</v>
      </c>
      <c r="X924" s="4" t="s">
        <v>47</v>
      </c>
      <c r="Y924" s="4" t="s">
        <v>3746</v>
      </c>
      <c r="Z924" s="4" t="s">
        <v>2108</v>
      </c>
      <c r="AA924" s="6" t="n">
        <v>0</v>
      </c>
      <c r="AB924" s="6" t="n">
        <v>12944.78</v>
      </c>
      <c r="AC924" s="6" t="n">
        <v>6773.65</v>
      </c>
      <c r="AD924" s="14" t="b">
        <f aca="false">TRUE()</f>
        <v>1</v>
      </c>
    </row>
    <row r="925" customFormat="false" ht="15" hidden="false" customHeight="false" outlineLevel="0" collapsed="false">
      <c r="A925" s="14" t="b">
        <f aca="false">TRUE()</f>
        <v>1</v>
      </c>
      <c r="B925" s="14" t="b">
        <f aca="false">FALSE()</f>
        <v>0</v>
      </c>
      <c r="C925" s="4" t="n">
        <v>3</v>
      </c>
      <c r="D925" s="4"/>
      <c r="E925" s="4"/>
      <c r="F925" s="4"/>
      <c r="G925" s="4"/>
      <c r="H925" s="14" t="b">
        <f aca="false">FALSE()</f>
        <v>0</v>
      </c>
      <c r="I925" s="14" t="b">
        <f aca="false">FALSE()</f>
        <v>0</v>
      </c>
      <c r="J925" s="4"/>
      <c r="K925" s="4" t="s">
        <v>3747</v>
      </c>
      <c r="L925" s="4" t="s">
        <v>3748</v>
      </c>
      <c r="M925" s="4" t="s">
        <v>3749</v>
      </c>
      <c r="N925" s="6" t="n">
        <v>70136</v>
      </c>
      <c r="O925" s="6" t="n">
        <v>158603</v>
      </c>
      <c r="P925" s="4" t="s">
        <v>46</v>
      </c>
      <c r="Q925" s="6" t="n">
        <v>430000</v>
      </c>
      <c r="R925" s="15" t="n">
        <v>37469</v>
      </c>
      <c r="S925" s="6"/>
      <c r="T925" s="15"/>
      <c r="U925" s="6"/>
      <c r="V925" s="15"/>
      <c r="W925" s="4" t="s">
        <v>47</v>
      </c>
      <c r="X925" s="4" t="s">
        <v>47</v>
      </c>
      <c r="Y925" s="4" t="s">
        <v>3750</v>
      </c>
      <c r="Z925" s="4" t="s">
        <v>2108</v>
      </c>
      <c r="AA925" s="6" t="n">
        <v>0</v>
      </c>
      <c r="AB925" s="6" t="n">
        <v>13522.72</v>
      </c>
      <c r="AC925" s="6" t="n">
        <v>14445.5</v>
      </c>
      <c r="AD925" s="14" t="b">
        <f aca="false">FALSE()</f>
        <v>0</v>
      </c>
    </row>
    <row r="926" customFormat="false" ht="15" hidden="false" customHeight="false" outlineLevel="0" collapsed="false">
      <c r="A926" s="14" t="b">
        <f aca="false">TRUE()</f>
        <v>1</v>
      </c>
      <c r="B926" s="14" t="b">
        <f aca="false">FALSE()</f>
        <v>0</v>
      </c>
      <c r="C926" s="4" t="n">
        <v>3</v>
      </c>
      <c r="D926" s="4"/>
      <c r="E926" s="4"/>
      <c r="F926" s="4"/>
      <c r="G926" s="4"/>
      <c r="H926" s="14" t="b">
        <f aca="false">FALSE()</f>
        <v>0</v>
      </c>
      <c r="I926" s="14" t="b">
        <f aca="false">FALSE()</f>
        <v>0</v>
      </c>
      <c r="J926" s="4"/>
      <c r="K926" s="4" t="s">
        <v>3751</v>
      </c>
      <c r="L926" s="4" t="s">
        <v>3752</v>
      </c>
      <c r="M926" s="4" t="s">
        <v>3753</v>
      </c>
      <c r="N926" s="6" t="n">
        <v>82386</v>
      </c>
      <c r="O926" s="6" t="n">
        <v>186817</v>
      </c>
      <c r="P926" s="4" t="s">
        <v>46</v>
      </c>
      <c r="Q926" s="6"/>
      <c r="R926" s="15"/>
      <c r="S926" s="6"/>
      <c r="T926" s="15"/>
      <c r="U926" s="6"/>
      <c r="V926" s="15"/>
      <c r="W926" s="4" t="s">
        <v>47</v>
      </c>
      <c r="X926" s="4" t="s">
        <v>47</v>
      </c>
      <c r="Y926" s="4" t="s">
        <v>3754</v>
      </c>
      <c r="Z926" s="4" t="s">
        <v>2108</v>
      </c>
      <c r="AA926" s="6" t="n">
        <v>0</v>
      </c>
      <c r="AB926" s="6" t="n">
        <v>15511.48</v>
      </c>
      <c r="AC926" s="6" t="n">
        <v>16568.51</v>
      </c>
      <c r="AD926" s="14" t="b">
        <f aca="false">FALSE()</f>
        <v>0</v>
      </c>
    </row>
    <row r="927" customFormat="false" ht="15" hidden="false" customHeight="false" outlineLevel="0" collapsed="false">
      <c r="A927" s="14" t="b">
        <f aca="false">TRUE()</f>
        <v>1</v>
      </c>
      <c r="B927" s="14" t="b">
        <f aca="false">FALSE()</f>
        <v>0</v>
      </c>
      <c r="C927" s="4" t="n">
        <v>3</v>
      </c>
      <c r="D927" s="4"/>
      <c r="E927" s="4"/>
      <c r="F927" s="4"/>
      <c r="G927" s="4"/>
      <c r="H927" s="14" t="b">
        <f aca="false">FALSE()</f>
        <v>0</v>
      </c>
      <c r="I927" s="14" t="b">
        <f aca="false">FALSE()</f>
        <v>0</v>
      </c>
      <c r="J927" s="4"/>
      <c r="K927" s="4" t="s">
        <v>3755</v>
      </c>
      <c r="L927" s="4" t="s">
        <v>3756</v>
      </c>
      <c r="M927" s="4" t="s">
        <v>3757</v>
      </c>
      <c r="N927" s="6" t="n">
        <v>82386</v>
      </c>
      <c r="O927" s="6" t="n">
        <v>134486</v>
      </c>
      <c r="P927" s="4" t="s">
        <v>46</v>
      </c>
      <c r="Q927" s="6" t="n">
        <v>1500</v>
      </c>
      <c r="R927" s="15" t="n">
        <v>42962</v>
      </c>
      <c r="S927" s="6" t="n">
        <v>375000</v>
      </c>
      <c r="T927" s="15" t="n">
        <v>42962</v>
      </c>
      <c r="U927" s="6" t="n">
        <v>100000</v>
      </c>
      <c r="V927" s="15" t="n">
        <v>45251</v>
      </c>
      <c r="W927" s="4" t="s">
        <v>47</v>
      </c>
      <c r="X927" s="4" t="s">
        <v>47</v>
      </c>
      <c r="Y927" s="4" t="s">
        <v>3758</v>
      </c>
      <c r="Z927" s="4" t="s">
        <v>2108</v>
      </c>
      <c r="AA927" s="6" t="n">
        <v>0</v>
      </c>
      <c r="AB927" s="6" t="n">
        <v>12795.7</v>
      </c>
      <c r="AC927" s="6" t="n">
        <v>13669.41</v>
      </c>
      <c r="AD927" s="14" t="b">
        <f aca="false">FALSE()</f>
        <v>0</v>
      </c>
    </row>
    <row r="928" customFormat="false" ht="15" hidden="false" customHeight="false" outlineLevel="0" collapsed="false">
      <c r="A928" s="14" t="b">
        <f aca="false">TRUE()</f>
        <v>1</v>
      </c>
      <c r="B928" s="14" t="b">
        <f aca="false">FALSE()</f>
        <v>0</v>
      </c>
      <c r="C928" s="4" t="n">
        <v>2</v>
      </c>
      <c r="D928" s="4"/>
      <c r="E928" s="4"/>
      <c r="F928" s="4"/>
      <c r="G928" s="4"/>
      <c r="H928" s="14" t="b">
        <f aca="false">FALSE()</f>
        <v>0</v>
      </c>
      <c r="I928" s="14" t="b">
        <f aca="false">FALSE()</f>
        <v>0</v>
      </c>
      <c r="J928" s="4"/>
      <c r="K928" s="4" t="s">
        <v>3759</v>
      </c>
      <c r="L928" s="4" t="s">
        <v>3760</v>
      </c>
      <c r="M928" s="4" t="s">
        <v>3761</v>
      </c>
      <c r="N928" s="6" t="n">
        <v>78584</v>
      </c>
      <c r="O928" s="6" t="n">
        <v>139483</v>
      </c>
      <c r="P928" s="4" t="s">
        <v>46</v>
      </c>
      <c r="Q928" s="6" t="n">
        <v>296000</v>
      </c>
      <c r="R928" s="15" t="n">
        <v>35509</v>
      </c>
      <c r="S928" s="6" t="n">
        <v>363650</v>
      </c>
      <c r="T928" s="15" t="n">
        <v>41373</v>
      </c>
      <c r="U928" s="6" t="n">
        <v>236000</v>
      </c>
      <c r="V928" s="15" t="n">
        <v>37736</v>
      </c>
      <c r="W928" s="4" t="s">
        <v>47</v>
      </c>
      <c r="X928" s="4" t="s">
        <v>47</v>
      </c>
      <c r="Y928" s="4" t="s">
        <v>3762</v>
      </c>
      <c r="Z928" s="4" t="s">
        <v>2108</v>
      </c>
      <c r="AA928" s="6" t="n">
        <v>0</v>
      </c>
      <c r="AB928" s="6" t="n">
        <v>12868.92</v>
      </c>
      <c r="AC928" s="6" t="n">
        <v>6734.01</v>
      </c>
      <c r="AD928" s="14" t="b">
        <f aca="false">TRUE()</f>
        <v>1</v>
      </c>
    </row>
    <row r="929" customFormat="false" ht="15" hidden="false" customHeight="false" outlineLevel="0" collapsed="false">
      <c r="A929" s="14" t="b">
        <f aca="false">TRUE()</f>
        <v>1</v>
      </c>
      <c r="B929" s="14" t="b">
        <f aca="false">FALSE()</f>
        <v>0</v>
      </c>
      <c r="C929" s="4" t="n">
        <v>2</v>
      </c>
      <c r="D929" s="4"/>
      <c r="E929" s="4"/>
      <c r="F929" s="4"/>
      <c r="G929" s="4"/>
      <c r="H929" s="14" t="b">
        <f aca="false">TRUE()</f>
        <v>1</v>
      </c>
      <c r="I929" s="14" t="b">
        <f aca="false">FALSE()</f>
        <v>0</v>
      </c>
      <c r="J929" s="4"/>
      <c r="K929" s="4" t="s">
        <v>3763</v>
      </c>
      <c r="L929" s="4" t="s">
        <v>3764</v>
      </c>
      <c r="M929" s="4" t="s">
        <v>3765</v>
      </c>
      <c r="N929" s="6" t="n">
        <v>65852</v>
      </c>
      <c r="O929" s="6" t="n">
        <v>68120</v>
      </c>
      <c r="P929" s="4" t="s">
        <v>46</v>
      </c>
      <c r="Q929" s="6"/>
      <c r="R929" s="15"/>
      <c r="S929" s="6"/>
      <c r="T929" s="15"/>
      <c r="U929" s="6"/>
      <c r="V929" s="15"/>
      <c r="W929" s="4" t="s">
        <v>47</v>
      </c>
      <c r="X929" s="4" t="s">
        <v>47</v>
      </c>
      <c r="Y929" s="4" t="s">
        <v>3766</v>
      </c>
      <c r="Z929" s="4" t="s">
        <v>2108</v>
      </c>
      <c r="AA929" s="6" t="n">
        <v>0</v>
      </c>
      <c r="AB929" s="6" t="n">
        <v>7227.08</v>
      </c>
      <c r="AC929" s="6" t="n">
        <v>7724.91</v>
      </c>
      <c r="AD929" s="14" t="b">
        <f aca="false">FALSE()</f>
        <v>0</v>
      </c>
    </row>
    <row r="930" customFormat="false" ht="15" hidden="false" customHeight="false" outlineLevel="0" collapsed="false">
      <c r="A930" s="14" t="b">
        <f aca="false">TRUE()</f>
        <v>1</v>
      </c>
      <c r="B930" s="14" t="b">
        <f aca="false">FALSE()</f>
        <v>0</v>
      </c>
      <c r="C930" s="4" t="n">
        <v>2</v>
      </c>
      <c r="D930" s="4"/>
      <c r="E930" s="4"/>
      <c r="F930" s="4"/>
      <c r="G930" s="4"/>
      <c r="H930" s="14" t="b">
        <f aca="false">FALSE()</f>
        <v>0</v>
      </c>
      <c r="I930" s="14" t="b">
        <f aca="false">FALSE()</f>
        <v>0</v>
      </c>
      <c r="J930" s="4"/>
      <c r="K930" s="4" t="s">
        <v>3767</v>
      </c>
      <c r="L930" s="4" t="s">
        <v>3768</v>
      </c>
      <c r="M930" s="4" t="s">
        <v>3769</v>
      </c>
      <c r="N930" s="6" t="n">
        <v>6892</v>
      </c>
      <c r="O930" s="6" t="n">
        <v>61896</v>
      </c>
      <c r="P930" s="4" t="s">
        <v>46</v>
      </c>
      <c r="Q930" s="6" t="n">
        <v>104833.33</v>
      </c>
      <c r="R930" s="15" t="n">
        <v>36145</v>
      </c>
      <c r="S930" s="6"/>
      <c r="T930" s="15"/>
      <c r="U930" s="6"/>
      <c r="V930" s="15"/>
      <c r="W930" s="4" t="s">
        <v>58</v>
      </c>
      <c r="X930" s="4" t="s">
        <v>58</v>
      </c>
      <c r="Y930" s="4" t="s">
        <v>3770</v>
      </c>
      <c r="Z930" s="4" t="s">
        <v>2108</v>
      </c>
      <c r="AA930" s="6" t="n">
        <v>0</v>
      </c>
      <c r="AB930" s="6" t="n">
        <v>3723.94</v>
      </c>
      <c r="AC930" s="6" t="n">
        <v>3985.31</v>
      </c>
      <c r="AD930" s="14" t="b">
        <f aca="false">FALSE()</f>
        <v>0</v>
      </c>
    </row>
    <row r="931" customFormat="false" ht="15" hidden="false" customHeight="false" outlineLevel="0" collapsed="false">
      <c r="A931" s="14" t="b">
        <f aca="false">TRUE()</f>
        <v>1</v>
      </c>
      <c r="B931" s="14" t="b">
        <f aca="false">FALSE()</f>
        <v>0</v>
      </c>
      <c r="C931" s="4" t="n">
        <v>2</v>
      </c>
      <c r="D931" s="4"/>
      <c r="E931" s="4"/>
      <c r="F931" s="4"/>
      <c r="G931" s="4"/>
      <c r="H931" s="14" t="b">
        <f aca="false">FALSE()</f>
        <v>0</v>
      </c>
      <c r="I931" s="14" t="b">
        <f aca="false">FALSE()</f>
        <v>0</v>
      </c>
      <c r="J931" s="4"/>
      <c r="K931" s="4" t="s">
        <v>3771</v>
      </c>
      <c r="L931" s="4" t="s">
        <v>3772</v>
      </c>
      <c r="M931" s="4" t="s">
        <v>3773</v>
      </c>
      <c r="N931" s="6" t="n">
        <v>4777</v>
      </c>
      <c r="O931" s="6" t="n">
        <v>42678</v>
      </c>
      <c r="P931" s="4" t="s">
        <v>46</v>
      </c>
      <c r="Q931" s="6"/>
      <c r="R931" s="15"/>
      <c r="S931" s="6"/>
      <c r="T931" s="15"/>
      <c r="U931" s="6"/>
      <c r="V931" s="15"/>
      <c r="W931" s="4" t="s">
        <v>47</v>
      </c>
      <c r="X931" s="4" t="s">
        <v>58</v>
      </c>
      <c r="Y931" s="4" t="s">
        <v>3774</v>
      </c>
      <c r="Z931" s="4" t="s">
        <v>2108</v>
      </c>
      <c r="AA931" s="6" t="n">
        <v>0</v>
      </c>
      <c r="AB931" s="6" t="n">
        <v>1926.98</v>
      </c>
      <c r="AC931" s="6" t="n">
        <v>1016.85</v>
      </c>
      <c r="AD931" s="14" t="b">
        <f aca="false">TRUE()</f>
        <v>1</v>
      </c>
    </row>
    <row r="932" customFormat="false" ht="15" hidden="false" customHeight="false" outlineLevel="0" collapsed="false">
      <c r="A932" s="14" t="b">
        <f aca="false">TRUE()</f>
        <v>1</v>
      </c>
      <c r="B932" s="14" t="b">
        <f aca="false">FALSE()</f>
        <v>0</v>
      </c>
      <c r="C932" s="4" t="n">
        <v>2</v>
      </c>
      <c r="D932" s="4"/>
      <c r="E932" s="4"/>
      <c r="F932" s="4"/>
      <c r="G932" s="4"/>
      <c r="H932" s="14" t="b">
        <f aca="false">FALSE()</f>
        <v>0</v>
      </c>
      <c r="I932" s="14" t="b">
        <f aca="false">FALSE()</f>
        <v>0</v>
      </c>
      <c r="J932" s="4"/>
      <c r="K932" s="4" t="s">
        <v>3775</v>
      </c>
      <c r="L932" s="4" t="s">
        <v>3776</v>
      </c>
      <c r="M932" s="4" t="s">
        <v>3777</v>
      </c>
      <c r="N932" s="6" t="n">
        <v>5248</v>
      </c>
      <c r="O932" s="6" t="n">
        <v>47312</v>
      </c>
      <c r="P932" s="4" t="s">
        <v>46</v>
      </c>
      <c r="Q932" s="6"/>
      <c r="R932" s="15"/>
      <c r="S932" s="6"/>
      <c r="T932" s="15"/>
      <c r="U932" s="6"/>
      <c r="V932" s="15"/>
      <c r="W932" s="4" t="s">
        <v>47</v>
      </c>
      <c r="X932" s="4" t="s">
        <v>58</v>
      </c>
      <c r="Y932" s="4" t="s">
        <v>3778</v>
      </c>
      <c r="Z932" s="4" t="s">
        <v>2108</v>
      </c>
      <c r="AA932" s="6" t="n">
        <v>0</v>
      </c>
      <c r="AB932" s="6" t="n">
        <v>2729.8</v>
      </c>
      <c r="AC932" s="6" t="n">
        <v>1436.32</v>
      </c>
      <c r="AD932" s="14" t="b">
        <f aca="false">TRUE()</f>
        <v>1</v>
      </c>
    </row>
    <row r="933" customFormat="false" ht="15" hidden="false" customHeight="false" outlineLevel="0" collapsed="false">
      <c r="A933" s="14" t="b">
        <f aca="false">TRUE()</f>
        <v>1</v>
      </c>
      <c r="B933" s="14" t="b">
        <f aca="false">FALSE()</f>
        <v>0</v>
      </c>
      <c r="C933" s="4" t="n">
        <v>3</v>
      </c>
      <c r="D933" s="4"/>
      <c r="E933" s="4"/>
      <c r="F933" s="4"/>
      <c r="G933" s="4" t="n">
        <v>3</v>
      </c>
      <c r="H933" s="14" t="b">
        <f aca="false">FALSE()</f>
        <v>0</v>
      </c>
      <c r="I933" s="14" t="b">
        <f aca="false">FALSE()</f>
        <v>0</v>
      </c>
      <c r="J933" s="4"/>
      <c r="K933" s="4" t="s">
        <v>3779</v>
      </c>
      <c r="L933" s="4" t="s">
        <v>3780</v>
      </c>
      <c r="M933" s="4" t="s">
        <v>3781</v>
      </c>
      <c r="N933" s="6" t="n">
        <v>70695</v>
      </c>
      <c r="O933" s="6" t="n">
        <v>100815</v>
      </c>
      <c r="P933" s="4" t="s">
        <v>46</v>
      </c>
      <c r="Q933" s="6"/>
      <c r="R933" s="15"/>
      <c r="S933" s="6" t="n">
        <v>214193</v>
      </c>
      <c r="T933" s="15" t="n">
        <v>39728</v>
      </c>
      <c r="U933" s="6"/>
      <c r="V933" s="15"/>
      <c r="W933" s="4" t="s">
        <v>47</v>
      </c>
      <c r="X933" s="4" t="s">
        <v>47</v>
      </c>
      <c r="Y933" s="4" t="s">
        <v>3782</v>
      </c>
      <c r="Z933" s="4" t="s">
        <v>2108</v>
      </c>
      <c r="AA933" s="6" t="n">
        <v>0</v>
      </c>
      <c r="AB933" s="6" t="n">
        <v>9526.7</v>
      </c>
      <c r="AC933" s="6" t="n">
        <v>10179.75</v>
      </c>
      <c r="AD933" s="14" t="b">
        <f aca="false">FALSE()</f>
        <v>0</v>
      </c>
    </row>
    <row r="934" customFormat="false" ht="15" hidden="false" customHeight="false" outlineLevel="0" collapsed="false">
      <c r="A934" s="14" t="b">
        <f aca="false">TRUE()</f>
        <v>1</v>
      </c>
      <c r="B934" s="14" t="b">
        <f aca="false">FALSE()</f>
        <v>0</v>
      </c>
      <c r="C934" s="4" t="n">
        <v>3</v>
      </c>
      <c r="D934" s="4"/>
      <c r="E934" s="4"/>
      <c r="F934" s="4"/>
      <c r="G934" s="4" t="n">
        <v>2</v>
      </c>
      <c r="H934" s="14" t="b">
        <f aca="false">FALSE()</f>
        <v>0</v>
      </c>
      <c r="I934" s="14" t="b">
        <f aca="false">FALSE()</f>
        <v>0</v>
      </c>
      <c r="J934" s="4"/>
      <c r="K934" s="4" t="s">
        <v>3783</v>
      </c>
      <c r="L934" s="4" t="s">
        <v>3784</v>
      </c>
      <c r="M934" s="4" t="s">
        <v>3785</v>
      </c>
      <c r="N934" s="6" t="n">
        <v>57020</v>
      </c>
      <c r="O934" s="6" t="n">
        <v>68952</v>
      </c>
      <c r="P934" s="4" t="s">
        <v>46</v>
      </c>
      <c r="Q934" s="6"/>
      <c r="R934" s="15"/>
      <c r="S934" s="6" t="n">
        <v>420000</v>
      </c>
      <c r="T934" s="15" t="n">
        <v>44069</v>
      </c>
      <c r="U934" s="6"/>
      <c r="V934" s="15"/>
      <c r="W934" s="4" t="s">
        <v>47</v>
      </c>
      <c r="X934" s="4" t="s">
        <v>58</v>
      </c>
      <c r="Y934" s="4" t="s">
        <v>3786</v>
      </c>
      <c r="Z934" s="4" t="s">
        <v>2108</v>
      </c>
      <c r="AA934" s="6" t="n">
        <v>0</v>
      </c>
      <c r="AB934" s="6" t="n">
        <v>6614.48</v>
      </c>
      <c r="AC934" s="6" t="n">
        <v>7070.96</v>
      </c>
      <c r="AD934" s="14" t="b">
        <f aca="false">FALSE()</f>
        <v>0</v>
      </c>
    </row>
    <row r="935" customFormat="false" ht="15" hidden="false" customHeight="false" outlineLevel="0" collapsed="false">
      <c r="A935" s="14" t="b">
        <f aca="false">TRUE()</f>
        <v>1</v>
      </c>
      <c r="B935" s="14" t="b">
        <f aca="false">FALSE()</f>
        <v>0</v>
      </c>
      <c r="C935" s="4" t="n">
        <v>3</v>
      </c>
      <c r="D935" s="4"/>
      <c r="E935" s="4"/>
      <c r="F935" s="4"/>
      <c r="G935" s="4"/>
      <c r="H935" s="14" t="b">
        <f aca="false">FALSE()</f>
        <v>0</v>
      </c>
      <c r="I935" s="14" t="b">
        <f aca="false">FALSE()</f>
        <v>0</v>
      </c>
      <c r="J935" s="4"/>
      <c r="K935" s="4" t="s">
        <v>3787</v>
      </c>
      <c r="L935" s="4" t="s">
        <v>3788</v>
      </c>
      <c r="M935" s="4" t="s">
        <v>3789</v>
      </c>
      <c r="N935" s="6" t="n">
        <v>64153</v>
      </c>
      <c r="O935" s="6" t="n">
        <v>114424</v>
      </c>
      <c r="P935" s="4" t="s">
        <v>46</v>
      </c>
      <c r="Q935" s="6"/>
      <c r="R935" s="15" t="n">
        <v>44029</v>
      </c>
      <c r="S935" s="6"/>
      <c r="T935" s="15"/>
      <c r="U935" s="6"/>
      <c r="V935" s="15"/>
      <c r="W935" s="4" t="s">
        <v>47</v>
      </c>
      <c r="X935" s="4" t="s">
        <v>47</v>
      </c>
      <c r="Y935" s="4" t="s">
        <v>3790</v>
      </c>
      <c r="Z935" s="4" t="s">
        <v>2108</v>
      </c>
      <c r="AA935" s="6" t="n">
        <v>0</v>
      </c>
      <c r="AB935" s="6" t="n">
        <v>9959.64</v>
      </c>
      <c r="AC935" s="6" t="n">
        <v>10641.91</v>
      </c>
      <c r="AD935" s="14" t="b">
        <f aca="false">FALSE()</f>
        <v>0</v>
      </c>
    </row>
    <row r="936" customFormat="false" ht="15" hidden="false" customHeight="false" outlineLevel="0" collapsed="false">
      <c r="A936" s="14" t="b">
        <f aca="false">TRUE()</f>
        <v>1</v>
      </c>
      <c r="B936" s="14" t="b">
        <f aca="false">FALSE()</f>
        <v>0</v>
      </c>
      <c r="C936" s="4" t="n">
        <v>2</v>
      </c>
      <c r="D936" s="4"/>
      <c r="E936" s="4"/>
      <c r="F936" s="4"/>
      <c r="G936" s="4"/>
      <c r="H936" s="14" t="b">
        <f aca="false">FALSE()</f>
        <v>0</v>
      </c>
      <c r="I936" s="14" t="b">
        <f aca="false">FALSE()</f>
        <v>0</v>
      </c>
      <c r="J936" s="4"/>
      <c r="K936" s="4" t="s">
        <v>3791</v>
      </c>
      <c r="L936" s="4" t="s">
        <v>3792</v>
      </c>
      <c r="M936" s="4" t="s">
        <v>3793</v>
      </c>
      <c r="N936" s="6" t="n">
        <v>61074</v>
      </c>
      <c r="O936" s="6" t="n">
        <v>42274</v>
      </c>
      <c r="P936" s="4" t="s">
        <v>46</v>
      </c>
      <c r="Q936" s="6"/>
      <c r="R936" s="15" t="n">
        <v>43833</v>
      </c>
      <c r="S936" s="6"/>
      <c r="T936" s="15"/>
      <c r="U936" s="6"/>
      <c r="V936" s="15"/>
      <c r="W936" s="4" t="s">
        <v>58</v>
      </c>
      <c r="X936" s="4" t="s">
        <v>58</v>
      </c>
      <c r="Y936" s="4" t="s">
        <v>3794</v>
      </c>
      <c r="Z936" s="4" t="s">
        <v>3588</v>
      </c>
      <c r="AA936" s="6" t="n">
        <v>0</v>
      </c>
      <c r="AB936" s="6" t="n">
        <v>7766.76</v>
      </c>
      <c r="AC936" s="6" t="n">
        <v>8301.01</v>
      </c>
      <c r="AD936" s="14" t="b">
        <f aca="false">FALSE()</f>
        <v>0</v>
      </c>
    </row>
    <row r="937" customFormat="false" ht="15" hidden="false" customHeight="false" outlineLevel="0" collapsed="false">
      <c r="A937" s="14" t="b">
        <f aca="false">TRUE()</f>
        <v>1</v>
      </c>
      <c r="B937" s="14" t="b">
        <f aca="false">FALSE()</f>
        <v>0</v>
      </c>
      <c r="C937" s="4" t="n">
        <v>2</v>
      </c>
      <c r="D937" s="4"/>
      <c r="E937" s="4"/>
      <c r="F937" s="4"/>
      <c r="G937" s="4"/>
      <c r="H937" s="14" t="b">
        <f aca="false">FALSE()</f>
        <v>0</v>
      </c>
      <c r="I937" s="14" t="b">
        <f aca="false">FALSE()</f>
        <v>0</v>
      </c>
      <c r="J937" s="4"/>
      <c r="K937" s="4" t="s">
        <v>3795</v>
      </c>
      <c r="L937" s="4" t="s">
        <v>3796</v>
      </c>
      <c r="M937" s="4" t="s">
        <v>3797</v>
      </c>
      <c r="N937" s="6" t="n">
        <v>61085</v>
      </c>
      <c r="O937" s="6" t="n">
        <v>63507</v>
      </c>
      <c r="P937" s="4" t="s">
        <v>46</v>
      </c>
      <c r="Q937" s="6"/>
      <c r="R937" s="15"/>
      <c r="S937" s="6"/>
      <c r="T937" s="15"/>
      <c r="U937" s="6"/>
      <c r="V937" s="15"/>
      <c r="W937" s="4" t="s">
        <v>47</v>
      </c>
      <c r="X937" s="4" t="s">
        <v>47</v>
      </c>
      <c r="Y937" s="4" t="s">
        <v>3798</v>
      </c>
      <c r="Z937" s="4" t="s">
        <v>3588</v>
      </c>
      <c r="AA937" s="6" t="n">
        <v>0</v>
      </c>
      <c r="AB937" s="6" t="n">
        <v>7959.18</v>
      </c>
      <c r="AC937" s="6" t="n">
        <v>4168.67</v>
      </c>
      <c r="AD937" s="14" t="b">
        <f aca="false">TRUE()</f>
        <v>1</v>
      </c>
    </row>
    <row r="938" customFormat="false" ht="15" hidden="false" customHeight="false" outlineLevel="0" collapsed="false">
      <c r="A938" s="14" t="b">
        <f aca="false">TRUE()</f>
        <v>1</v>
      </c>
      <c r="B938" s="14" t="b">
        <f aca="false">FALSE()</f>
        <v>0</v>
      </c>
      <c r="C938" s="4" t="n">
        <v>2</v>
      </c>
      <c r="D938" s="4"/>
      <c r="E938" s="4"/>
      <c r="F938" s="4"/>
      <c r="G938" s="4"/>
      <c r="H938" s="14" t="b">
        <f aca="false">FALSE()</f>
        <v>0</v>
      </c>
      <c r="I938" s="14" t="b">
        <f aca="false">FALSE()</f>
        <v>0</v>
      </c>
      <c r="J938" s="4"/>
      <c r="K938" s="4" t="s">
        <v>3799</v>
      </c>
      <c r="L938" s="4" t="s">
        <v>3800</v>
      </c>
      <c r="M938" s="4" t="s">
        <v>3801</v>
      </c>
      <c r="N938" s="6" t="n">
        <v>49756</v>
      </c>
      <c r="O938" s="6" t="n">
        <v>85004</v>
      </c>
      <c r="P938" s="4" t="s">
        <v>46</v>
      </c>
      <c r="Q938" s="6" t="n">
        <v>377000</v>
      </c>
      <c r="R938" s="15" t="n">
        <v>44530</v>
      </c>
      <c r="S938" s="6" t="n">
        <v>339300</v>
      </c>
      <c r="T938" s="15" t="n">
        <v>44530</v>
      </c>
      <c r="U938" s="6"/>
      <c r="V938" s="15"/>
      <c r="W938" s="4" t="s">
        <v>47</v>
      </c>
      <c r="X938" s="4" t="s">
        <v>47</v>
      </c>
      <c r="Y938" s="4" t="s">
        <v>3802</v>
      </c>
      <c r="Z938" s="4" t="s">
        <v>3803</v>
      </c>
      <c r="AA938" s="6" t="n">
        <v>0</v>
      </c>
      <c r="AB938" s="6" t="n">
        <v>10382.8</v>
      </c>
      <c r="AC938" s="6" t="n">
        <v>5435.01</v>
      </c>
      <c r="AD938" s="14" t="b">
        <f aca="false">TRUE()</f>
        <v>1</v>
      </c>
    </row>
    <row r="939" customFormat="false" ht="15" hidden="false" customHeight="false" outlineLevel="0" collapsed="false">
      <c r="A939" s="14" t="b">
        <f aca="false">TRUE()</f>
        <v>1</v>
      </c>
      <c r="B939" s="14" t="b">
        <f aca="false">FALSE()</f>
        <v>0</v>
      </c>
      <c r="C939" s="4" t="n">
        <v>2</v>
      </c>
      <c r="D939" s="4"/>
      <c r="E939" s="4"/>
      <c r="F939" s="4"/>
      <c r="G939" s="4"/>
      <c r="H939" s="14" t="b">
        <f aca="false">FALSE()</f>
        <v>0</v>
      </c>
      <c r="I939" s="14" t="b">
        <f aca="false">FALSE()</f>
        <v>0</v>
      </c>
      <c r="J939" s="4"/>
      <c r="K939" s="4" t="s">
        <v>3804</v>
      </c>
      <c r="L939" s="4" t="s">
        <v>3805</v>
      </c>
      <c r="M939" s="4" t="s">
        <v>3806</v>
      </c>
      <c r="N939" s="6" t="n">
        <v>26012</v>
      </c>
      <c r="O939" s="6" t="n">
        <v>195703</v>
      </c>
      <c r="P939" s="4" t="s">
        <v>46</v>
      </c>
      <c r="Q939" s="6" t="n">
        <v>1440000</v>
      </c>
      <c r="R939" s="15" t="n">
        <v>45064</v>
      </c>
      <c r="S939" s="6" t="n">
        <v>2304000</v>
      </c>
      <c r="T939" s="15" t="n">
        <v>45064</v>
      </c>
      <c r="U939" s="6"/>
      <c r="V939" s="15"/>
      <c r="W939" s="4" t="s">
        <v>58</v>
      </c>
      <c r="X939" s="4" t="s">
        <v>47</v>
      </c>
      <c r="Y939" s="4" t="s">
        <v>3807</v>
      </c>
      <c r="Z939" s="4" t="s">
        <v>3588</v>
      </c>
      <c r="AA939" s="6" t="n">
        <v>0</v>
      </c>
      <c r="AB939" s="6" t="n">
        <v>18060.26</v>
      </c>
      <c r="AC939" s="6" t="n">
        <v>9446.49</v>
      </c>
      <c r="AD939" s="14" t="b">
        <f aca="false">TRUE()</f>
        <v>1</v>
      </c>
    </row>
    <row r="940" customFormat="false" ht="15" hidden="false" customHeight="false" outlineLevel="0" collapsed="false">
      <c r="A940" s="14" t="b">
        <f aca="false">TRUE()</f>
        <v>1</v>
      </c>
      <c r="B940" s="14" t="b">
        <f aca="false">FALSE()</f>
        <v>0</v>
      </c>
      <c r="C940" s="4" t="n">
        <v>2</v>
      </c>
      <c r="D940" s="4"/>
      <c r="E940" s="4"/>
      <c r="F940" s="4"/>
      <c r="G940" s="4"/>
      <c r="H940" s="14" t="b">
        <f aca="false">FALSE()</f>
        <v>0</v>
      </c>
      <c r="I940" s="14" t="b">
        <f aca="false">FALSE()</f>
        <v>0</v>
      </c>
      <c r="J940" s="4"/>
      <c r="K940" s="4" t="s">
        <v>3804</v>
      </c>
      <c r="L940" s="4" t="s">
        <v>3808</v>
      </c>
      <c r="M940" s="4" t="s">
        <v>3809</v>
      </c>
      <c r="N940" s="6" t="n">
        <v>26012</v>
      </c>
      <c r="O940" s="6" t="n">
        <v>195703</v>
      </c>
      <c r="P940" s="4" t="s">
        <v>46</v>
      </c>
      <c r="Q940" s="6" t="n">
        <v>1440000</v>
      </c>
      <c r="R940" s="15" t="n">
        <v>45064</v>
      </c>
      <c r="S940" s="6" t="n">
        <v>2304000</v>
      </c>
      <c r="T940" s="15" t="n">
        <v>45064</v>
      </c>
      <c r="U940" s="6"/>
      <c r="V940" s="15"/>
      <c r="W940" s="4" t="s">
        <v>58</v>
      </c>
      <c r="X940" s="4" t="s">
        <v>47</v>
      </c>
      <c r="Y940" s="4" t="s">
        <v>3810</v>
      </c>
      <c r="Z940" s="4" t="s">
        <v>3588</v>
      </c>
      <c r="AA940" s="6" t="n">
        <v>0</v>
      </c>
      <c r="AB940" s="6" t="n">
        <v>18060.26</v>
      </c>
      <c r="AC940" s="6" t="n">
        <v>9446.49</v>
      </c>
      <c r="AD940" s="14" t="b">
        <f aca="false">TRUE()</f>
        <v>1</v>
      </c>
    </row>
    <row r="941" customFormat="false" ht="15" hidden="false" customHeight="false" outlineLevel="0" collapsed="false">
      <c r="A941" s="14" t="b">
        <f aca="false">TRUE()</f>
        <v>1</v>
      </c>
      <c r="B941" s="14" t="b">
        <f aca="false">FALSE()</f>
        <v>0</v>
      </c>
      <c r="C941" s="4" t="n">
        <v>2</v>
      </c>
      <c r="D941" s="4"/>
      <c r="E941" s="4"/>
      <c r="F941" s="4"/>
      <c r="G941" s="4"/>
      <c r="H941" s="14" t="b">
        <f aca="false">FALSE()</f>
        <v>0</v>
      </c>
      <c r="I941" s="14" t="b">
        <f aca="false">FALSE()</f>
        <v>0</v>
      </c>
      <c r="J941" s="4"/>
      <c r="K941" s="4" t="s">
        <v>3804</v>
      </c>
      <c r="L941" s="4" t="s">
        <v>3811</v>
      </c>
      <c r="M941" s="4" t="s">
        <v>3812</v>
      </c>
      <c r="N941" s="6" t="n">
        <v>26012</v>
      </c>
      <c r="O941" s="6" t="n">
        <v>195703</v>
      </c>
      <c r="P941" s="4" t="s">
        <v>46</v>
      </c>
      <c r="Q941" s="6" t="n">
        <v>720000</v>
      </c>
      <c r="R941" s="15" t="n">
        <v>45064</v>
      </c>
      <c r="S941" s="6" t="n">
        <v>2304000</v>
      </c>
      <c r="T941" s="15" t="n">
        <v>45064</v>
      </c>
      <c r="U941" s="6"/>
      <c r="V941" s="15"/>
      <c r="W941" s="4" t="s">
        <v>58</v>
      </c>
      <c r="X941" s="4" t="s">
        <v>47</v>
      </c>
      <c r="Y941" s="4" t="s">
        <v>3813</v>
      </c>
      <c r="Z941" s="4" t="s">
        <v>3588</v>
      </c>
      <c r="AA941" s="6" t="n">
        <v>0</v>
      </c>
      <c r="AB941" s="6" t="n">
        <v>18060.26</v>
      </c>
      <c r="AC941" s="6" t="n">
        <v>9446.49</v>
      </c>
      <c r="AD941" s="14" t="b">
        <f aca="false">TRUE()</f>
        <v>1</v>
      </c>
    </row>
    <row r="942" customFormat="false" ht="15" hidden="false" customHeight="false" outlineLevel="0" collapsed="false">
      <c r="A942" s="14" t="b">
        <f aca="false">TRUE()</f>
        <v>1</v>
      </c>
      <c r="B942" s="14" t="b">
        <f aca="false">FALSE()</f>
        <v>0</v>
      </c>
      <c r="C942" s="4" t="n">
        <v>2</v>
      </c>
      <c r="D942" s="4"/>
      <c r="E942" s="4"/>
      <c r="F942" s="4"/>
      <c r="G942" s="4"/>
      <c r="H942" s="14" t="b">
        <f aca="false">FALSE()</f>
        <v>0</v>
      </c>
      <c r="I942" s="14" t="b">
        <f aca="false">FALSE()</f>
        <v>0</v>
      </c>
      <c r="J942" s="4"/>
      <c r="K942" s="4" t="s">
        <v>3814</v>
      </c>
      <c r="L942" s="4" t="s">
        <v>3815</v>
      </c>
      <c r="M942" s="4" t="s">
        <v>3816</v>
      </c>
      <c r="N942" s="6" t="n">
        <v>53426</v>
      </c>
      <c r="O942" s="6" t="n">
        <v>53032</v>
      </c>
      <c r="P942" s="4" t="s">
        <v>46</v>
      </c>
      <c r="Q942" s="6" t="n">
        <v>212000</v>
      </c>
      <c r="R942" s="15" t="n">
        <v>45845</v>
      </c>
      <c r="S942" s="6" t="n">
        <v>262000</v>
      </c>
      <c r="T942" s="15" t="n">
        <v>45845</v>
      </c>
      <c r="U942" s="6"/>
      <c r="V942" s="15"/>
      <c r="W942" s="4" t="s">
        <v>58</v>
      </c>
      <c r="X942" s="4" t="s">
        <v>58</v>
      </c>
      <c r="Y942" s="4" t="s">
        <v>3817</v>
      </c>
      <c r="Z942" s="4" t="s">
        <v>3588</v>
      </c>
      <c r="AA942" s="6" t="n">
        <v>0</v>
      </c>
      <c r="AB942" s="6" t="n">
        <v>8020.08</v>
      </c>
      <c r="AC942" s="6" t="n">
        <v>4200.49</v>
      </c>
      <c r="AD942" s="14" t="b">
        <f aca="false">TRUE()</f>
        <v>1</v>
      </c>
    </row>
    <row r="943" customFormat="false" ht="15" hidden="false" customHeight="false" outlineLevel="0" collapsed="false">
      <c r="A943" s="14" t="b">
        <f aca="false">TRUE()</f>
        <v>1</v>
      </c>
      <c r="B943" s="14" t="b">
        <f aca="false">FALSE()</f>
        <v>0</v>
      </c>
      <c r="C943" s="4" t="n">
        <v>2</v>
      </c>
      <c r="D943" s="4"/>
      <c r="E943" s="4"/>
      <c r="F943" s="4"/>
      <c r="G943" s="4"/>
      <c r="H943" s="14" t="b">
        <f aca="false">FALSE()</f>
        <v>0</v>
      </c>
      <c r="I943" s="14" t="b">
        <f aca="false">FALSE()</f>
        <v>0</v>
      </c>
      <c r="J943" s="4"/>
      <c r="K943" s="4" t="s">
        <v>3818</v>
      </c>
      <c r="L943" s="4" t="s">
        <v>3819</v>
      </c>
      <c r="M943" s="4" t="s">
        <v>3820</v>
      </c>
      <c r="N943" s="6" t="n">
        <v>3714</v>
      </c>
      <c r="O943" s="6" t="n">
        <v>31633</v>
      </c>
      <c r="P943" s="4" t="s">
        <v>46</v>
      </c>
      <c r="Q943" s="6" t="n">
        <v>48000</v>
      </c>
      <c r="R943" s="15" t="n">
        <v>35681</v>
      </c>
      <c r="S943" s="6" t="n">
        <v>30000</v>
      </c>
      <c r="T943" s="15" t="n">
        <v>38800</v>
      </c>
      <c r="U943" s="6"/>
      <c r="V943" s="15"/>
      <c r="W943" s="4" t="s">
        <v>47</v>
      </c>
      <c r="X943" s="4" t="s">
        <v>47</v>
      </c>
      <c r="Y943" s="4" t="s">
        <v>3821</v>
      </c>
      <c r="Z943" s="4" t="s">
        <v>3588</v>
      </c>
      <c r="AA943" s="6" t="n">
        <v>0</v>
      </c>
      <c r="AB943" s="6" t="n">
        <v>2227.6</v>
      </c>
      <c r="AC943" s="6" t="n">
        <v>1173.92</v>
      </c>
      <c r="AD943" s="14" t="b">
        <f aca="false">TRUE()</f>
        <v>1</v>
      </c>
    </row>
    <row r="944" customFormat="false" ht="15" hidden="false" customHeight="false" outlineLevel="0" collapsed="false">
      <c r="A944" s="14" t="b">
        <f aca="false">TRUE()</f>
        <v>1</v>
      </c>
      <c r="B944" s="14" t="b">
        <f aca="false">FALSE()</f>
        <v>0</v>
      </c>
      <c r="C944" s="4" t="n">
        <v>2</v>
      </c>
      <c r="D944" s="4"/>
      <c r="E944" s="4"/>
      <c r="F944" s="4"/>
      <c r="G944" s="4"/>
      <c r="H944" s="14" t="b">
        <f aca="false">FALSE()</f>
        <v>0</v>
      </c>
      <c r="I944" s="14" t="b">
        <f aca="false">FALSE()</f>
        <v>0</v>
      </c>
      <c r="J944" s="4"/>
      <c r="K944" s="4" t="s">
        <v>3822</v>
      </c>
      <c r="L944" s="4" t="s">
        <v>3823</v>
      </c>
      <c r="M944" s="4" t="s">
        <v>3824</v>
      </c>
      <c r="N944" s="6" t="n">
        <v>3714</v>
      </c>
      <c r="O944" s="6" t="n">
        <v>31940</v>
      </c>
      <c r="P944" s="4" t="s">
        <v>46</v>
      </c>
      <c r="Q944" s="6" t="n">
        <v>135000</v>
      </c>
      <c r="R944" s="15" t="n">
        <v>45639</v>
      </c>
      <c r="S944" s="6" t="n">
        <v>133500</v>
      </c>
      <c r="T944" s="15" t="n">
        <v>45951</v>
      </c>
      <c r="U944" s="6"/>
      <c r="V944" s="15"/>
      <c r="W944" s="4" t="s">
        <v>47</v>
      </c>
      <c r="X944" s="4" t="s">
        <v>47</v>
      </c>
      <c r="Y944" s="4" t="s">
        <v>3825</v>
      </c>
      <c r="Z944" s="4" t="s">
        <v>3588</v>
      </c>
      <c r="AA944" s="6" t="n">
        <v>0</v>
      </c>
      <c r="AB944" s="6" t="n">
        <v>2904.28</v>
      </c>
      <c r="AC944" s="6" t="n">
        <v>1527.49</v>
      </c>
      <c r="AD944" s="14" t="b">
        <f aca="false">TRUE()</f>
        <v>1</v>
      </c>
    </row>
    <row r="945" customFormat="false" ht="15" hidden="false" customHeight="false" outlineLevel="0" collapsed="false">
      <c r="A945" s="14" t="b">
        <f aca="false">TRUE()</f>
        <v>1</v>
      </c>
      <c r="B945" s="14" t="b">
        <f aca="false">FALSE()</f>
        <v>0</v>
      </c>
      <c r="C945" s="4" t="n">
        <v>2</v>
      </c>
      <c r="D945" s="4"/>
      <c r="E945" s="4"/>
      <c r="F945" s="4"/>
      <c r="G945" s="4"/>
      <c r="H945" s="14" t="b">
        <f aca="false">FALSE()</f>
        <v>0</v>
      </c>
      <c r="I945" s="14" t="b">
        <f aca="false">FALSE()</f>
        <v>0</v>
      </c>
      <c r="J945" s="4"/>
      <c r="K945" s="4" t="s">
        <v>3804</v>
      </c>
      <c r="L945" s="4" t="s">
        <v>3826</v>
      </c>
      <c r="M945" s="4" t="s">
        <v>3827</v>
      </c>
      <c r="N945" s="6" t="n">
        <v>3714</v>
      </c>
      <c r="O945" s="6" t="n">
        <v>31699</v>
      </c>
      <c r="P945" s="4" t="s">
        <v>46</v>
      </c>
      <c r="Q945" s="6" t="n">
        <v>430000</v>
      </c>
      <c r="R945" s="15" t="n">
        <v>42174</v>
      </c>
      <c r="S945" s="6" t="n">
        <v>2304000</v>
      </c>
      <c r="T945" s="15" t="n">
        <v>45065</v>
      </c>
      <c r="U945" s="6"/>
      <c r="V945" s="15"/>
      <c r="W945" s="4" t="s">
        <v>58</v>
      </c>
      <c r="X945" s="4" t="s">
        <v>47</v>
      </c>
      <c r="Y945" s="4" t="s">
        <v>3828</v>
      </c>
      <c r="Z945" s="4" t="s">
        <v>3588</v>
      </c>
      <c r="AA945" s="6" t="n">
        <v>0</v>
      </c>
      <c r="AB945" s="6" t="n">
        <v>2884.66</v>
      </c>
      <c r="AC945" s="6" t="n">
        <v>1517.23</v>
      </c>
      <c r="AD945" s="14" t="b">
        <f aca="false">TRUE()</f>
        <v>1</v>
      </c>
    </row>
    <row r="946" customFormat="false" ht="15" hidden="false" customHeight="false" outlineLevel="0" collapsed="false">
      <c r="A946" s="14" t="b">
        <f aca="false">TRUE()</f>
        <v>1</v>
      </c>
      <c r="B946" s="14" t="b">
        <f aca="false">FALSE()</f>
        <v>0</v>
      </c>
      <c r="C946" s="4" t="n">
        <v>2</v>
      </c>
      <c r="D946" s="4"/>
      <c r="E946" s="4"/>
      <c r="F946" s="4"/>
      <c r="G946" s="4"/>
      <c r="H946" s="14" t="b">
        <f aca="false">FALSE()</f>
        <v>0</v>
      </c>
      <c r="I946" s="14" t="b">
        <f aca="false">FALSE()</f>
        <v>0</v>
      </c>
      <c r="J946" s="4"/>
      <c r="K946" s="4" t="s">
        <v>3804</v>
      </c>
      <c r="L946" s="4" t="s">
        <v>3829</v>
      </c>
      <c r="M946" s="4" t="s">
        <v>3830</v>
      </c>
      <c r="N946" s="6" t="n">
        <v>3714</v>
      </c>
      <c r="O946" s="6" t="n">
        <v>31699</v>
      </c>
      <c r="P946" s="4" t="s">
        <v>46</v>
      </c>
      <c r="Q946" s="6" t="n">
        <v>430000</v>
      </c>
      <c r="R946" s="15" t="n">
        <v>42174</v>
      </c>
      <c r="S946" s="6" t="n">
        <v>2304000</v>
      </c>
      <c r="T946" s="15" t="n">
        <v>45065</v>
      </c>
      <c r="U946" s="6"/>
      <c r="V946" s="15"/>
      <c r="W946" s="4" t="s">
        <v>58</v>
      </c>
      <c r="X946" s="4" t="s">
        <v>47</v>
      </c>
      <c r="Y946" s="4" t="s">
        <v>3831</v>
      </c>
      <c r="Z946" s="4" t="s">
        <v>3588</v>
      </c>
      <c r="AA946" s="6" t="n">
        <v>0</v>
      </c>
      <c r="AB946" s="6" t="n">
        <v>2884.66</v>
      </c>
      <c r="AC946" s="6" t="n">
        <v>1517.23</v>
      </c>
      <c r="AD946" s="14" t="b">
        <f aca="false">TRUE()</f>
        <v>1</v>
      </c>
    </row>
    <row r="947" customFormat="false" ht="15" hidden="false" customHeight="false" outlineLevel="0" collapsed="false">
      <c r="A947" s="14" t="b">
        <f aca="false">TRUE()</f>
        <v>1</v>
      </c>
      <c r="B947" s="14" t="b">
        <f aca="false">FALSE()</f>
        <v>0</v>
      </c>
      <c r="C947" s="4" t="n">
        <v>2</v>
      </c>
      <c r="D947" s="4"/>
      <c r="E947" s="4"/>
      <c r="F947" s="4"/>
      <c r="G947" s="4"/>
      <c r="H947" s="14" t="b">
        <f aca="false">FALSE()</f>
        <v>0</v>
      </c>
      <c r="I947" s="14" t="b">
        <f aca="false">FALSE()</f>
        <v>0</v>
      </c>
      <c r="J947" s="4"/>
      <c r="K947" s="4" t="s">
        <v>3804</v>
      </c>
      <c r="L947" s="4" t="s">
        <v>3832</v>
      </c>
      <c r="M947" s="4" t="s">
        <v>3833</v>
      </c>
      <c r="N947" s="6" t="n">
        <v>3714</v>
      </c>
      <c r="O947" s="6" t="n">
        <v>31699</v>
      </c>
      <c r="P947" s="4" t="s">
        <v>46</v>
      </c>
      <c r="Q947" s="6" t="n">
        <v>720000</v>
      </c>
      <c r="R947" s="15" t="n">
        <v>45065</v>
      </c>
      <c r="S947" s="6" t="n">
        <v>2304000</v>
      </c>
      <c r="T947" s="15" t="n">
        <v>45065</v>
      </c>
      <c r="U947" s="6"/>
      <c r="V947" s="15"/>
      <c r="W947" s="4" t="s">
        <v>58</v>
      </c>
      <c r="X947" s="4" t="s">
        <v>47</v>
      </c>
      <c r="Y947" s="4" t="s">
        <v>3834</v>
      </c>
      <c r="Z947" s="4" t="s">
        <v>3588</v>
      </c>
      <c r="AA947" s="6" t="n">
        <v>0</v>
      </c>
      <c r="AB947" s="6" t="n">
        <v>2884.66</v>
      </c>
      <c r="AC947" s="6" t="n">
        <v>1517.23</v>
      </c>
      <c r="AD947" s="14" t="b">
        <f aca="false">TRUE()</f>
        <v>1</v>
      </c>
    </row>
    <row r="948" customFormat="false" ht="15" hidden="false" customHeight="false" outlineLevel="0" collapsed="false">
      <c r="A948" s="14" t="b">
        <f aca="false">TRUE()</f>
        <v>1</v>
      </c>
      <c r="B948" s="14" t="b">
        <f aca="false">FALSE()</f>
        <v>0</v>
      </c>
      <c r="C948" s="4" t="n">
        <v>2</v>
      </c>
      <c r="D948" s="4"/>
      <c r="E948" s="4"/>
      <c r="F948" s="4"/>
      <c r="G948" s="4"/>
      <c r="H948" s="14" t="b">
        <f aca="false">FALSE()</f>
        <v>0</v>
      </c>
      <c r="I948" s="14" t="b">
        <f aca="false">FALSE()</f>
        <v>0</v>
      </c>
      <c r="J948" s="4"/>
      <c r="K948" s="4" t="s">
        <v>3804</v>
      </c>
      <c r="L948" s="4" t="s">
        <v>3835</v>
      </c>
      <c r="M948" s="4" t="s">
        <v>3836</v>
      </c>
      <c r="N948" s="6" t="n">
        <v>3714</v>
      </c>
      <c r="O948" s="6" t="n">
        <v>31699</v>
      </c>
      <c r="P948" s="4" t="s">
        <v>46</v>
      </c>
      <c r="Q948" s="6" t="n">
        <v>720000</v>
      </c>
      <c r="R948" s="15" t="n">
        <v>45065</v>
      </c>
      <c r="S948" s="6" t="n">
        <v>2304000</v>
      </c>
      <c r="T948" s="15" t="n">
        <v>45065</v>
      </c>
      <c r="U948" s="6"/>
      <c r="V948" s="15"/>
      <c r="W948" s="4" t="s">
        <v>58</v>
      </c>
      <c r="X948" s="4" t="s">
        <v>47</v>
      </c>
      <c r="Y948" s="4" t="s">
        <v>3837</v>
      </c>
      <c r="Z948" s="4" t="s">
        <v>3588</v>
      </c>
      <c r="AA948" s="6" t="n">
        <v>0</v>
      </c>
      <c r="AB948" s="6" t="n">
        <v>2884.66</v>
      </c>
      <c r="AC948" s="6" t="n">
        <v>1517.23</v>
      </c>
      <c r="AD948" s="14" t="b">
        <f aca="false">TRUE()</f>
        <v>1</v>
      </c>
    </row>
    <row r="949" customFormat="false" ht="15" hidden="false" customHeight="false" outlineLevel="0" collapsed="false">
      <c r="A949" s="14" t="b">
        <f aca="false">TRUE()</f>
        <v>1</v>
      </c>
      <c r="B949" s="14" t="b">
        <f aca="false">FALSE()</f>
        <v>0</v>
      </c>
      <c r="C949" s="4" t="n">
        <v>2</v>
      </c>
      <c r="D949" s="4"/>
      <c r="E949" s="4"/>
      <c r="F949" s="4"/>
      <c r="G949" s="4"/>
      <c r="H949" s="14" t="b">
        <f aca="false">FALSE()</f>
        <v>0</v>
      </c>
      <c r="I949" s="14" t="b">
        <f aca="false">FALSE()</f>
        <v>0</v>
      </c>
      <c r="J949" s="4"/>
      <c r="K949" s="4" t="s">
        <v>3804</v>
      </c>
      <c r="L949" s="4" t="s">
        <v>3838</v>
      </c>
      <c r="M949" s="4" t="s">
        <v>3839</v>
      </c>
      <c r="N949" s="6" t="n">
        <v>3714</v>
      </c>
      <c r="O949" s="6" t="n">
        <v>31699</v>
      </c>
      <c r="P949" s="4" t="s">
        <v>46</v>
      </c>
      <c r="Q949" s="6" t="n">
        <v>430000</v>
      </c>
      <c r="R949" s="15" t="n">
        <v>42174</v>
      </c>
      <c r="S949" s="6" t="n">
        <v>2304000</v>
      </c>
      <c r="T949" s="15" t="n">
        <v>45065</v>
      </c>
      <c r="U949" s="6"/>
      <c r="V949" s="15"/>
      <c r="W949" s="4" t="s">
        <v>58</v>
      </c>
      <c r="X949" s="4" t="s">
        <v>47</v>
      </c>
      <c r="Y949" s="4" t="s">
        <v>3840</v>
      </c>
      <c r="Z949" s="4" t="s">
        <v>3588</v>
      </c>
      <c r="AA949" s="6" t="n">
        <v>0</v>
      </c>
      <c r="AB949" s="6" t="n">
        <v>2884.66</v>
      </c>
      <c r="AC949" s="6" t="n">
        <v>1517.23</v>
      </c>
      <c r="AD949" s="14" t="b">
        <f aca="false">TRUE()</f>
        <v>1</v>
      </c>
    </row>
    <row r="950" customFormat="false" ht="15" hidden="false" customHeight="false" outlineLevel="0" collapsed="false">
      <c r="A950" s="14" t="b">
        <f aca="false">TRUE()</f>
        <v>1</v>
      </c>
      <c r="B950" s="14" t="b">
        <f aca="false">FALSE()</f>
        <v>0</v>
      </c>
      <c r="C950" s="4" t="n">
        <v>2</v>
      </c>
      <c r="D950" s="4"/>
      <c r="E950" s="4"/>
      <c r="F950" s="4"/>
      <c r="G950" s="4"/>
      <c r="H950" s="14" t="b">
        <f aca="false">FALSE()</f>
        <v>0</v>
      </c>
      <c r="I950" s="14" t="b">
        <f aca="false">FALSE()</f>
        <v>0</v>
      </c>
      <c r="J950" s="4"/>
      <c r="K950" s="4" t="s">
        <v>3841</v>
      </c>
      <c r="L950" s="4" t="s">
        <v>3842</v>
      </c>
      <c r="M950" s="4" t="s">
        <v>3843</v>
      </c>
      <c r="N950" s="6" t="n">
        <v>8974</v>
      </c>
      <c r="O950" s="6" t="n">
        <v>52068</v>
      </c>
      <c r="P950" s="4" t="s">
        <v>46</v>
      </c>
      <c r="Q950" s="6" t="n">
        <v>78500</v>
      </c>
      <c r="R950" s="15" t="n">
        <v>33990</v>
      </c>
      <c r="S950" s="6"/>
      <c r="T950" s="15"/>
      <c r="U950" s="6"/>
      <c r="V950" s="15"/>
      <c r="W950" s="4" t="s">
        <v>47</v>
      </c>
      <c r="X950" s="4" t="s">
        <v>47</v>
      </c>
      <c r="Y950" s="4" t="s">
        <v>3844</v>
      </c>
      <c r="Z950" s="4" t="s">
        <v>3588</v>
      </c>
      <c r="AA950" s="6" t="n">
        <v>0</v>
      </c>
      <c r="AB950" s="6" t="n">
        <v>3669</v>
      </c>
      <c r="AC950" s="6" t="n">
        <v>1927.05</v>
      </c>
      <c r="AD950" s="14" t="b">
        <f aca="false">TRUE()</f>
        <v>1</v>
      </c>
    </row>
    <row r="951" customFormat="false" ht="15" hidden="false" customHeight="false" outlineLevel="0" collapsed="false">
      <c r="A951" s="14" t="b">
        <f aca="false">TRUE()</f>
        <v>1</v>
      </c>
      <c r="B951" s="14" t="b">
        <f aca="false">FALSE()</f>
        <v>0</v>
      </c>
      <c r="C951" s="4" t="n">
        <v>3</v>
      </c>
      <c r="D951" s="4"/>
      <c r="E951" s="4"/>
      <c r="F951" s="4"/>
      <c r="G951" s="4"/>
      <c r="H951" s="14" t="b">
        <f aca="false">FALSE()</f>
        <v>0</v>
      </c>
      <c r="I951" s="14" t="b">
        <f aca="false">FALSE()</f>
        <v>0</v>
      </c>
      <c r="J951" s="4"/>
      <c r="K951" s="4" t="s">
        <v>3845</v>
      </c>
      <c r="L951" s="4" t="s">
        <v>3846</v>
      </c>
      <c r="M951" s="4" t="s">
        <v>3847</v>
      </c>
      <c r="N951" s="6" t="n">
        <v>59376</v>
      </c>
      <c r="O951" s="6" t="n">
        <v>120527</v>
      </c>
      <c r="P951" s="4" t="s">
        <v>46</v>
      </c>
      <c r="Q951" s="6" t="n">
        <v>635000</v>
      </c>
      <c r="R951" s="15" t="n">
        <v>45504</v>
      </c>
      <c r="S951" s="6"/>
      <c r="T951" s="15"/>
      <c r="U951" s="6"/>
      <c r="V951" s="15"/>
      <c r="W951" s="4" t="s">
        <v>47</v>
      </c>
      <c r="X951" s="4" t="s">
        <v>47</v>
      </c>
      <c r="Y951" s="4" t="s">
        <v>3848</v>
      </c>
      <c r="Z951" s="4" t="s">
        <v>3588</v>
      </c>
      <c r="AA951" s="6" t="n">
        <v>0</v>
      </c>
      <c r="AB951" s="6" t="n">
        <v>14002.7</v>
      </c>
      <c r="AC951" s="6" t="n">
        <v>14957.88</v>
      </c>
      <c r="AD951" s="14" t="b">
        <f aca="false">FALSE()</f>
        <v>0</v>
      </c>
    </row>
    <row r="952" customFormat="false" ht="15" hidden="false" customHeight="false" outlineLevel="0" collapsed="false">
      <c r="A952" s="14" t="b">
        <f aca="false">TRUE()</f>
        <v>1</v>
      </c>
      <c r="B952" s="14" t="b">
        <f aca="false">FALSE()</f>
        <v>0</v>
      </c>
      <c r="C952" s="4" t="n">
        <v>2</v>
      </c>
      <c r="D952" s="4"/>
      <c r="E952" s="4"/>
      <c r="F952" s="4"/>
      <c r="G952" s="4" t="n">
        <v>3</v>
      </c>
      <c r="H952" s="14" t="b">
        <f aca="false">FALSE()</f>
        <v>0</v>
      </c>
      <c r="I952" s="14" t="b">
        <f aca="false">FALSE()</f>
        <v>0</v>
      </c>
      <c r="J952" s="4"/>
      <c r="K952" s="4" t="s">
        <v>3849</v>
      </c>
      <c r="L952" s="4" t="s">
        <v>3850</v>
      </c>
      <c r="M952" s="4" t="s">
        <v>3851</v>
      </c>
      <c r="N952" s="6" t="n">
        <v>116482</v>
      </c>
      <c r="O952" s="6" t="n">
        <v>433923</v>
      </c>
      <c r="P952" s="4" t="s">
        <v>46</v>
      </c>
      <c r="Q952" s="6" t="n">
        <v>1400000</v>
      </c>
      <c r="R952" s="15" t="n">
        <v>44609</v>
      </c>
      <c r="S952" s="6" t="n">
        <v>1120000</v>
      </c>
      <c r="T952" s="15" t="n">
        <v>44609</v>
      </c>
      <c r="U952" s="6"/>
      <c r="V952" s="15"/>
      <c r="W952" s="4" t="s">
        <v>47</v>
      </c>
      <c r="X952" s="4" t="s">
        <v>47</v>
      </c>
      <c r="Y952" s="4" t="s">
        <v>3852</v>
      </c>
      <c r="Z952" s="4" t="s">
        <v>3853</v>
      </c>
      <c r="AA952" s="6" t="n">
        <v>0</v>
      </c>
      <c r="AB952" s="6" t="n">
        <v>28118.8</v>
      </c>
      <c r="AC952" s="6" t="n">
        <v>14702.07</v>
      </c>
      <c r="AD952" s="14" t="b">
        <f aca="false">TRUE()</f>
        <v>1</v>
      </c>
    </row>
    <row r="953" customFormat="false" ht="15" hidden="false" customHeight="false" outlineLevel="0" collapsed="false">
      <c r="A953" s="14" t="b">
        <f aca="false">TRUE()</f>
        <v>1</v>
      </c>
      <c r="B953" s="14" t="b">
        <f aca="false">FALSE()</f>
        <v>0</v>
      </c>
      <c r="C953" s="4" t="n">
        <v>3</v>
      </c>
      <c r="D953" s="4"/>
      <c r="E953" s="4"/>
      <c r="F953" s="4"/>
      <c r="G953" s="4" t="n">
        <v>3</v>
      </c>
      <c r="H953" s="14" t="b">
        <f aca="false">TRUE()</f>
        <v>1</v>
      </c>
      <c r="I953" s="14" t="b">
        <f aca="false">FALSE()</f>
        <v>0</v>
      </c>
      <c r="J953" s="4"/>
      <c r="K953" s="4" t="s">
        <v>3854</v>
      </c>
      <c r="L953" s="4" t="s">
        <v>3855</v>
      </c>
      <c r="M953" s="4" t="s">
        <v>3856</v>
      </c>
      <c r="N953" s="6" t="n">
        <v>113936</v>
      </c>
      <c r="O953" s="6" t="n">
        <v>408204</v>
      </c>
      <c r="P953" s="4" t="s">
        <v>46</v>
      </c>
      <c r="Q953" s="6" t="n">
        <v>397000</v>
      </c>
      <c r="R953" s="15" t="n">
        <v>36077</v>
      </c>
      <c r="S953" s="6" t="n">
        <v>1000000</v>
      </c>
      <c r="T953" s="15" t="n">
        <v>44442</v>
      </c>
      <c r="U953" s="6"/>
      <c r="V953" s="15"/>
      <c r="W953" s="4" t="s">
        <v>47</v>
      </c>
      <c r="X953" s="4" t="s">
        <v>47</v>
      </c>
      <c r="Y953" s="4" t="s">
        <v>3857</v>
      </c>
      <c r="Z953" s="4" t="s">
        <v>3853</v>
      </c>
      <c r="AA953" s="6" t="n">
        <v>0</v>
      </c>
      <c r="AB953" s="6" t="n">
        <v>26653.54</v>
      </c>
      <c r="AC953" s="6" t="n">
        <v>28462.65</v>
      </c>
      <c r="AD953" s="14" t="b">
        <f aca="false">FALSE()</f>
        <v>0</v>
      </c>
    </row>
    <row r="954" customFormat="false" ht="15" hidden="false" customHeight="false" outlineLevel="0" collapsed="false">
      <c r="A954" s="14" t="b">
        <f aca="false">TRUE()</f>
        <v>1</v>
      </c>
      <c r="B954" s="14" t="b">
        <f aca="false">FALSE()</f>
        <v>0</v>
      </c>
      <c r="C954" s="4" t="n">
        <v>3</v>
      </c>
      <c r="D954" s="4"/>
      <c r="E954" s="4"/>
      <c r="F954" s="4"/>
      <c r="G954" s="4"/>
      <c r="H954" s="14" t="b">
        <f aca="false">FALSE()</f>
        <v>0</v>
      </c>
      <c r="I954" s="14" t="b">
        <f aca="false">FALSE()</f>
        <v>0</v>
      </c>
      <c r="J954" s="4"/>
      <c r="K954" s="4" t="s">
        <v>3858</v>
      </c>
      <c r="L954" s="4" t="s">
        <v>3859</v>
      </c>
      <c r="M954" s="4" t="s">
        <v>3860</v>
      </c>
      <c r="N954" s="6" t="n">
        <v>99175</v>
      </c>
      <c r="O954" s="6" t="n">
        <v>163311</v>
      </c>
      <c r="P954" s="4" t="s">
        <v>46</v>
      </c>
      <c r="Q954" s="6" t="n">
        <v>533500</v>
      </c>
      <c r="R954" s="15" t="n">
        <v>38104</v>
      </c>
      <c r="S954" s="6" t="n">
        <v>250000</v>
      </c>
      <c r="T954" s="15" t="n">
        <v>39400</v>
      </c>
      <c r="U954" s="6"/>
      <c r="V954" s="15"/>
      <c r="W954" s="4" t="s">
        <v>47</v>
      </c>
      <c r="X954" s="4" t="s">
        <v>47</v>
      </c>
      <c r="Y954" s="4" t="s">
        <v>3861</v>
      </c>
      <c r="Z954" s="4" t="s">
        <v>3853</v>
      </c>
      <c r="AA954" s="6" t="n">
        <v>0</v>
      </c>
      <c r="AB954" s="6" t="n">
        <v>13192.84</v>
      </c>
      <c r="AC954" s="6" t="n">
        <v>14093.36</v>
      </c>
      <c r="AD954" s="14" t="b">
        <f aca="false">FALSE()</f>
        <v>0</v>
      </c>
    </row>
    <row r="955" customFormat="false" ht="15" hidden="false" customHeight="false" outlineLevel="0" collapsed="false">
      <c r="A955" s="14" t="b">
        <f aca="false">TRUE()</f>
        <v>1</v>
      </c>
      <c r="B955" s="14" t="b">
        <f aca="false">FALSE()</f>
        <v>0</v>
      </c>
      <c r="C955" s="4" t="n">
        <v>2</v>
      </c>
      <c r="D955" s="4"/>
      <c r="E955" s="4"/>
      <c r="F955" s="4"/>
      <c r="G955" s="4"/>
      <c r="H955" s="14" t="b">
        <f aca="false">FALSE()</f>
        <v>0</v>
      </c>
      <c r="I955" s="14" t="b">
        <f aca="false">FALSE()</f>
        <v>0</v>
      </c>
      <c r="J955" s="4"/>
      <c r="K955" s="4" t="s">
        <v>3862</v>
      </c>
      <c r="L955" s="4" t="s">
        <v>3863</v>
      </c>
      <c r="M955" s="4" t="s">
        <v>3864</v>
      </c>
      <c r="N955" s="6" t="n">
        <v>50648</v>
      </c>
      <c r="O955" s="6" t="n">
        <v>89036</v>
      </c>
      <c r="P955" s="4" t="s">
        <v>46</v>
      </c>
      <c r="Q955" s="6" t="n">
        <v>370000</v>
      </c>
      <c r="R955" s="15" t="n">
        <v>45649</v>
      </c>
      <c r="S955" s="6"/>
      <c r="T955" s="15"/>
      <c r="U955" s="6"/>
      <c r="V955" s="15"/>
      <c r="W955" s="4" t="s">
        <v>47</v>
      </c>
      <c r="X955" s="4" t="s">
        <v>47</v>
      </c>
      <c r="Y955" s="4" t="s">
        <v>3865</v>
      </c>
      <c r="Z955" s="4" t="s">
        <v>2940</v>
      </c>
      <c r="AA955" s="6" t="n">
        <v>0</v>
      </c>
      <c r="AB955" s="6" t="n">
        <v>6882.38</v>
      </c>
      <c r="AC955" s="6" t="n">
        <v>3606.04</v>
      </c>
      <c r="AD955" s="14" t="b">
        <f aca="false">TRUE()</f>
        <v>1</v>
      </c>
    </row>
    <row r="956" customFormat="false" ht="15" hidden="false" customHeight="false" outlineLevel="0" collapsed="false">
      <c r="A956" s="14" t="b">
        <f aca="false">TRUE()</f>
        <v>1</v>
      </c>
      <c r="B956" s="14" t="b">
        <f aca="false">FALSE()</f>
        <v>0</v>
      </c>
      <c r="C956" s="4" t="n">
        <v>2</v>
      </c>
      <c r="D956" s="4"/>
      <c r="E956" s="4"/>
      <c r="F956" s="4"/>
      <c r="G956" s="4" t="n">
        <v>2</v>
      </c>
      <c r="H956" s="14" t="b">
        <f aca="false">FALSE()</f>
        <v>0</v>
      </c>
      <c r="I956" s="14" t="b">
        <f aca="false">FALSE()</f>
        <v>0</v>
      </c>
      <c r="J956" s="4"/>
      <c r="K956" s="4" t="s">
        <v>3866</v>
      </c>
      <c r="L956" s="4" t="s">
        <v>3867</v>
      </c>
      <c r="M956" s="4" t="s">
        <v>3868</v>
      </c>
      <c r="N956" s="6" t="n">
        <v>59176</v>
      </c>
      <c r="O956" s="6" t="n">
        <v>84152</v>
      </c>
      <c r="P956" s="4" t="s">
        <v>46</v>
      </c>
      <c r="Q956" s="6" t="n">
        <v>245000</v>
      </c>
      <c r="R956" s="15" t="n">
        <v>40021</v>
      </c>
      <c r="S956" s="6"/>
      <c r="T956" s="15"/>
      <c r="U956" s="6"/>
      <c r="V956" s="15"/>
      <c r="W956" s="4" t="s">
        <v>47</v>
      </c>
      <c r="X956" s="4" t="s">
        <v>58</v>
      </c>
      <c r="Y956" s="4" t="s">
        <v>3869</v>
      </c>
      <c r="Z956" s="4" t="s">
        <v>2940</v>
      </c>
      <c r="AA956" s="6" t="n">
        <v>0</v>
      </c>
      <c r="AB956" s="6" t="n">
        <v>8742.06</v>
      </c>
      <c r="AC956" s="6" t="n">
        <v>9342.15</v>
      </c>
      <c r="AD956" s="14" t="b">
        <f aca="false">FALSE()</f>
        <v>0</v>
      </c>
    </row>
    <row r="957" customFormat="false" ht="15" hidden="false" customHeight="false" outlineLevel="0" collapsed="false">
      <c r="A957" s="14" t="b">
        <f aca="false">TRUE()</f>
        <v>1</v>
      </c>
      <c r="B957" s="14" t="b">
        <f aca="false">FALSE()</f>
        <v>0</v>
      </c>
      <c r="C957" s="4" t="n">
        <v>2</v>
      </c>
      <c r="D957" s="4"/>
      <c r="E957" s="4"/>
      <c r="F957" s="4"/>
      <c r="G957" s="4"/>
      <c r="H957" s="14" t="b">
        <f aca="false">FALSE()</f>
        <v>0</v>
      </c>
      <c r="I957" s="14" t="b">
        <f aca="false">FALSE()</f>
        <v>0</v>
      </c>
      <c r="J957" s="4"/>
      <c r="K957" s="4" t="s">
        <v>3870</v>
      </c>
      <c r="L957" s="4" t="s">
        <v>3871</v>
      </c>
      <c r="M957" s="4" t="s">
        <v>3872</v>
      </c>
      <c r="N957" s="6" t="n">
        <v>34320</v>
      </c>
      <c r="O957" s="6" t="n">
        <v>72328</v>
      </c>
      <c r="P957" s="4" t="s">
        <v>46</v>
      </c>
      <c r="Q957" s="6"/>
      <c r="R957" s="15"/>
      <c r="S957" s="6"/>
      <c r="T957" s="15"/>
      <c r="U957" s="6"/>
      <c r="V957" s="15"/>
      <c r="W957" s="4"/>
      <c r="X957" s="4"/>
      <c r="Y957" s="4" t="s">
        <v>3873</v>
      </c>
      <c r="Z957" s="4" t="s">
        <v>2940</v>
      </c>
      <c r="AA957" s="6" t="n">
        <v>0</v>
      </c>
      <c r="AB957" s="6" t="n">
        <v>5855.78</v>
      </c>
      <c r="AC957" s="6" t="n">
        <v>6261.05</v>
      </c>
      <c r="AD957" s="14" t="b">
        <f aca="false">FALSE()</f>
        <v>0</v>
      </c>
    </row>
    <row r="958" customFormat="false" ht="15" hidden="false" customHeight="false" outlineLevel="0" collapsed="false">
      <c r="A958" s="14" t="b">
        <f aca="false">TRUE()</f>
        <v>1</v>
      </c>
      <c r="B958" s="14" t="b">
        <f aca="false">FALSE()</f>
        <v>0</v>
      </c>
      <c r="C958" s="4" t="n">
        <v>3</v>
      </c>
      <c r="D958" s="4"/>
      <c r="E958" s="4"/>
      <c r="F958" s="4"/>
      <c r="G958" s="4"/>
      <c r="H958" s="14" t="b">
        <f aca="false">FALSE()</f>
        <v>0</v>
      </c>
      <c r="I958" s="14" t="b">
        <f aca="false">FALSE()</f>
        <v>0</v>
      </c>
      <c r="J958" s="4"/>
      <c r="K958" s="4" t="s">
        <v>3874</v>
      </c>
      <c r="L958" s="4" t="s">
        <v>3875</v>
      </c>
      <c r="M958" s="4" t="s">
        <v>3876</v>
      </c>
      <c r="N958" s="6" t="n">
        <v>63082</v>
      </c>
      <c r="O958" s="6" t="n">
        <v>107725</v>
      </c>
      <c r="P958" s="4" t="s">
        <v>46</v>
      </c>
      <c r="Q958" s="6"/>
      <c r="R958" s="15"/>
      <c r="S958" s="6" t="n">
        <v>364500</v>
      </c>
      <c r="T958" s="15" t="n">
        <v>38477</v>
      </c>
      <c r="U958" s="6"/>
      <c r="V958" s="15"/>
      <c r="W958" s="4" t="s">
        <v>47</v>
      </c>
      <c r="X958" s="4" t="s">
        <v>47</v>
      </c>
      <c r="Y958" s="4" t="s">
        <v>3877</v>
      </c>
      <c r="Z958" s="4" t="s">
        <v>2911</v>
      </c>
      <c r="AA958" s="6" t="n">
        <v>0</v>
      </c>
      <c r="AB958" s="6" t="n">
        <v>8862.86</v>
      </c>
      <c r="AC958" s="6" t="n">
        <v>9471.1</v>
      </c>
      <c r="AD958" s="14" t="b">
        <f aca="false">FALSE()</f>
        <v>0</v>
      </c>
    </row>
    <row r="959" customFormat="false" ht="15" hidden="false" customHeight="false" outlineLevel="0" collapsed="false">
      <c r="A959" s="14" t="b">
        <f aca="false">TRUE()</f>
        <v>1</v>
      </c>
      <c r="B959" s="14" t="b">
        <f aca="false">FALSE()</f>
        <v>0</v>
      </c>
      <c r="C959" s="4" t="n">
        <v>2</v>
      </c>
      <c r="D959" s="4"/>
      <c r="E959" s="4"/>
      <c r="F959" s="4"/>
      <c r="G959" s="4"/>
      <c r="H959" s="14" t="b">
        <f aca="false">FALSE()</f>
        <v>0</v>
      </c>
      <c r="I959" s="14" t="b">
        <f aca="false">FALSE()</f>
        <v>0</v>
      </c>
      <c r="J959" s="4"/>
      <c r="K959" s="4" t="s">
        <v>3878</v>
      </c>
      <c r="L959" s="4" t="s">
        <v>3879</v>
      </c>
      <c r="M959" s="4" t="s">
        <v>3880</v>
      </c>
      <c r="N959" s="6" t="n">
        <v>25498</v>
      </c>
      <c r="O959" s="6" t="n">
        <v>84914</v>
      </c>
      <c r="P959" s="4" t="s">
        <v>46</v>
      </c>
      <c r="Q959" s="6" t="n">
        <v>329000</v>
      </c>
      <c r="R959" s="15" t="n">
        <v>43592</v>
      </c>
      <c r="S959" s="6"/>
      <c r="T959" s="15"/>
      <c r="U959" s="6"/>
      <c r="V959" s="15"/>
      <c r="W959" s="4" t="s">
        <v>47</v>
      </c>
      <c r="X959" s="4" t="s">
        <v>47</v>
      </c>
      <c r="Y959" s="4" t="s">
        <v>3881</v>
      </c>
      <c r="Z959" s="4" t="s">
        <v>2911</v>
      </c>
      <c r="AA959" s="6" t="n">
        <v>0</v>
      </c>
      <c r="AB959" s="6" t="n">
        <v>5863.16</v>
      </c>
      <c r="AC959" s="6" t="n">
        <v>6268.92</v>
      </c>
      <c r="AD959" s="14" t="b">
        <f aca="false">FALSE()</f>
        <v>0</v>
      </c>
    </row>
    <row r="960" customFormat="false" ht="15" hidden="false" customHeight="false" outlineLevel="0" collapsed="false">
      <c r="A960" s="14" t="b">
        <f aca="false">TRUE()</f>
        <v>1</v>
      </c>
      <c r="B960" s="14" t="b">
        <f aca="false">FALSE()</f>
        <v>0</v>
      </c>
      <c r="C960" s="4" t="n">
        <v>3</v>
      </c>
      <c r="D960" s="4"/>
      <c r="E960" s="4"/>
      <c r="F960" s="4"/>
      <c r="G960" s="4"/>
      <c r="H960" s="14" t="b">
        <f aca="false">FALSE()</f>
        <v>0</v>
      </c>
      <c r="I960" s="14" t="b">
        <f aca="false">FALSE()</f>
        <v>0</v>
      </c>
      <c r="J960" s="4"/>
      <c r="K960" s="4" t="s">
        <v>3882</v>
      </c>
      <c r="L960" s="4" t="s">
        <v>3883</v>
      </c>
      <c r="M960" s="4" t="s">
        <v>3884</v>
      </c>
      <c r="N960" s="6" t="n">
        <v>33896</v>
      </c>
      <c r="O960" s="6" t="n">
        <v>55532</v>
      </c>
      <c r="P960" s="4" t="s">
        <v>46</v>
      </c>
      <c r="Q960" s="6" t="n">
        <v>236000</v>
      </c>
      <c r="R960" s="15" t="n">
        <v>45327</v>
      </c>
      <c r="S960" s="6" t="n">
        <v>358500</v>
      </c>
      <c r="T960" s="15" t="n">
        <v>45933</v>
      </c>
      <c r="U960" s="6" t="n">
        <v>30000</v>
      </c>
      <c r="V960" s="15" t="n">
        <v>45476</v>
      </c>
      <c r="W960" s="4" t="s">
        <v>58</v>
      </c>
      <c r="X960" s="4" t="s">
        <v>47</v>
      </c>
      <c r="Y960" s="4" t="s">
        <v>3885</v>
      </c>
      <c r="Z960" s="4" t="s">
        <v>2911</v>
      </c>
      <c r="AA960" s="6" t="n">
        <v>0</v>
      </c>
      <c r="AB960" s="6" t="n">
        <v>5030.6</v>
      </c>
      <c r="AC960" s="6" t="n">
        <v>5380.17</v>
      </c>
      <c r="AD960" s="14" t="b">
        <f aca="false">FALSE()</f>
        <v>0</v>
      </c>
    </row>
    <row r="961" customFormat="false" ht="15" hidden="false" customHeight="false" outlineLevel="0" collapsed="false">
      <c r="A961" s="14" t="b">
        <f aca="false">TRUE()</f>
        <v>1</v>
      </c>
      <c r="B961" s="14" t="b">
        <f aca="false">FALSE()</f>
        <v>0</v>
      </c>
      <c r="C961" s="4" t="n">
        <v>3</v>
      </c>
      <c r="D961" s="4"/>
      <c r="E961" s="4"/>
      <c r="F961" s="4"/>
      <c r="G961" s="4"/>
      <c r="H961" s="14" t="b">
        <f aca="false">FALSE()</f>
        <v>0</v>
      </c>
      <c r="I961" s="14" t="b">
        <f aca="false">FALSE()</f>
        <v>0</v>
      </c>
      <c r="J961" s="4"/>
      <c r="K961" s="4" t="s">
        <v>3886</v>
      </c>
      <c r="L961" s="4" t="s">
        <v>3887</v>
      </c>
      <c r="M961" s="4" t="s">
        <v>3888</v>
      </c>
      <c r="N961" s="6" t="n">
        <v>33896</v>
      </c>
      <c r="O961" s="6" t="n">
        <v>45394</v>
      </c>
      <c r="P961" s="4" t="s">
        <v>46</v>
      </c>
      <c r="Q961" s="6"/>
      <c r="R961" s="15" t="n">
        <v>38084</v>
      </c>
      <c r="S961" s="6" t="n">
        <v>177400</v>
      </c>
      <c r="T961" s="15" t="n">
        <v>44365</v>
      </c>
      <c r="U961" s="6"/>
      <c r="V961" s="15"/>
      <c r="W961" s="4" t="s">
        <v>47</v>
      </c>
      <c r="X961" s="4" t="s">
        <v>47</v>
      </c>
      <c r="Y961" s="4" t="s">
        <v>3889</v>
      </c>
      <c r="Z961" s="4" t="s">
        <v>2940</v>
      </c>
      <c r="AA961" s="6" t="n">
        <v>0</v>
      </c>
      <c r="AB961" s="6" t="n">
        <v>3815.02</v>
      </c>
      <c r="AC961" s="6" t="n">
        <v>4082.54</v>
      </c>
      <c r="AD961" s="14" t="b">
        <f aca="false">FALSE()</f>
        <v>0</v>
      </c>
    </row>
    <row r="962" customFormat="false" ht="15" hidden="false" customHeight="false" outlineLevel="0" collapsed="false">
      <c r="A962" s="14" t="b">
        <f aca="false">TRUE()</f>
        <v>1</v>
      </c>
      <c r="B962" s="14" t="b">
        <f aca="false">FALSE()</f>
        <v>0</v>
      </c>
      <c r="C962" s="4" t="n">
        <v>2</v>
      </c>
      <c r="D962" s="4"/>
      <c r="E962" s="4"/>
      <c r="F962" s="4"/>
      <c r="G962" s="4"/>
      <c r="H962" s="14" t="b">
        <f aca="false">FALSE()</f>
        <v>0</v>
      </c>
      <c r="I962" s="14" t="b">
        <f aca="false">FALSE()</f>
        <v>0</v>
      </c>
      <c r="J962" s="4"/>
      <c r="K962" s="4" t="s">
        <v>3457</v>
      </c>
      <c r="L962" s="4" t="s">
        <v>3890</v>
      </c>
      <c r="M962" s="4" t="s">
        <v>3891</v>
      </c>
      <c r="N962" s="6" t="n">
        <v>33221</v>
      </c>
      <c r="O962" s="6" t="n">
        <v>69206</v>
      </c>
      <c r="P962" s="4" t="s">
        <v>46</v>
      </c>
      <c r="Q962" s="6"/>
      <c r="R962" s="15" t="n">
        <v>45251</v>
      </c>
      <c r="S962" s="6"/>
      <c r="T962" s="15"/>
      <c r="U962" s="6"/>
      <c r="V962" s="15"/>
      <c r="W962" s="4" t="s">
        <v>47</v>
      </c>
      <c r="X962" s="4" t="s">
        <v>47</v>
      </c>
      <c r="Y962" s="4" t="s">
        <v>3892</v>
      </c>
      <c r="Z962" s="4" t="s">
        <v>2940</v>
      </c>
      <c r="AA962" s="6" t="n">
        <v>0</v>
      </c>
      <c r="AB962" s="6" t="n">
        <v>5481.28</v>
      </c>
      <c r="AC962" s="6" t="n">
        <v>5861.27</v>
      </c>
      <c r="AD962" s="14" t="b">
        <f aca="false">FALSE()</f>
        <v>0</v>
      </c>
    </row>
    <row r="963" customFormat="false" ht="15" hidden="false" customHeight="false" outlineLevel="0" collapsed="false">
      <c r="A963" s="14" t="b">
        <f aca="false">TRUE()</f>
        <v>1</v>
      </c>
      <c r="B963" s="14" t="b">
        <f aca="false">FALSE()</f>
        <v>0</v>
      </c>
      <c r="C963" s="4" t="n">
        <v>3</v>
      </c>
      <c r="D963" s="4"/>
      <c r="E963" s="4"/>
      <c r="F963" s="4"/>
      <c r="G963" s="4"/>
      <c r="H963" s="14" t="b">
        <f aca="false">FALSE()</f>
        <v>0</v>
      </c>
      <c r="I963" s="14" t="b">
        <f aca="false">FALSE()</f>
        <v>0</v>
      </c>
      <c r="J963" s="4"/>
      <c r="K963" s="4" t="s">
        <v>3893</v>
      </c>
      <c r="L963" s="4" t="s">
        <v>3894</v>
      </c>
      <c r="M963" s="4" t="s">
        <v>3895</v>
      </c>
      <c r="N963" s="6" t="n">
        <v>33896</v>
      </c>
      <c r="O963" s="6" t="n">
        <v>66813</v>
      </c>
      <c r="P963" s="4" t="s">
        <v>46</v>
      </c>
      <c r="Q963" s="6"/>
      <c r="R963" s="15"/>
      <c r="S963" s="6" t="n">
        <v>322500</v>
      </c>
      <c r="T963" s="15" t="n">
        <v>41809</v>
      </c>
      <c r="U963" s="6"/>
      <c r="V963" s="15"/>
      <c r="W963" s="4" t="s">
        <v>47</v>
      </c>
      <c r="X963" s="4" t="s">
        <v>47</v>
      </c>
      <c r="Y963" s="4" t="s">
        <v>3896</v>
      </c>
      <c r="Z963" s="4" t="s">
        <v>2940</v>
      </c>
      <c r="AA963" s="6" t="n">
        <v>0</v>
      </c>
      <c r="AB963" s="6" t="n">
        <v>4098.1</v>
      </c>
      <c r="AC963" s="6" t="n">
        <v>4231.04</v>
      </c>
      <c r="AD963" s="14" t="b">
        <f aca="false">FALSE()</f>
        <v>0</v>
      </c>
    </row>
    <row r="964" customFormat="false" ht="15" hidden="false" customHeight="false" outlineLevel="0" collapsed="false">
      <c r="A964" s="14" t="b">
        <f aca="false">TRUE()</f>
        <v>1</v>
      </c>
      <c r="B964" s="14" t="b">
        <f aca="false">FALSE()</f>
        <v>0</v>
      </c>
      <c r="C964" s="4" t="n">
        <v>2</v>
      </c>
      <c r="D964" s="4"/>
      <c r="E964" s="4"/>
      <c r="F964" s="4"/>
      <c r="G964" s="4" t="n">
        <v>2</v>
      </c>
      <c r="H964" s="14" t="b">
        <f aca="false">TRUE()</f>
        <v>1</v>
      </c>
      <c r="I964" s="14" t="b">
        <f aca="false">FALSE()</f>
        <v>0</v>
      </c>
      <c r="J964" s="4"/>
      <c r="K964" s="4" t="s">
        <v>3897</v>
      </c>
      <c r="L964" s="4" t="s">
        <v>3898</v>
      </c>
      <c r="M964" s="4" t="s">
        <v>3899</v>
      </c>
      <c r="N964" s="6" t="n">
        <v>33896</v>
      </c>
      <c r="O964" s="6" t="n">
        <v>73938</v>
      </c>
      <c r="P964" s="4" t="s">
        <v>46</v>
      </c>
      <c r="Q964" s="6"/>
      <c r="R964" s="15" t="n">
        <v>41774</v>
      </c>
      <c r="S964" s="6"/>
      <c r="T964" s="15"/>
      <c r="U964" s="6"/>
      <c r="V964" s="15"/>
      <c r="W964" s="4" t="s">
        <v>58</v>
      </c>
      <c r="X964" s="4" t="s">
        <v>47</v>
      </c>
      <c r="Y964" s="4" t="s">
        <v>3900</v>
      </c>
      <c r="Z964" s="4" t="s">
        <v>2911</v>
      </c>
      <c r="AA964" s="6" t="n">
        <v>0</v>
      </c>
      <c r="AB964" s="6" t="n">
        <v>4551.96</v>
      </c>
      <c r="AC964" s="6" t="n">
        <v>4698.52</v>
      </c>
      <c r="AD964" s="14" t="b">
        <f aca="false">FALSE()</f>
        <v>0</v>
      </c>
    </row>
    <row r="965" customFormat="false" ht="15" hidden="false" customHeight="false" outlineLevel="0" collapsed="false">
      <c r="A965" s="14" t="b">
        <f aca="false">TRUE()</f>
        <v>1</v>
      </c>
      <c r="B965" s="14" t="b">
        <f aca="false">FALSE()</f>
        <v>0</v>
      </c>
      <c r="C965" s="4" t="n">
        <v>2</v>
      </c>
      <c r="D965" s="4"/>
      <c r="E965" s="4"/>
      <c r="F965" s="4"/>
      <c r="G965" s="4"/>
      <c r="H965" s="14" t="b">
        <f aca="false">FALSE()</f>
        <v>0</v>
      </c>
      <c r="I965" s="14" t="b">
        <f aca="false">FALSE()</f>
        <v>0</v>
      </c>
      <c r="J965" s="4"/>
      <c r="K965" s="4" t="s">
        <v>3901</v>
      </c>
      <c r="L965" s="4" t="s">
        <v>3902</v>
      </c>
      <c r="M965" s="4" t="s">
        <v>3903</v>
      </c>
      <c r="N965" s="6" t="n">
        <v>33896</v>
      </c>
      <c r="O965" s="6" t="n">
        <v>48320</v>
      </c>
      <c r="P965" s="4" t="s">
        <v>46</v>
      </c>
      <c r="Q965" s="6" t="n">
        <v>282000</v>
      </c>
      <c r="R965" s="15" t="n">
        <v>45196</v>
      </c>
      <c r="S965" s="6" t="n">
        <v>250000</v>
      </c>
      <c r="T965" s="15" t="n">
        <v>45196</v>
      </c>
      <c r="U965" s="6"/>
      <c r="V965" s="15"/>
      <c r="W965" s="4" t="s">
        <v>47</v>
      </c>
      <c r="X965" s="4" t="s">
        <v>47</v>
      </c>
      <c r="Y965" s="4" t="s">
        <v>3904</v>
      </c>
      <c r="Z965" s="4" t="s">
        <v>2940</v>
      </c>
      <c r="AA965" s="6" t="n">
        <v>0</v>
      </c>
      <c r="AB965" s="6" t="n">
        <v>3971.58</v>
      </c>
      <c r="AC965" s="6" t="n">
        <v>2085.15</v>
      </c>
      <c r="AD965" s="14" t="b">
        <f aca="false">TRUE()</f>
        <v>1</v>
      </c>
    </row>
    <row r="966" customFormat="false" ht="15" hidden="false" customHeight="false" outlineLevel="0" collapsed="false">
      <c r="A966" s="14" t="b">
        <f aca="false">TRUE()</f>
        <v>1</v>
      </c>
      <c r="B966" s="14" t="b">
        <f aca="false">FALSE()</f>
        <v>0</v>
      </c>
      <c r="C966" s="4" t="n">
        <v>3</v>
      </c>
      <c r="D966" s="4"/>
      <c r="E966" s="4"/>
      <c r="F966" s="4"/>
      <c r="G966" s="4"/>
      <c r="H966" s="14" t="b">
        <f aca="false">TRUE()</f>
        <v>1</v>
      </c>
      <c r="I966" s="14" t="b">
        <f aca="false">FALSE()</f>
        <v>0</v>
      </c>
      <c r="J966" s="4"/>
      <c r="K966" s="4" t="s">
        <v>3905</v>
      </c>
      <c r="L966" s="4" t="s">
        <v>3906</v>
      </c>
      <c r="M966" s="4" t="s">
        <v>3907</v>
      </c>
      <c r="N966" s="6" t="n">
        <v>38127</v>
      </c>
      <c r="O966" s="6" t="n">
        <v>57338</v>
      </c>
      <c r="P966" s="4" t="s">
        <v>46</v>
      </c>
      <c r="Q966" s="6" t="n">
        <v>730000</v>
      </c>
      <c r="R966" s="15" t="n">
        <v>44866</v>
      </c>
      <c r="S966" s="6" t="n">
        <v>547500</v>
      </c>
      <c r="T966" s="15" t="n">
        <v>44866</v>
      </c>
      <c r="U966" s="6"/>
      <c r="V966" s="15"/>
      <c r="W966" s="4" t="s">
        <v>47</v>
      </c>
      <c r="X966" s="4" t="s">
        <v>58</v>
      </c>
      <c r="Y966" s="4" t="s">
        <v>3908</v>
      </c>
      <c r="Z966" s="4" t="s">
        <v>2940</v>
      </c>
      <c r="AA966" s="6" t="n">
        <v>0</v>
      </c>
      <c r="AB966" s="6" t="n">
        <v>5684.6</v>
      </c>
      <c r="AC966" s="6" t="n">
        <v>6078.31</v>
      </c>
      <c r="AD966" s="14" t="b">
        <f aca="false">FALSE()</f>
        <v>0</v>
      </c>
    </row>
    <row r="967" customFormat="false" ht="15" hidden="false" customHeight="false" outlineLevel="0" collapsed="false">
      <c r="A967" s="14" t="b">
        <f aca="false">TRUE()</f>
        <v>1</v>
      </c>
      <c r="B967" s="14" t="b">
        <f aca="false">FALSE()</f>
        <v>0</v>
      </c>
      <c r="C967" s="4" t="n">
        <v>2</v>
      </c>
      <c r="D967" s="4"/>
      <c r="E967" s="4"/>
      <c r="F967" s="4"/>
      <c r="G967" s="4"/>
      <c r="H967" s="14" t="b">
        <f aca="false">FALSE()</f>
        <v>0</v>
      </c>
      <c r="I967" s="14" t="b">
        <f aca="false">FALSE()</f>
        <v>0</v>
      </c>
      <c r="J967" s="4"/>
      <c r="K967" s="4" t="s">
        <v>3909</v>
      </c>
      <c r="L967" s="4" t="s">
        <v>3910</v>
      </c>
      <c r="M967" s="4" t="s">
        <v>3911</v>
      </c>
      <c r="N967" s="6" t="n">
        <v>66312</v>
      </c>
      <c r="O967" s="6" t="n">
        <v>109193</v>
      </c>
      <c r="P967" s="4" t="s">
        <v>46</v>
      </c>
      <c r="Q967" s="6" t="n">
        <v>595000</v>
      </c>
      <c r="R967" s="15" t="n">
        <v>45820</v>
      </c>
      <c r="S967" s="6"/>
      <c r="T967" s="15"/>
      <c r="U967" s="6"/>
      <c r="V967" s="15"/>
      <c r="W967" s="4" t="s">
        <v>47</v>
      </c>
      <c r="X967" s="4" t="s">
        <v>47</v>
      </c>
      <c r="Y967" s="4" t="s">
        <v>3912</v>
      </c>
      <c r="Z967" s="4" t="s">
        <v>2911</v>
      </c>
      <c r="AA967" s="6" t="n">
        <v>0</v>
      </c>
      <c r="AB967" s="6" t="n">
        <v>9589.82</v>
      </c>
      <c r="AC967" s="6" t="n">
        <v>5020.68</v>
      </c>
      <c r="AD967" s="14" t="b">
        <f aca="false">TRUE()</f>
        <v>1</v>
      </c>
    </row>
    <row r="968" customFormat="false" ht="15" hidden="false" customHeight="false" outlineLevel="0" collapsed="false">
      <c r="A968" s="14" t="b">
        <f aca="false">TRUE()</f>
        <v>1</v>
      </c>
      <c r="B968" s="14" t="b">
        <f aca="false">FALSE()</f>
        <v>0</v>
      </c>
      <c r="C968" s="4" t="n">
        <v>2</v>
      </c>
      <c r="D968" s="4"/>
      <c r="E968" s="4"/>
      <c r="F968" s="4"/>
      <c r="G968" s="4"/>
      <c r="H968" s="14" t="b">
        <f aca="false">FALSE()</f>
        <v>0</v>
      </c>
      <c r="I968" s="14" t="b">
        <f aca="false">FALSE()</f>
        <v>0</v>
      </c>
      <c r="J968" s="4"/>
      <c r="K968" s="4" t="s">
        <v>3913</v>
      </c>
      <c r="L968" s="4" t="s">
        <v>3914</v>
      </c>
      <c r="M968" s="4" t="s">
        <v>3915</v>
      </c>
      <c r="N968" s="6" t="n">
        <v>104799</v>
      </c>
      <c r="O968" s="6" t="n">
        <v>20255</v>
      </c>
      <c r="P968" s="4" t="s">
        <v>46</v>
      </c>
      <c r="Q968" s="6"/>
      <c r="R968" s="15"/>
      <c r="S968" s="6"/>
      <c r="T968" s="15"/>
      <c r="U968" s="6"/>
      <c r="V968" s="15"/>
      <c r="W968" s="4" t="s">
        <v>47</v>
      </c>
      <c r="X968" s="4" t="s">
        <v>47</v>
      </c>
      <c r="Y968" s="4" t="s">
        <v>3916</v>
      </c>
      <c r="Z968" s="4" t="s">
        <v>2911</v>
      </c>
      <c r="AA968" s="6" t="n">
        <v>0</v>
      </c>
      <c r="AB968" s="6" t="n">
        <v>6243.46</v>
      </c>
      <c r="AC968" s="6" t="n">
        <v>6674.9</v>
      </c>
      <c r="AD968" s="14" t="b">
        <f aca="false">FALSE()</f>
        <v>0</v>
      </c>
    </row>
    <row r="969" customFormat="false" ht="15" hidden="false" customHeight="false" outlineLevel="0" collapsed="false">
      <c r="A969" s="14" t="b">
        <f aca="false">TRUE()</f>
        <v>1</v>
      </c>
      <c r="B969" s="14" t="b">
        <f aca="false">FALSE()</f>
        <v>0</v>
      </c>
      <c r="C969" s="4" t="n">
        <v>3</v>
      </c>
      <c r="D969" s="4"/>
      <c r="E969" s="4"/>
      <c r="F969" s="4"/>
      <c r="G969" s="4"/>
      <c r="H969" s="14" t="b">
        <f aca="false">FALSE()</f>
        <v>0</v>
      </c>
      <c r="I969" s="14" t="b">
        <f aca="false">FALSE()</f>
        <v>0</v>
      </c>
      <c r="J969" s="4"/>
      <c r="K969" s="4" t="s">
        <v>3917</v>
      </c>
      <c r="L969" s="4" t="s">
        <v>3918</v>
      </c>
      <c r="M969" s="4" t="s">
        <v>3919</v>
      </c>
      <c r="N969" s="6" t="n">
        <v>101938</v>
      </c>
      <c r="O969" s="6" t="n">
        <v>105876</v>
      </c>
      <c r="P969" s="4" t="s">
        <v>46</v>
      </c>
      <c r="Q969" s="6" t="n">
        <v>397500</v>
      </c>
      <c r="R969" s="15" t="n">
        <v>45785</v>
      </c>
      <c r="S969" s="6"/>
      <c r="T969" s="15"/>
      <c r="U969" s="6"/>
      <c r="V969" s="15"/>
      <c r="W969" s="4" t="s">
        <v>58</v>
      </c>
      <c r="X969" s="4" t="s">
        <v>47</v>
      </c>
      <c r="Y969" s="4" t="s">
        <v>3920</v>
      </c>
      <c r="Z969" s="4" t="s">
        <v>2911</v>
      </c>
      <c r="AA969" s="6" t="n">
        <v>0</v>
      </c>
      <c r="AB969" s="6" t="n">
        <v>11439.56</v>
      </c>
      <c r="AC969" s="6" t="n">
        <v>12221.73</v>
      </c>
      <c r="AD969" s="14" t="b">
        <f aca="false">FALSE()</f>
        <v>0</v>
      </c>
    </row>
    <row r="970" customFormat="false" ht="15" hidden="false" customHeight="false" outlineLevel="0" collapsed="false">
      <c r="A970" s="14" t="b">
        <f aca="false">TRUE()</f>
        <v>1</v>
      </c>
      <c r="B970" s="14" t="b">
        <f aca="false">FALSE()</f>
        <v>0</v>
      </c>
      <c r="C970" s="4" t="n">
        <v>2</v>
      </c>
      <c r="D970" s="4"/>
      <c r="E970" s="4"/>
      <c r="F970" s="4"/>
      <c r="G970" s="4" t="n">
        <v>3</v>
      </c>
      <c r="H970" s="14" t="b">
        <f aca="false">FALSE()</f>
        <v>0</v>
      </c>
      <c r="I970" s="14" t="b">
        <f aca="false">FALSE()</f>
        <v>0</v>
      </c>
      <c r="J970" s="4"/>
      <c r="K970" s="4" t="s">
        <v>3921</v>
      </c>
      <c r="L970" s="4" t="s">
        <v>3922</v>
      </c>
      <c r="M970" s="4" t="s">
        <v>3923</v>
      </c>
      <c r="N970" s="6" t="n">
        <v>154043</v>
      </c>
      <c r="O970" s="6" t="n">
        <v>207520</v>
      </c>
      <c r="P970" s="4" t="s">
        <v>46</v>
      </c>
      <c r="Q970" s="6" t="n">
        <v>762500</v>
      </c>
      <c r="R970" s="15" t="n">
        <v>38252</v>
      </c>
      <c r="S970" s="6" t="n">
        <v>772000</v>
      </c>
      <c r="T970" s="15" t="n">
        <v>39353</v>
      </c>
      <c r="U970" s="6"/>
      <c r="V970" s="15"/>
      <c r="W970" s="4" t="s">
        <v>47</v>
      </c>
      <c r="X970" s="4" t="s">
        <v>47</v>
      </c>
      <c r="Y970" s="4" t="s">
        <v>3924</v>
      </c>
      <c r="Z970" s="4" t="s">
        <v>2911</v>
      </c>
      <c r="AA970" s="6" t="n">
        <v>0</v>
      </c>
      <c r="AB970" s="6" t="n">
        <v>20127.36</v>
      </c>
      <c r="AC970" s="6" t="n">
        <v>10526.55</v>
      </c>
      <c r="AD970" s="14" t="b">
        <f aca="false">TRUE()</f>
        <v>1</v>
      </c>
    </row>
    <row r="971" customFormat="false" ht="15" hidden="false" customHeight="false" outlineLevel="0" collapsed="false">
      <c r="A971" s="14" t="b">
        <f aca="false">TRUE()</f>
        <v>1</v>
      </c>
      <c r="B971" s="14" t="b">
        <f aca="false">FALSE()</f>
        <v>0</v>
      </c>
      <c r="C971" s="4" t="n">
        <v>2</v>
      </c>
      <c r="D971" s="4"/>
      <c r="E971" s="4"/>
      <c r="F971" s="4"/>
      <c r="G971" s="4"/>
      <c r="H971" s="14" t="b">
        <f aca="false">TRUE()</f>
        <v>1</v>
      </c>
      <c r="I971" s="14" t="b">
        <f aca="false">FALSE()</f>
        <v>0</v>
      </c>
      <c r="J971" s="4"/>
      <c r="K971" s="4" t="s">
        <v>3925</v>
      </c>
      <c r="L971" s="4" t="s">
        <v>3926</v>
      </c>
      <c r="M971" s="4" t="s">
        <v>3927</v>
      </c>
      <c r="N971" s="6" t="n">
        <v>64180</v>
      </c>
      <c r="O971" s="6" t="n">
        <v>249269</v>
      </c>
      <c r="P971" s="4" t="s">
        <v>46</v>
      </c>
      <c r="Q971" s="6" t="n">
        <v>750000</v>
      </c>
      <c r="R971" s="15" t="n">
        <v>44256</v>
      </c>
      <c r="S971" s="6" t="n">
        <v>450000</v>
      </c>
      <c r="T971" s="15" t="n">
        <v>44363</v>
      </c>
      <c r="U971" s="6" t="n">
        <v>169000</v>
      </c>
      <c r="V971" s="15" t="n">
        <v>45834</v>
      </c>
      <c r="W971" s="4" t="s">
        <v>47</v>
      </c>
      <c r="X971" s="4" t="s">
        <v>47</v>
      </c>
      <c r="Y971" s="4" t="s">
        <v>3928</v>
      </c>
      <c r="Z971" s="4" t="s">
        <v>2911</v>
      </c>
      <c r="AA971" s="6" t="n">
        <v>0</v>
      </c>
      <c r="AB971" s="6" t="n">
        <v>16056</v>
      </c>
      <c r="AC971" s="6" t="n">
        <v>8399.26</v>
      </c>
      <c r="AD971" s="14" t="b">
        <f aca="false">TRUE()</f>
        <v>1</v>
      </c>
    </row>
    <row r="972" customFormat="false" ht="15" hidden="false" customHeight="false" outlineLevel="0" collapsed="false">
      <c r="A972" s="14" t="b">
        <f aca="false">TRUE()</f>
        <v>1</v>
      </c>
      <c r="B972" s="14" t="b">
        <f aca="false">FALSE()</f>
        <v>0</v>
      </c>
      <c r="C972" s="4" t="n">
        <v>3</v>
      </c>
      <c r="D972" s="4"/>
      <c r="E972" s="4"/>
      <c r="F972" s="4"/>
      <c r="G972" s="4"/>
      <c r="H972" s="14" t="b">
        <f aca="false">FALSE()</f>
        <v>0</v>
      </c>
      <c r="I972" s="14" t="b">
        <f aca="false">FALSE()</f>
        <v>0</v>
      </c>
      <c r="J972" s="4"/>
      <c r="K972" s="4" t="s">
        <v>3929</v>
      </c>
      <c r="L972" s="4" t="s">
        <v>3930</v>
      </c>
      <c r="M972" s="4" t="s">
        <v>3931</v>
      </c>
      <c r="N972" s="6" t="n">
        <v>78530</v>
      </c>
      <c r="O972" s="6" t="n">
        <v>38120</v>
      </c>
      <c r="P972" s="4" t="s">
        <v>46</v>
      </c>
      <c r="Q972" s="6" t="n">
        <v>450000</v>
      </c>
      <c r="R972" s="15" t="n">
        <v>45721</v>
      </c>
      <c r="S972" s="6" t="n">
        <v>337500</v>
      </c>
      <c r="T972" s="15" t="n">
        <v>45721</v>
      </c>
      <c r="U972" s="6"/>
      <c r="V972" s="15"/>
      <c r="W972" s="4" t="s">
        <v>47</v>
      </c>
      <c r="X972" s="4" t="s">
        <v>47</v>
      </c>
      <c r="Y972" s="4" t="s">
        <v>3932</v>
      </c>
      <c r="Z972" s="4" t="s">
        <v>2911</v>
      </c>
      <c r="AA972" s="6" t="n">
        <v>0</v>
      </c>
      <c r="AB972" s="6" t="n">
        <v>5762.32</v>
      </c>
      <c r="AC972" s="6" t="n">
        <v>6161.27</v>
      </c>
      <c r="AD972" s="14" t="b">
        <f aca="false">FALSE()</f>
        <v>0</v>
      </c>
    </row>
    <row r="973" customFormat="false" ht="15" hidden="false" customHeight="false" outlineLevel="0" collapsed="false">
      <c r="A973" s="14" t="b">
        <f aca="false">TRUE()</f>
        <v>1</v>
      </c>
      <c r="B973" s="14" t="b">
        <f aca="false">FALSE()</f>
        <v>0</v>
      </c>
      <c r="C973" s="4" t="n">
        <v>2</v>
      </c>
      <c r="D973" s="4"/>
      <c r="E973" s="4"/>
      <c r="F973" s="4"/>
      <c r="G973" s="4"/>
      <c r="H973" s="14" t="b">
        <f aca="false">FALSE()</f>
        <v>0</v>
      </c>
      <c r="I973" s="14" t="b">
        <f aca="false">FALSE()</f>
        <v>0</v>
      </c>
      <c r="J973" s="4"/>
      <c r="K973" s="4" t="s">
        <v>3933</v>
      </c>
      <c r="L973" s="4" t="s">
        <v>3934</v>
      </c>
      <c r="M973" s="4" t="s">
        <v>3935</v>
      </c>
      <c r="N973" s="6" t="n">
        <v>75091</v>
      </c>
      <c r="O973" s="6" t="n">
        <v>19896</v>
      </c>
      <c r="P973" s="4" t="s">
        <v>46</v>
      </c>
      <c r="Q973" s="6" t="n">
        <v>200000</v>
      </c>
      <c r="R973" s="15" t="n">
        <v>45586</v>
      </c>
      <c r="S973" s="6"/>
      <c r="T973" s="15"/>
      <c r="U973" s="6"/>
      <c r="V973" s="15"/>
      <c r="W973" s="4" t="s">
        <v>47</v>
      </c>
      <c r="X973" s="4" t="s">
        <v>47</v>
      </c>
      <c r="Y973" s="4" t="s">
        <v>3936</v>
      </c>
      <c r="Z973" s="4" t="s">
        <v>2911</v>
      </c>
      <c r="AA973" s="6" t="n">
        <v>0</v>
      </c>
      <c r="AB973" s="6" t="n">
        <v>5400.68</v>
      </c>
      <c r="AC973" s="6" t="n">
        <v>5775.23</v>
      </c>
      <c r="AD973" s="14" t="b">
        <f aca="false">FALSE()</f>
        <v>0</v>
      </c>
    </row>
    <row r="974" customFormat="false" ht="15" hidden="false" customHeight="false" outlineLevel="0" collapsed="false">
      <c r="A974" s="14" t="b">
        <f aca="false">TRUE()</f>
        <v>1</v>
      </c>
      <c r="B974" s="14" t="b">
        <f aca="false">FALSE()</f>
        <v>0</v>
      </c>
      <c r="C974" s="4" t="n">
        <v>3</v>
      </c>
      <c r="D974" s="4"/>
      <c r="E974" s="4"/>
      <c r="F974" s="4"/>
      <c r="G974" s="4"/>
      <c r="H974" s="14" t="b">
        <f aca="false">FALSE()</f>
        <v>0</v>
      </c>
      <c r="I974" s="14" t="b">
        <f aca="false">FALSE()</f>
        <v>0</v>
      </c>
      <c r="J974" s="4"/>
      <c r="K974" s="4" t="s">
        <v>3937</v>
      </c>
      <c r="L974" s="4" t="s">
        <v>3938</v>
      </c>
      <c r="M974" s="4" t="s">
        <v>3939</v>
      </c>
      <c r="N974" s="6" t="n">
        <v>99664</v>
      </c>
      <c r="O974" s="6" t="n">
        <v>444486</v>
      </c>
      <c r="P974" s="4" t="s">
        <v>46</v>
      </c>
      <c r="Q974" s="6" t="n">
        <v>450000</v>
      </c>
      <c r="R974" s="15" t="n">
        <v>44256</v>
      </c>
      <c r="S974" s="6" t="n">
        <v>1199900</v>
      </c>
      <c r="T974" s="15" t="n">
        <v>44728</v>
      </c>
      <c r="U974" s="6" t="n">
        <v>250000</v>
      </c>
      <c r="V974" s="15" t="n">
        <v>44847</v>
      </c>
      <c r="W974" s="4" t="s">
        <v>58</v>
      </c>
      <c r="X974" s="4" t="s">
        <v>47</v>
      </c>
      <c r="Y974" s="4" t="s">
        <v>3940</v>
      </c>
      <c r="Z974" s="4" t="s">
        <v>2911</v>
      </c>
      <c r="AA974" s="6" t="n">
        <v>0</v>
      </c>
      <c r="AB974" s="6" t="n">
        <v>31153.16</v>
      </c>
      <c r="AC974" s="6" t="n">
        <v>33266</v>
      </c>
      <c r="AD974" s="14" t="b">
        <f aca="false">FALSE()</f>
        <v>0</v>
      </c>
    </row>
    <row r="975" customFormat="false" ht="15" hidden="false" customHeight="false" outlineLevel="0" collapsed="false">
      <c r="A975" s="14" t="b">
        <f aca="false">TRUE()</f>
        <v>1</v>
      </c>
      <c r="B975" s="14" t="b">
        <f aca="false">FALSE()</f>
        <v>0</v>
      </c>
      <c r="C975" s="4" t="n">
        <v>3</v>
      </c>
      <c r="D975" s="4"/>
      <c r="E975" s="4"/>
      <c r="F975" s="4"/>
      <c r="G975" s="4"/>
      <c r="H975" s="14" t="b">
        <f aca="false">FALSE()</f>
        <v>0</v>
      </c>
      <c r="I975" s="14" t="b">
        <f aca="false">FALSE()</f>
        <v>0</v>
      </c>
      <c r="J975" s="4"/>
      <c r="K975" s="4" t="s">
        <v>3941</v>
      </c>
      <c r="L975" s="4" t="s">
        <v>3942</v>
      </c>
      <c r="M975" s="4" t="s">
        <v>3943</v>
      </c>
      <c r="N975" s="6" t="n">
        <v>74754</v>
      </c>
      <c r="O975" s="6" t="n">
        <v>79486</v>
      </c>
      <c r="P975" s="4" t="s">
        <v>46</v>
      </c>
      <c r="Q975" s="6" t="n">
        <v>275000</v>
      </c>
      <c r="R975" s="15" t="n">
        <v>42580</v>
      </c>
      <c r="S975" s="6" t="n">
        <v>350000</v>
      </c>
      <c r="T975" s="15" t="n">
        <v>43833</v>
      </c>
      <c r="U975" s="6"/>
      <c r="V975" s="15"/>
      <c r="W975" s="4" t="s">
        <v>47</v>
      </c>
      <c r="X975" s="4" t="s">
        <v>58</v>
      </c>
      <c r="Y975" s="4" t="s">
        <v>3944</v>
      </c>
      <c r="Z975" s="4" t="s">
        <v>2911</v>
      </c>
      <c r="AA975" s="6" t="n">
        <v>0</v>
      </c>
      <c r="AB975" s="6" t="n">
        <v>8372.38</v>
      </c>
      <c r="AC975" s="6" t="n">
        <v>8947.52</v>
      </c>
      <c r="AD975" s="14" t="b">
        <f aca="false">FALSE()</f>
        <v>0</v>
      </c>
    </row>
    <row r="976" customFormat="false" ht="15" hidden="false" customHeight="false" outlineLevel="0" collapsed="false">
      <c r="A976" s="14" t="b">
        <f aca="false">TRUE()</f>
        <v>1</v>
      </c>
      <c r="B976" s="14" t="b">
        <f aca="false">FALSE()</f>
        <v>0</v>
      </c>
      <c r="C976" s="4" t="n">
        <v>2</v>
      </c>
      <c r="D976" s="4"/>
      <c r="E976" s="4"/>
      <c r="F976" s="4"/>
      <c r="G976" s="4"/>
      <c r="H976" s="14" t="b">
        <f aca="false">FALSE()</f>
        <v>0</v>
      </c>
      <c r="I976" s="14" t="b">
        <f aca="false">FALSE()</f>
        <v>0</v>
      </c>
      <c r="J976" s="4"/>
      <c r="K976" s="4" t="s">
        <v>3945</v>
      </c>
      <c r="L976" s="4" t="s">
        <v>3946</v>
      </c>
      <c r="M976" s="4" t="s">
        <v>3947</v>
      </c>
      <c r="N976" s="6" t="n">
        <v>149507</v>
      </c>
      <c r="O976" s="6" t="n">
        <v>130590</v>
      </c>
      <c r="P976" s="4" t="s">
        <v>46</v>
      </c>
      <c r="Q976" s="6"/>
      <c r="R976" s="15"/>
      <c r="S976" s="6" t="n">
        <v>225000</v>
      </c>
      <c r="T976" s="15" t="n">
        <v>40406</v>
      </c>
      <c r="U976" s="6"/>
      <c r="V976" s="15"/>
      <c r="W976" s="4" t="s">
        <v>47</v>
      </c>
      <c r="X976" s="4" t="s">
        <v>47</v>
      </c>
      <c r="Y976" s="4" t="s">
        <v>3948</v>
      </c>
      <c r="Z976" s="4" t="s">
        <v>2911</v>
      </c>
      <c r="AA976" s="6" t="n">
        <v>0</v>
      </c>
      <c r="AB976" s="6" t="n">
        <v>15119.84</v>
      </c>
      <c r="AC976" s="6" t="n">
        <v>7910.12</v>
      </c>
      <c r="AD976" s="14" t="b">
        <f aca="false">TRUE()</f>
        <v>1</v>
      </c>
    </row>
    <row r="977" customFormat="false" ht="15" hidden="false" customHeight="false" outlineLevel="0" collapsed="false">
      <c r="A977" s="14" t="b">
        <f aca="false">TRUE()</f>
        <v>1</v>
      </c>
      <c r="B977" s="14" t="b">
        <f aca="false">FALSE()</f>
        <v>0</v>
      </c>
      <c r="C977" s="4" t="n">
        <v>2</v>
      </c>
      <c r="D977" s="4"/>
      <c r="E977" s="4"/>
      <c r="F977" s="4"/>
      <c r="G977" s="4"/>
      <c r="H977" s="14" t="b">
        <f aca="false">FALSE()</f>
        <v>0</v>
      </c>
      <c r="I977" s="14" t="b">
        <f aca="false">FALSE()</f>
        <v>0</v>
      </c>
      <c r="J977" s="4"/>
      <c r="K977" s="4" t="s">
        <v>3949</v>
      </c>
      <c r="L977" s="4" t="s">
        <v>3950</v>
      </c>
      <c r="M977" s="4" t="s">
        <v>3951</v>
      </c>
      <c r="N977" s="6" t="n">
        <v>95335</v>
      </c>
      <c r="O977" s="6" t="n">
        <v>174527</v>
      </c>
      <c r="P977" s="4" t="s">
        <v>46</v>
      </c>
      <c r="Q977" s="6" t="n">
        <v>580000</v>
      </c>
      <c r="R977" s="15" t="n">
        <v>40848</v>
      </c>
      <c r="S977" s="6" t="n">
        <v>600000</v>
      </c>
      <c r="T977" s="15" t="n">
        <v>45384</v>
      </c>
      <c r="U977" s="6"/>
      <c r="V977" s="15"/>
      <c r="W977" s="4" t="s">
        <v>47</v>
      </c>
      <c r="X977" s="4" t="s">
        <v>58</v>
      </c>
      <c r="Y977" s="4" t="s">
        <v>3952</v>
      </c>
      <c r="Z977" s="4" t="s">
        <v>2911</v>
      </c>
      <c r="AA977" s="6" t="n">
        <v>0</v>
      </c>
      <c r="AB977" s="6" t="n">
        <v>14991.86</v>
      </c>
      <c r="AC977" s="6" t="n">
        <v>7843.25</v>
      </c>
      <c r="AD977" s="14" t="b">
        <f aca="false">TRUE()</f>
        <v>1</v>
      </c>
    </row>
    <row r="978" customFormat="false" ht="15" hidden="false" customHeight="false" outlineLevel="0" collapsed="false">
      <c r="A978" s="14" t="b">
        <f aca="false">TRUE()</f>
        <v>1</v>
      </c>
      <c r="B978" s="14" t="b">
        <f aca="false">FALSE()</f>
        <v>0</v>
      </c>
      <c r="C978" s="4" t="n">
        <v>2</v>
      </c>
      <c r="D978" s="4"/>
      <c r="E978" s="4"/>
      <c r="F978" s="4"/>
      <c r="G978" s="4"/>
      <c r="H978" s="14" t="b">
        <f aca="false">TRUE()</f>
        <v>1</v>
      </c>
      <c r="I978" s="14" t="b">
        <f aca="false">FALSE()</f>
        <v>0</v>
      </c>
      <c r="J978" s="4"/>
      <c r="K978" s="4" t="s">
        <v>3953</v>
      </c>
      <c r="L978" s="4" t="s">
        <v>3954</v>
      </c>
      <c r="M978" s="4" t="s">
        <v>3955</v>
      </c>
      <c r="N978" s="6" t="n">
        <v>152966</v>
      </c>
      <c r="O978" s="6" t="n">
        <v>350696</v>
      </c>
      <c r="P978" s="4" t="s">
        <v>46</v>
      </c>
      <c r="Q978" s="6" t="n">
        <v>664000</v>
      </c>
      <c r="R978" s="15" t="n">
        <v>39380</v>
      </c>
      <c r="S978" s="6" t="n">
        <v>1391000</v>
      </c>
      <c r="T978" s="15" t="n">
        <v>45520</v>
      </c>
      <c r="U978" s="6" t="n">
        <v>1100000</v>
      </c>
      <c r="V978" s="15" t="n">
        <v>44956</v>
      </c>
      <c r="W978" s="4" t="s">
        <v>47</v>
      </c>
      <c r="X978" s="4" t="s">
        <v>47</v>
      </c>
      <c r="Y978" s="4" t="s">
        <v>3956</v>
      </c>
      <c r="Z978" s="4" t="s">
        <v>2911</v>
      </c>
      <c r="AA978" s="6" t="n">
        <v>0</v>
      </c>
      <c r="AB978" s="6" t="n">
        <v>27000.2</v>
      </c>
      <c r="AC978" s="6" t="n">
        <v>14117.6</v>
      </c>
      <c r="AD978" s="14" t="b">
        <f aca="false">TRUE()</f>
        <v>1</v>
      </c>
    </row>
    <row r="979" customFormat="false" ht="15" hidden="false" customHeight="false" outlineLevel="0" collapsed="false">
      <c r="A979" s="14" t="b">
        <f aca="false">TRUE()</f>
        <v>1</v>
      </c>
      <c r="B979" s="14" t="b">
        <f aca="false">FALSE()</f>
        <v>0</v>
      </c>
      <c r="C979" s="4" t="n">
        <v>3</v>
      </c>
      <c r="D979" s="4"/>
      <c r="E979" s="4"/>
      <c r="F979" s="4"/>
      <c r="G979" s="4"/>
      <c r="H979" s="14" t="b">
        <f aca="false">FALSE()</f>
        <v>0</v>
      </c>
      <c r="I979" s="14" t="b">
        <f aca="false">FALSE()</f>
        <v>0</v>
      </c>
      <c r="J979" s="4"/>
      <c r="K979" s="4" t="s">
        <v>3957</v>
      </c>
      <c r="L979" s="4" t="s">
        <v>3958</v>
      </c>
      <c r="M979" s="4" t="s">
        <v>3959</v>
      </c>
      <c r="N979" s="6" t="n">
        <v>72045</v>
      </c>
      <c r="O979" s="6" t="n">
        <v>134289</v>
      </c>
      <c r="P979" s="4" t="s">
        <v>46</v>
      </c>
      <c r="Q979" s="6" t="n">
        <v>570000</v>
      </c>
      <c r="R979" s="15" t="n">
        <v>44719</v>
      </c>
      <c r="S979" s="6"/>
      <c r="T979" s="15"/>
      <c r="U979" s="6"/>
      <c r="V979" s="15"/>
      <c r="W979" s="4" t="s">
        <v>47</v>
      </c>
      <c r="X979" s="4" t="s">
        <v>47</v>
      </c>
      <c r="Y979" s="4" t="s">
        <v>3960</v>
      </c>
      <c r="Z979" s="4" t="s">
        <v>2911</v>
      </c>
      <c r="AA979" s="6" t="n">
        <v>0</v>
      </c>
      <c r="AB979" s="6" t="n">
        <v>11354.8</v>
      </c>
      <c r="AC979" s="6" t="n">
        <v>12131.25</v>
      </c>
      <c r="AD979" s="14" t="b">
        <f aca="false">FALSE()</f>
        <v>0</v>
      </c>
    </row>
    <row r="980" customFormat="false" ht="15" hidden="false" customHeight="false" outlineLevel="0" collapsed="false">
      <c r="A980" s="14" t="b">
        <f aca="false">TRUE()</f>
        <v>1</v>
      </c>
      <c r="B980" s="14" t="b">
        <f aca="false">FALSE()</f>
        <v>0</v>
      </c>
      <c r="C980" s="4" t="n">
        <v>3</v>
      </c>
      <c r="D980" s="4"/>
      <c r="E980" s="4"/>
      <c r="F980" s="4"/>
      <c r="G980" s="4"/>
      <c r="H980" s="14" t="b">
        <f aca="false">FALSE()</f>
        <v>0</v>
      </c>
      <c r="I980" s="14" t="b">
        <f aca="false">FALSE()</f>
        <v>0</v>
      </c>
      <c r="J980" s="4"/>
      <c r="K980" s="4" t="s">
        <v>3961</v>
      </c>
      <c r="L980" s="4" t="s">
        <v>3962</v>
      </c>
      <c r="M980" s="4" t="s">
        <v>3963</v>
      </c>
      <c r="N980" s="6" t="n">
        <v>61308</v>
      </c>
      <c r="O980" s="6" t="n">
        <v>183893</v>
      </c>
      <c r="P980" s="4" t="s">
        <v>46</v>
      </c>
      <c r="Q980" s="6" t="n">
        <v>670000</v>
      </c>
      <c r="R980" s="15" t="n">
        <v>39526</v>
      </c>
      <c r="S980" s="6"/>
      <c r="T980" s="15"/>
      <c r="U980" s="6"/>
      <c r="V980" s="15"/>
      <c r="W980" s="4" t="s">
        <v>58</v>
      </c>
      <c r="X980" s="4" t="s">
        <v>58</v>
      </c>
      <c r="Y980" s="4" t="s">
        <v>3964</v>
      </c>
      <c r="Z980" s="4" t="s">
        <v>2911</v>
      </c>
      <c r="AA980" s="6" t="n">
        <v>0</v>
      </c>
      <c r="AB980" s="6" t="n">
        <v>13122</v>
      </c>
      <c r="AC980" s="6" t="n">
        <v>14017.74</v>
      </c>
      <c r="AD980" s="14" t="b">
        <f aca="false">FALSE()</f>
        <v>0</v>
      </c>
    </row>
    <row r="981" customFormat="false" ht="15" hidden="false" customHeight="false" outlineLevel="0" collapsed="false">
      <c r="A981" s="14" t="b">
        <f aca="false">TRUE()</f>
        <v>1</v>
      </c>
      <c r="B981" s="14" t="b">
        <f aca="false">FALSE()</f>
        <v>0</v>
      </c>
      <c r="C981" s="4" t="n">
        <v>2</v>
      </c>
      <c r="D981" s="4"/>
      <c r="E981" s="4"/>
      <c r="F981" s="4"/>
      <c r="G981" s="4" t="n">
        <v>3</v>
      </c>
      <c r="H981" s="14" t="b">
        <f aca="false">TRUE()</f>
        <v>1</v>
      </c>
      <c r="I981" s="14" t="b">
        <f aca="false">FALSE()</f>
        <v>0</v>
      </c>
      <c r="J981" s="4"/>
      <c r="K981" s="4" t="s">
        <v>3965</v>
      </c>
      <c r="L981" s="4" t="s">
        <v>3966</v>
      </c>
      <c r="M981" s="4" t="s">
        <v>3967</v>
      </c>
      <c r="N981" s="6" t="n">
        <v>62918</v>
      </c>
      <c r="O981" s="6" t="n">
        <v>127991</v>
      </c>
      <c r="P981" s="4" t="s">
        <v>46</v>
      </c>
      <c r="Q981" s="6"/>
      <c r="R981" s="15"/>
      <c r="S981" s="6" t="n">
        <v>150000</v>
      </c>
      <c r="T981" s="15" t="n">
        <v>43259</v>
      </c>
      <c r="U981" s="6"/>
      <c r="V981" s="15"/>
      <c r="W981" s="4" t="s">
        <v>47</v>
      </c>
      <c r="X981" s="4" t="s">
        <v>47</v>
      </c>
      <c r="Y981" s="4" t="s">
        <v>3968</v>
      </c>
      <c r="Z981" s="4" t="s">
        <v>2911</v>
      </c>
      <c r="AA981" s="6" t="n">
        <v>0</v>
      </c>
      <c r="AB981" s="6" t="n">
        <v>10929.74</v>
      </c>
      <c r="AC981" s="6" t="n">
        <v>5720.79</v>
      </c>
      <c r="AD981" s="14" t="b">
        <f aca="false">TRUE()</f>
        <v>1</v>
      </c>
    </row>
    <row r="982" customFormat="false" ht="15" hidden="false" customHeight="false" outlineLevel="0" collapsed="false">
      <c r="A982" s="14" t="b">
        <f aca="false">TRUE()</f>
        <v>1</v>
      </c>
      <c r="B982" s="14" t="b">
        <f aca="false">FALSE()</f>
        <v>0</v>
      </c>
      <c r="C982" s="4" t="n">
        <v>2</v>
      </c>
      <c r="D982" s="4"/>
      <c r="E982" s="4"/>
      <c r="F982" s="4"/>
      <c r="G982" s="4"/>
      <c r="H982" s="14" t="b">
        <f aca="false">FALSE()</f>
        <v>0</v>
      </c>
      <c r="I982" s="14" t="b">
        <f aca="false">FALSE()</f>
        <v>0</v>
      </c>
      <c r="J982" s="4"/>
      <c r="K982" s="4" t="s">
        <v>3969</v>
      </c>
      <c r="L982" s="4" t="s">
        <v>3970</v>
      </c>
      <c r="M982" s="4" t="s">
        <v>3971</v>
      </c>
      <c r="N982" s="6" t="n">
        <v>20690</v>
      </c>
      <c r="O982" s="6" t="n">
        <v>99458</v>
      </c>
      <c r="P982" s="4" t="s">
        <v>46</v>
      </c>
      <c r="Q982" s="6" t="n">
        <v>350000</v>
      </c>
      <c r="R982" s="15" t="n">
        <v>45077</v>
      </c>
      <c r="S982" s="6" t="n">
        <v>320000</v>
      </c>
      <c r="T982" s="15" t="n">
        <v>45744</v>
      </c>
      <c r="U982" s="6"/>
      <c r="V982" s="15"/>
      <c r="W982" s="4" t="s">
        <v>47</v>
      </c>
      <c r="X982" s="4" t="s">
        <v>47</v>
      </c>
      <c r="Y982" s="4" t="s">
        <v>3972</v>
      </c>
      <c r="Z982" s="4" t="s">
        <v>2911</v>
      </c>
      <c r="AA982" s="6" t="n">
        <v>0</v>
      </c>
      <c r="AB982" s="6" t="n">
        <v>5962.56</v>
      </c>
      <c r="AC982" s="6" t="n">
        <v>3125.44</v>
      </c>
      <c r="AD982" s="14" t="b">
        <f aca="false">TRUE()</f>
        <v>1</v>
      </c>
    </row>
    <row r="983" customFormat="false" ht="15" hidden="false" customHeight="false" outlineLevel="0" collapsed="false">
      <c r="A983" s="14" t="b">
        <f aca="false">TRUE()</f>
        <v>1</v>
      </c>
      <c r="B983" s="14" t="b">
        <f aca="false">FALSE()</f>
        <v>0</v>
      </c>
      <c r="C983" s="4" t="n">
        <v>2</v>
      </c>
      <c r="D983" s="4"/>
      <c r="E983" s="4"/>
      <c r="F983" s="4"/>
      <c r="G983" s="4"/>
      <c r="H983" s="14" t="b">
        <f aca="false">FALSE()</f>
        <v>0</v>
      </c>
      <c r="I983" s="14" t="b">
        <f aca="false">FALSE()</f>
        <v>0</v>
      </c>
      <c r="J983" s="4"/>
      <c r="K983" s="4" t="s">
        <v>3973</v>
      </c>
      <c r="L983" s="4" t="s">
        <v>3974</v>
      </c>
      <c r="M983" s="4" t="s">
        <v>3975</v>
      </c>
      <c r="N983" s="6" t="n">
        <v>2807</v>
      </c>
      <c r="O983" s="6" t="n">
        <v>123172</v>
      </c>
      <c r="P983" s="4" t="s">
        <v>46</v>
      </c>
      <c r="Q983" s="6" t="n">
        <v>355000</v>
      </c>
      <c r="R983" s="15" t="n">
        <v>43546</v>
      </c>
      <c r="S983" s="6"/>
      <c r="T983" s="15"/>
      <c r="U983" s="6"/>
      <c r="V983" s="15"/>
      <c r="W983" s="4" t="s">
        <v>47</v>
      </c>
      <c r="X983" s="4" t="s">
        <v>58</v>
      </c>
      <c r="Y983" s="4" t="s">
        <v>3976</v>
      </c>
      <c r="Z983" s="4" t="s">
        <v>2911</v>
      </c>
      <c r="AA983" s="6" t="n">
        <v>0</v>
      </c>
      <c r="AB983" s="6" t="n">
        <v>6754.42</v>
      </c>
      <c r="AC983" s="6" t="n">
        <v>3539.18</v>
      </c>
      <c r="AD983" s="14" t="b">
        <f aca="false">TRUE()</f>
        <v>1</v>
      </c>
    </row>
    <row r="984" customFormat="false" ht="15" hidden="false" customHeight="false" outlineLevel="0" collapsed="false">
      <c r="A984" s="14" t="b">
        <f aca="false">TRUE()</f>
        <v>1</v>
      </c>
      <c r="B984" s="14" t="b">
        <f aca="false">FALSE()</f>
        <v>0</v>
      </c>
      <c r="C984" s="4" t="n">
        <v>2</v>
      </c>
      <c r="D984" s="4"/>
      <c r="E984" s="4"/>
      <c r="F984" s="4"/>
      <c r="G984" s="4"/>
      <c r="H984" s="14" t="b">
        <f aca="false">FALSE()</f>
        <v>0</v>
      </c>
      <c r="I984" s="14" t="b">
        <f aca="false">FALSE()</f>
        <v>0</v>
      </c>
      <c r="J984" s="4"/>
      <c r="K984" s="4" t="s">
        <v>3977</v>
      </c>
      <c r="L984" s="4" t="s">
        <v>3978</v>
      </c>
      <c r="M984" s="4" t="s">
        <v>3979</v>
      </c>
      <c r="N984" s="6" t="n">
        <v>59155</v>
      </c>
      <c r="O984" s="6" t="n">
        <v>77147</v>
      </c>
      <c r="P984" s="4" t="s">
        <v>46</v>
      </c>
      <c r="Q984" s="6" t="n">
        <v>385000</v>
      </c>
      <c r="R984" s="15" t="n">
        <v>45692</v>
      </c>
      <c r="S984" s="6"/>
      <c r="T984" s="15"/>
      <c r="U984" s="6"/>
      <c r="V984" s="15"/>
      <c r="W984" s="4" t="s">
        <v>47</v>
      </c>
      <c r="X984" s="4" t="s">
        <v>47</v>
      </c>
      <c r="Y984" s="4" t="s">
        <v>3980</v>
      </c>
      <c r="Z984" s="4" t="s">
        <v>2911</v>
      </c>
      <c r="AA984" s="6" t="n">
        <v>0</v>
      </c>
      <c r="AB984" s="6" t="n">
        <v>7345.42</v>
      </c>
      <c r="AC984" s="6" t="n">
        <v>7851.23</v>
      </c>
      <c r="AD984" s="14" t="b">
        <f aca="false">FALSE()</f>
        <v>0</v>
      </c>
    </row>
    <row r="985" customFormat="false" ht="15" hidden="false" customHeight="false" outlineLevel="0" collapsed="false">
      <c r="A985" s="14" t="b">
        <f aca="false">TRUE()</f>
        <v>1</v>
      </c>
      <c r="B985" s="14" t="b">
        <f aca="false">FALSE()</f>
        <v>0</v>
      </c>
      <c r="C985" s="4" t="n">
        <v>2</v>
      </c>
      <c r="D985" s="4"/>
      <c r="E985" s="4"/>
      <c r="F985" s="4"/>
      <c r="G985" s="4"/>
      <c r="H985" s="14" t="b">
        <f aca="false">FALSE()</f>
        <v>0</v>
      </c>
      <c r="I985" s="14" t="b">
        <f aca="false">FALSE()</f>
        <v>0</v>
      </c>
      <c r="J985" s="4"/>
      <c r="K985" s="4" t="s">
        <v>3492</v>
      </c>
      <c r="L985" s="4" t="s">
        <v>3981</v>
      </c>
      <c r="M985" s="4" t="s">
        <v>3982</v>
      </c>
      <c r="N985" s="6" t="n">
        <v>6277</v>
      </c>
      <c r="O985" s="6" t="n">
        <v>18699</v>
      </c>
      <c r="P985" s="4" t="s">
        <v>46</v>
      </c>
      <c r="Q985" s="6" t="n">
        <v>123000</v>
      </c>
      <c r="R985" s="15" t="n">
        <v>45099</v>
      </c>
      <c r="S985" s="6" t="n">
        <v>125000</v>
      </c>
      <c r="T985" s="15" t="n">
        <v>45099</v>
      </c>
      <c r="U985" s="6"/>
      <c r="V985" s="15"/>
      <c r="W985" s="4" t="s">
        <v>47</v>
      </c>
      <c r="X985" s="4" t="s">
        <v>58</v>
      </c>
      <c r="Y985" s="4" t="s">
        <v>3983</v>
      </c>
      <c r="Z985" s="4" t="s">
        <v>2911</v>
      </c>
      <c r="AA985" s="6" t="n">
        <v>0</v>
      </c>
      <c r="AB985" s="6" t="n">
        <v>1429.9</v>
      </c>
      <c r="AC985" s="6" t="n">
        <v>757.12</v>
      </c>
      <c r="AD985" s="14" t="b">
        <f aca="false">TRUE()</f>
        <v>1</v>
      </c>
    </row>
    <row r="986" customFormat="false" ht="15" hidden="false" customHeight="false" outlineLevel="0" collapsed="false">
      <c r="A986" s="14" t="b">
        <f aca="false">TRUE()</f>
        <v>1</v>
      </c>
      <c r="B986" s="14" t="b">
        <f aca="false">FALSE()</f>
        <v>0</v>
      </c>
      <c r="C986" s="4" t="n">
        <v>2</v>
      </c>
      <c r="D986" s="4"/>
      <c r="E986" s="4"/>
      <c r="F986" s="4"/>
      <c r="G986" s="4"/>
      <c r="H986" s="14" t="b">
        <f aca="false">FALSE()</f>
        <v>0</v>
      </c>
      <c r="I986" s="14" t="b">
        <f aca="false">FALSE()</f>
        <v>0</v>
      </c>
      <c r="J986" s="4"/>
      <c r="K986" s="4" t="s">
        <v>3492</v>
      </c>
      <c r="L986" s="4" t="s">
        <v>3984</v>
      </c>
      <c r="M986" s="4" t="s">
        <v>3985</v>
      </c>
      <c r="N986" s="6" t="n">
        <v>6277</v>
      </c>
      <c r="O986" s="6" t="n">
        <v>18699</v>
      </c>
      <c r="P986" s="4" t="s">
        <v>46</v>
      </c>
      <c r="Q986" s="6" t="n">
        <v>112500</v>
      </c>
      <c r="R986" s="15" t="n">
        <v>45331</v>
      </c>
      <c r="S986" s="6" t="n">
        <v>118500</v>
      </c>
      <c r="T986" s="15" t="n">
        <v>45331</v>
      </c>
      <c r="U986" s="6"/>
      <c r="V986" s="15"/>
      <c r="W986" s="4" t="s">
        <v>47</v>
      </c>
      <c r="X986" s="4" t="s">
        <v>58</v>
      </c>
      <c r="Y986" s="4" t="s">
        <v>3986</v>
      </c>
      <c r="Z986" s="4" t="s">
        <v>2911</v>
      </c>
      <c r="AA986" s="6" t="n">
        <v>0</v>
      </c>
      <c r="AB986" s="6" t="n">
        <v>1429.9</v>
      </c>
      <c r="AC986" s="6" t="n">
        <v>757.12</v>
      </c>
      <c r="AD986" s="14" t="b">
        <f aca="false">TRUE()</f>
        <v>1</v>
      </c>
    </row>
    <row r="987" customFormat="false" ht="15" hidden="false" customHeight="false" outlineLevel="0" collapsed="false">
      <c r="A987" s="14" t="b">
        <f aca="false">TRUE()</f>
        <v>1</v>
      </c>
      <c r="B987" s="14" t="b">
        <f aca="false">FALSE()</f>
        <v>0</v>
      </c>
      <c r="C987" s="4" t="n">
        <v>2</v>
      </c>
      <c r="D987" s="4"/>
      <c r="E987" s="4"/>
      <c r="F987" s="4"/>
      <c r="G987" s="4"/>
      <c r="H987" s="14" t="b">
        <f aca="false">FALSE()</f>
        <v>0</v>
      </c>
      <c r="I987" s="14" t="b">
        <f aca="false">FALSE()</f>
        <v>0</v>
      </c>
      <c r="J987" s="4"/>
      <c r="K987" s="4" t="s">
        <v>3987</v>
      </c>
      <c r="L987" s="4" t="s">
        <v>3988</v>
      </c>
      <c r="M987" s="4" t="s">
        <v>3989</v>
      </c>
      <c r="N987" s="6" t="n">
        <v>12401</v>
      </c>
      <c r="O987" s="6" t="n">
        <v>37116</v>
      </c>
      <c r="P987" s="4" t="s">
        <v>46</v>
      </c>
      <c r="Q987" s="6" t="n">
        <v>122000</v>
      </c>
      <c r="R987" s="15" t="n">
        <v>44007</v>
      </c>
      <c r="S987" s="6"/>
      <c r="T987" s="15"/>
      <c r="U987" s="6"/>
      <c r="V987" s="15"/>
      <c r="W987" s="4" t="s">
        <v>47</v>
      </c>
      <c r="X987" s="4" t="s">
        <v>58</v>
      </c>
      <c r="Y987" s="4" t="s">
        <v>3990</v>
      </c>
      <c r="Z987" s="4" t="s">
        <v>2911</v>
      </c>
      <c r="AA987" s="6" t="n">
        <v>0</v>
      </c>
      <c r="AB987" s="6" t="n">
        <v>2376.9</v>
      </c>
      <c r="AC987" s="6" t="n">
        <v>1251.93</v>
      </c>
      <c r="AD987" s="14" t="b">
        <f aca="false">TRUE()</f>
        <v>1</v>
      </c>
    </row>
    <row r="988" customFormat="false" ht="15" hidden="false" customHeight="false" outlineLevel="0" collapsed="false">
      <c r="A988" s="14" t="b">
        <f aca="false">TRUE()</f>
        <v>1</v>
      </c>
      <c r="B988" s="14" t="b">
        <f aca="false">FALSE()</f>
        <v>0</v>
      </c>
      <c r="C988" s="4" t="n">
        <v>2</v>
      </c>
      <c r="D988" s="4"/>
      <c r="E988" s="4"/>
      <c r="F988" s="4"/>
      <c r="G988" s="4"/>
      <c r="H988" s="14" t="b">
        <f aca="false">FALSE()</f>
        <v>0</v>
      </c>
      <c r="I988" s="14" t="b">
        <f aca="false">FALSE()</f>
        <v>0</v>
      </c>
      <c r="J988" s="4"/>
      <c r="K988" s="4" t="s">
        <v>3991</v>
      </c>
      <c r="L988" s="4" t="s">
        <v>3992</v>
      </c>
      <c r="M988" s="4" t="s">
        <v>3993</v>
      </c>
      <c r="N988" s="6" t="n">
        <v>61613</v>
      </c>
      <c r="O988" s="6" t="n">
        <v>249715</v>
      </c>
      <c r="P988" s="4" t="s">
        <v>46</v>
      </c>
      <c r="Q988" s="6" t="n">
        <v>648000</v>
      </c>
      <c r="R988" s="15" t="n">
        <v>37817</v>
      </c>
      <c r="S988" s="6" t="n">
        <v>747100</v>
      </c>
      <c r="T988" s="15" t="n">
        <v>44112</v>
      </c>
      <c r="U988" s="6" t="n">
        <v>231000</v>
      </c>
      <c r="V988" s="15" t="n">
        <v>45589</v>
      </c>
      <c r="W988" s="4" t="s">
        <v>47</v>
      </c>
      <c r="X988" s="4" t="s">
        <v>58</v>
      </c>
      <c r="Y988" s="4" t="s">
        <v>3994</v>
      </c>
      <c r="Z988" s="4" t="s">
        <v>2911</v>
      </c>
      <c r="AA988" s="6" t="n">
        <v>0</v>
      </c>
      <c r="AB988" s="6" t="n">
        <v>17584.22</v>
      </c>
      <c r="AC988" s="6" t="n">
        <v>9197.75</v>
      </c>
      <c r="AD988" s="14" t="b">
        <f aca="false">TRUE()</f>
        <v>1</v>
      </c>
    </row>
    <row r="989" customFormat="false" ht="15" hidden="false" customHeight="false" outlineLevel="0" collapsed="false">
      <c r="A989" s="14" t="b">
        <f aca="false">TRUE()</f>
        <v>1</v>
      </c>
      <c r="B989" s="14" t="b">
        <f aca="false">FALSE()</f>
        <v>0</v>
      </c>
      <c r="C989" s="4" t="n">
        <v>2</v>
      </c>
      <c r="D989" s="4"/>
      <c r="E989" s="4"/>
      <c r="F989" s="4"/>
      <c r="G989" s="4"/>
      <c r="H989" s="14" t="b">
        <f aca="false">FALSE()</f>
        <v>0</v>
      </c>
      <c r="I989" s="14" t="b">
        <f aca="false">FALSE()</f>
        <v>0</v>
      </c>
      <c r="J989" s="4"/>
      <c r="K989" s="4" t="s">
        <v>3995</v>
      </c>
      <c r="L989" s="4" t="s">
        <v>3996</v>
      </c>
      <c r="M989" s="4" t="s">
        <v>3997</v>
      </c>
      <c r="N989" s="6" t="n">
        <v>37246</v>
      </c>
      <c r="O989" s="6" t="n">
        <v>49843</v>
      </c>
      <c r="P989" s="4" t="s">
        <v>46</v>
      </c>
      <c r="Q989" s="6" t="n">
        <v>200000</v>
      </c>
      <c r="R989" s="15" t="n">
        <v>45453</v>
      </c>
      <c r="S989" s="6" t="n">
        <v>480000</v>
      </c>
      <c r="T989" s="15" t="n">
        <v>45807</v>
      </c>
      <c r="U989" s="6"/>
      <c r="V989" s="15"/>
      <c r="W989" s="4" t="s">
        <v>58</v>
      </c>
      <c r="X989" s="4" t="s">
        <v>58</v>
      </c>
      <c r="Y989" s="4" t="s">
        <v>3998</v>
      </c>
      <c r="Z989" s="4" t="s">
        <v>2940</v>
      </c>
      <c r="AA989" s="6" t="n">
        <v>0</v>
      </c>
      <c r="AB989" s="6" t="n">
        <v>5140.24</v>
      </c>
      <c r="AC989" s="6" t="n">
        <v>2695.78</v>
      </c>
      <c r="AD989" s="14" t="b">
        <f aca="false">TRUE()</f>
        <v>1</v>
      </c>
    </row>
    <row r="990" customFormat="false" ht="15" hidden="false" customHeight="false" outlineLevel="0" collapsed="false">
      <c r="A990" s="14" t="b">
        <f aca="false">TRUE()</f>
        <v>1</v>
      </c>
      <c r="B990" s="14" t="b">
        <f aca="false">FALSE()</f>
        <v>0</v>
      </c>
      <c r="C990" s="4" t="n">
        <v>2</v>
      </c>
      <c r="D990" s="4"/>
      <c r="E990" s="4"/>
      <c r="F990" s="4"/>
      <c r="G990" s="4"/>
      <c r="H990" s="14" t="b">
        <f aca="false">FALSE()</f>
        <v>0</v>
      </c>
      <c r="I990" s="14" t="b">
        <f aca="false">FALSE()</f>
        <v>0</v>
      </c>
      <c r="J990" s="4"/>
      <c r="K990" s="4" t="s">
        <v>3999</v>
      </c>
      <c r="L990" s="4" t="s">
        <v>4000</v>
      </c>
      <c r="M990" s="4" t="s">
        <v>4001</v>
      </c>
      <c r="N990" s="6" t="n">
        <v>37420</v>
      </c>
      <c r="O990" s="6" t="n">
        <v>41684</v>
      </c>
      <c r="P990" s="4" t="s">
        <v>46</v>
      </c>
      <c r="Q990" s="6" t="n">
        <v>225000</v>
      </c>
      <c r="R990" s="15" t="n">
        <v>45797</v>
      </c>
      <c r="S990" s="6"/>
      <c r="T990" s="15"/>
      <c r="U990" s="6"/>
      <c r="V990" s="15"/>
      <c r="W990" s="4" t="s">
        <v>58</v>
      </c>
      <c r="X990" s="4" t="s">
        <v>47</v>
      </c>
      <c r="Y990" s="4" t="s">
        <v>4002</v>
      </c>
      <c r="Z990" s="4" t="s">
        <v>2940</v>
      </c>
      <c r="AA990" s="6" t="n">
        <v>0</v>
      </c>
      <c r="AB990" s="6" t="n">
        <v>4621.28</v>
      </c>
      <c r="AC990" s="6" t="n">
        <v>2424.62</v>
      </c>
      <c r="AD990" s="14" t="b">
        <f aca="false">TRUE()</f>
        <v>1</v>
      </c>
    </row>
    <row r="991" customFormat="false" ht="15" hidden="false" customHeight="false" outlineLevel="0" collapsed="false">
      <c r="A991" s="14" t="b">
        <f aca="false">TRUE()</f>
        <v>1</v>
      </c>
      <c r="B991" s="14" t="b">
        <f aca="false">FALSE()</f>
        <v>0</v>
      </c>
      <c r="C991" s="4" t="n">
        <v>3</v>
      </c>
      <c r="D991" s="4"/>
      <c r="E991" s="4"/>
      <c r="F991" s="4"/>
      <c r="G991" s="4"/>
      <c r="H991" s="14" t="b">
        <f aca="false">FALSE()</f>
        <v>0</v>
      </c>
      <c r="I991" s="14" t="b">
        <f aca="false">FALSE()</f>
        <v>0</v>
      </c>
      <c r="J991" s="4"/>
      <c r="K991" s="4" t="s">
        <v>4003</v>
      </c>
      <c r="L991" s="4" t="s">
        <v>4004</v>
      </c>
      <c r="M991" s="4" t="s">
        <v>4005</v>
      </c>
      <c r="N991" s="6" t="n">
        <v>36300</v>
      </c>
      <c r="O991" s="6" t="n">
        <v>40053</v>
      </c>
      <c r="P991" s="4" t="s">
        <v>46</v>
      </c>
      <c r="Q991" s="6" t="n">
        <v>160000</v>
      </c>
      <c r="R991" s="15" t="n">
        <v>45735</v>
      </c>
      <c r="S991" s="6" t="n">
        <v>201225</v>
      </c>
      <c r="T991" s="15" t="n">
        <v>45735</v>
      </c>
      <c r="U991" s="6" t="n">
        <v>64730</v>
      </c>
      <c r="V991" s="15" t="n">
        <v>45761</v>
      </c>
      <c r="W991" s="4" t="s">
        <v>58</v>
      </c>
      <c r="X991" s="4" t="s">
        <v>47</v>
      </c>
      <c r="Y991" s="4" t="s">
        <v>4006</v>
      </c>
      <c r="Z991" s="4" t="s">
        <v>2940</v>
      </c>
      <c r="AA991" s="6" t="n">
        <v>0</v>
      </c>
      <c r="AB991" s="6" t="n">
        <v>4962.42</v>
      </c>
      <c r="AC991" s="6" t="n">
        <v>5307.38</v>
      </c>
      <c r="AD991" s="14" t="b">
        <f aca="false">FALSE()</f>
        <v>0</v>
      </c>
    </row>
    <row r="992" customFormat="false" ht="15" hidden="false" customHeight="false" outlineLevel="0" collapsed="false">
      <c r="A992" s="14" t="b">
        <f aca="false">TRUE()</f>
        <v>1</v>
      </c>
      <c r="B992" s="14" t="b">
        <f aca="false">FALSE()</f>
        <v>0</v>
      </c>
      <c r="C992" s="4" t="n">
        <v>2</v>
      </c>
      <c r="D992" s="4"/>
      <c r="E992" s="4"/>
      <c r="F992" s="4"/>
      <c r="G992" s="4"/>
      <c r="H992" s="14" t="b">
        <f aca="false">FALSE()</f>
        <v>0</v>
      </c>
      <c r="I992" s="14" t="b">
        <f aca="false">FALSE()</f>
        <v>0</v>
      </c>
      <c r="J992" s="4"/>
      <c r="K992" s="4" t="s">
        <v>4007</v>
      </c>
      <c r="L992" s="4" t="s">
        <v>4008</v>
      </c>
      <c r="M992" s="4" t="s">
        <v>4009</v>
      </c>
      <c r="N992" s="6" t="n">
        <v>37246</v>
      </c>
      <c r="O992" s="6" t="n">
        <v>62026</v>
      </c>
      <c r="P992" s="4" t="s">
        <v>46</v>
      </c>
      <c r="Q992" s="6" t="n">
        <v>177500</v>
      </c>
      <c r="R992" s="15" t="n">
        <v>40360</v>
      </c>
      <c r="S992" s="6"/>
      <c r="T992" s="15"/>
      <c r="U992" s="6"/>
      <c r="V992" s="15"/>
      <c r="W992" s="4" t="s">
        <v>47</v>
      </c>
      <c r="X992" s="4" t="s">
        <v>58</v>
      </c>
      <c r="Y992" s="4" t="s">
        <v>4010</v>
      </c>
      <c r="Z992" s="4" t="s">
        <v>2940</v>
      </c>
      <c r="AA992" s="6" t="n">
        <v>0</v>
      </c>
      <c r="AB992" s="6" t="n">
        <v>5379.3</v>
      </c>
      <c r="AC992" s="6" t="n">
        <v>5752.4</v>
      </c>
      <c r="AD992" s="14" t="b">
        <f aca="false">FALSE()</f>
        <v>0</v>
      </c>
    </row>
    <row r="993" customFormat="false" ht="15" hidden="false" customHeight="false" outlineLevel="0" collapsed="false">
      <c r="A993" s="14" t="b">
        <f aca="false">TRUE()</f>
        <v>1</v>
      </c>
      <c r="B993" s="14" t="b">
        <f aca="false">FALSE()</f>
        <v>0</v>
      </c>
      <c r="C993" s="4" t="n">
        <v>3</v>
      </c>
      <c r="D993" s="4"/>
      <c r="E993" s="4"/>
      <c r="F993" s="4"/>
      <c r="G993" s="4"/>
      <c r="H993" s="14" t="b">
        <f aca="false">FALSE()</f>
        <v>0</v>
      </c>
      <c r="I993" s="14" t="b">
        <f aca="false">FALSE()</f>
        <v>0</v>
      </c>
      <c r="J993" s="4"/>
      <c r="K993" s="4" t="s">
        <v>4011</v>
      </c>
      <c r="L993" s="4" t="s">
        <v>4012</v>
      </c>
      <c r="M993" s="4" t="s">
        <v>4013</v>
      </c>
      <c r="N993" s="6" t="n">
        <v>58991</v>
      </c>
      <c r="O993" s="6" t="n">
        <v>77005</v>
      </c>
      <c r="P993" s="4" t="s">
        <v>46</v>
      </c>
      <c r="Q993" s="6" t="n">
        <v>430000</v>
      </c>
      <c r="R993" s="15" t="n">
        <v>45828</v>
      </c>
      <c r="S993" s="6" t="n">
        <v>340000</v>
      </c>
      <c r="T993" s="15" t="n">
        <v>45828</v>
      </c>
      <c r="U993" s="6"/>
      <c r="V993" s="15"/>
      <c r="W993" s="4" t="s">
        <v>47</v>
      </c>
      <c r="X993" s="4" t="s">
        <v>47</v>
      </c>
      <c r="Y993" s="4" t="s">
        <v>4014</v>
      </c>
      <c r="Z993" s="4" t="s">
        <v>4015</v>
      </c>
      <c r="AA993" s="6" t="n">
        <v>0</v>
      </c>
      <c r="AB993" s="6" t="n">
        <v>3750.18</v>
      </c>
      <c r="AC993" s="6" t="n">
        <v>4013.32</v>
      </c>
      <c r="AD993" s="14" t="b">
        <f aca="false">FALSE()</f>
        <v>0</v>
      </c>
    </row>
    <row r="994" customFormat="false" ht="15" hidden="false" customHeight="false" outlineLevel="0" collapsed="false">
      <c r="A994" s="14" t="b">
        <f aca="false">TRUE()</f>
        <v>1</v>
      </c>
      <c r="B994" s="14" t="b">
        <f aca="false">FALSE()</f>
        <v>0</v>
      </c>
      <c r="C994" s="4" t="n">
        <v>2</v>
      </c>
      <c r="D994" s="4"/>
      <c r="E994" s="4"/>
      <c r="F994" s="4"/>
      <c r="G994" s="4"/>
      <c r="H994" s="14" t="b">
        <f aca="false">FALSE()</f>
        <v>0</v>
      </c>
      <c r="I994" s="14" t="b">
        <f aca="false">FALSE()</f>
        <v>0</v>
      </c>
      <c r="J994" s="4"/>
      <c r="K994" s="4" t="s">
        <v>4016</v>
      </c>
      <c r="L994" s="4" t="s">
        <v>4017</v>
      </c>
      <c r="M994" s="4" t="s">
        <v>4018</v>
      </c>
      <c r="N994" s="6" t="n">
        <v>78039</v>
      </c>
      <c r="O994" s="6" t="n">
        <v>63353</v>
      </c>
      <c r="P994" s="4" t="s">
        <v>46</v>
      </c>
      <c r="Q994" s="6"/>
      <c r="R994" s="15"/>
      <c r="S994" s="6"/>
      <c r="T994" s="15"/>
      <c r="U994" s="6"/>
      <c r="V994" s="15"/>
      <c r="W994" s="4" t="s">
        <v>47</v>
      </c>
      <c r="X994" s="4" t="s">
        <v>47</v>
      </c>
      <c r="Y994" s="4" t="s">
        <v>4019</v>
      </c>
      <c r="Z994" s="4" t="s">
        <v>4015</v>
      </c>
      <c r="AA994" s="6" t="n">
        <v>0</v>
      </c>
      <c r="AB994" s="6" t="n">
        <v>7913.08</v>
      </c>
      <c r="AC994" s="6" t="n">
        <v>8457.21</v>
      </c>
      <c r="AD994" s="14" t="b">
        <f aca="false">FALSE()</f>
        <v>0</v>
      </c>
    </row>
    <row r="995" customFormat="false" ht="15" hidden="false" customHeight="false" outlineLevel="0" collapsed="false">
      <c r="A995" s="14" t="b">
        <f aca="false">TRUE()</f>
        <v>1</v>
      </c>
      <c r="B995" s="14" t="b">
        <f aca="false">FALSE()</f>
        <v>0</v>
      </c>
      <c r="C995" s="4" t="n">
        <v>3</v>
      </c>
      <c r="D995" s="4"/>
      <c r="E995" s="4"/>
      <c r="F995" s="4"/>
      <c r="G995" s="4"/>
      <c r="H995" s="14" t="b">
        <f aca="false">FALSE()</f>
        <v>0</v>
      </c>
      <c r="I995" s="14" t="b">
        <f aca="false">FALSE()</f>
        <v>0</v>
      </c>
      <c r="J995" s="4"/>
      <c r="K995" s="4" t="s">
        <v>4020</v>
      </c>
      <c r="L995" s="4" t="s">
        <v>4021</v>
      </c>
      <c r="M995" s="4" t="s">
        <v>4022</v>
      </c>
      <c r="N995" s="6" t="n">
        <v>78039</v>
      </c>
      <c r="O995" s="6" t="n">
        <v>389846</v>
      </c>
      <c r="P995" s="4" t="s">
        <v>46</v>
      </c>
      <c r="Q995" s="6" t="n">
        <v>750000</v>
      </c>
      <c r="R995" s="15" t="n">
        <v>36273</v>
      </c>
      <c r="S995" s="6"/>
      <c r="T995" s="15"/>
      <c r="U995" s="6"/>
      <c r="V995" s="15"/>
      <c r="W995" s="4" t="s">
        <v>47</v>
      </c>
      <c r="X995" s="4" t="s">
        <v>47</v>
      </c>
      <c r="Y995" s="4" t="s">
        <v>4023</v>
      </c>
      <c r="Z995" s="4" t="s">
        <v>4015</v>
      </c>
      <c r="AA995" s="6" t="n">
        <v>0</v>
      </c>
      <c r="AB995" s="6" t="n">
        <v>27281.32</v>
      </c>
      <c r="AC995" s="6" t="n">
        <v>29132.81</v>
      </c>
      <c r="AD995" s="14" t="b">
        <f aca="false">FALSE()</f>
        <v>0</v>
      </c>
    </row>
    <row r="996" customFormat="false" ht="15" hidden="false" customHeight="false" outlineLevel="0" collapsed="false">
      <c r="A996" s="14" t="b">
        <f aca="false">TRUE()</f>
        <v>1</v>
      </c>
      <c r="B996" s="14" t="b">
        <f aca="false">FALSE()</f>
        <v>0</v>
      </c>
      <c r="C996" s="4" t="n">
        <v>3</v>
      </c>
      <c r="D996" s="4"/>
      <c r="E996" s="4"/>
      <c r="F996" s="4"/>
      <c r="G996" s="4"/>
      <c r="H996" s="14" t="b">
        <f aca="false">FALSE()</f>
        <v>0</v>
      </c>
      <c r="I996" s="14" t="b">
        <f aca="false">FALSE()</f>
        <v>0</v>
      </c>
      <c r="J996" s="4"/>
      <c r="K996" s="4" t="s">
        <v>4024</v>
      </c>
      <c r="L996" s="4" t="s">
        <v>4025</v>
      </c>
      <c r="M996" s="4" t="s">
        <v>4026</v>
      </c>
      <c r="N996" s="6" t="n">
        <v>33004</v>
      </c>
      <c r="O996" s="6" t="n">
        <v>34494</v>
      </c>
      <c r="P996" s="4" t="s">
        <v>46</v>
      </c>
      <c r="Q996" s="6" t="n">
        <v>155500</v>
      </c>
      <c r="R996" s="15" t="n">
        <v>37097</v>
      </c>
      <c r="S996" s="6" t="n">
        <v>157986</v>
      </c>
      <c r="T996" s="15" t="n">
        <v>37607</v>
      </c>
      <c r="U996" s="6" t="n">
        <v>15000</v>
      </c>
      <c r="V996" s="15" t="n">
        <v>38363</v>
      </c>
      <c r="W996" s="4" t="s">
        <v>47</v>
      </c>
      <c r="X996" s="4" t="s">
        <v>47</v>
      </c>
      <c r="Y996" s="4" t="s">
        <v>4027</v>
      </c>
      <c r="Z996" s="4" t="s">
        <v>2940</v>
      </c>
      <c r="AA996" s="6" t="n">
        <v>0</v>
      </c>
      <c r="AB996" s="6" t="n">
        <v>3843.52</v>
      </c>
      <c r="AC996" s="6" t="n">
        <v>4112.96</v>
      </c>
      <c r="AD996" s="14" t="b">
        <f aca="false">FALSE()</f>
        <v>0</v>
      </c>
    </row>
    <row r="997" customFormat="false" ht="15" hidden="false" customHeight="false" outlineLevel="0" collapsed="false">
      <c r="A997" s="14" t="b">
        <f aca="false">TRUE()</f>
        <v>1</v>
      </c>
      <c r="B997" s="14" t="b">
        <f aca="false">FALSE()</f>
        <v>0</v>
      </c>
      <c r="C997" s="4" t="n">
        <v>2</v>
      </c>
      <c r="D997" s="4"/>
      <c r="E997" s="4"/>
      <c r="F997" s="4"/>
      <c r="G997" s="4"/>
      <c r="H997" s="14" t="b">
        <f aca="false">FALSE()</f>
        <v>0</v>
      </c>
      <c r="I997" s="14" t="b">
        <f aca="false">FALSE()</f>
        <v>0</v>
      </c>
      <c r="J997" s="4"/>
      <c r="K997" s="4" t="s">
        <v>4028</v>
      </c>
      <c r="L997" s="4" t="s">
        <v>4029</v>
      </c>
      <c r="M997" s="4" t="s">
        <v>4030</v>
      </c>
      <c r="N997" s="6" t="n">
        <v>24911</v>
      </c>
      <c r="O997" s="6" t="n">
        <v>99501</v>
      </c>
      <c r="P997" s="4" t="s">
        <v>46</v>
      </c>
      <c r="Q997" s="6" t="n">
        <v>368000</v>
      </c>
      <c r="R997" s="15" t="n">
        <v>44510</v>
      </c>
      <c r="S997" s="6"/>
      <c r="T997" s="15"/>
      <c r="U997" s="6"/>
      <c r="V997" s="15"/>
      <c r="W997" s="4" t="s">
        <v>47</v>
      </c>
      <c r="X997" s="4" t="s">
        <v>47</v>
      </c>
      <c r="Y997" s="4" t="s">
        <v>4031</v>
      </c>
      <c r="Z997" s="4" t="s">
        <v>4015</v>
      </c>
      <c r="AA997" s="6" t="n">
        <v>0</v>
      </c>
      <c r="AB997" s="6" t="n">
        <v>6805.56</v>
      </c>
      <c r="AC997" s="6" t="n">
        <v>3565.91</v>
      </c>
      <c r="AD997" s="14" t="b">
        <f aca="false">TRUE()</f>
        <v>1</v>
      </c>
    </row>
    <row r="998" customFormat="false" ht="15" hidden="false" customHeight="false" outlineLevel="0" collapsed="false">
      <c r="A998" s="14" t="b">
        <f aca="false">TRUE()</f>
        <v>1</v>
      </c>
      <c r="B998" s="14" t="b">
        <f aca="false">FALSE()</f>
        <v>0</v>
      </c>
      <c r="C998" s="4" t="n">
        <v>2</v>
      </c>
      <c r="D998" s="4"/>
      <c r="E998" s="4"/>
      <c r="F998" s="4"/>
      <c r="G998" s="4" t="n">
        <v>2</v>
      </c>
      <c r="H998" s="14" t="b">
        <f aca="false">FALSE()</f>
        <v>0</v>
      </c>
      <c r="I998" s="14" t="b">
        <f aca="false">FALSE()</f>
        <v>0</v>
      </c>
      <c r="J998" s="4"/>
      <c r="K998" s="4" t="s">
        <v>4032</v>
      </c>
      <c r="L998" s="4" t="s">
        <v>4033</v>
      </c>
      <c r="M998" s="4" t="s">
        <v>4034</v>
      </c>
      <c r="N998" s="6" t="n">
        <v>60558</v>
      </c>
      <c r="O998" s="6" t="n">
        <v>91353</v>
      </c>
      <c r="P998" s="4" t="s">
        <v>46</v>
      </c>
      <c r="Q998" s="6" t="n">
        <v>490000</v>
      </c>
      <c r="R998" s="15" t="n">
        <v>45806</v>
      </c>
      <c r="S998" s="6"/>
      <c r="T998" s="15"/>
      <c r="U998" s="6"/>
      <c r="V998" s="15"/>
      <c r="W998" s="4" t="s">
        <v>47</v>
      </c>
      <c r="X998" s="4" t="s">
        <v>47</v>
      </c>
      <c r="Y998" s="4" t="s">
        <v>4035</v>
      </c>
      <c r="Z998" s="4" t="s">
        <v>4015</v>
      </c>
      <c r="AA998" s="6" t="n">
        <v>0</v>
      </c>
      <c r="AB998" s="6" t="n">
        <v>8562.84</v>
      </c>
      <c r="AC998" s="6" t="n">
        <v>4484.08</v>
      </c>
      <c r="AD998" s="14" t="b">
        <f aca="false">TRUE()</f>
        <v>1</v>
      </c>
    </row>
    <row r="999" customFormat="false" ht="15" hidden="false" customHeight="false" outlineLevel="0" collapsed="false">
      <c r="A999" s="14" t="b">
        <f aca="false">TRUE()</f>
        <v>1</v>
      </c>
      <c r="B999" s="14" t="b">
        <f aca="false">FALSE()</f>
        <v>0</v>
      </c>
      <c r="C999" s="4" t="n">
        <v>2</v>
      </c>
      <c r="D999" s="4"/>
      <c r="E999" s="4"/>
      <c r="F999" s="4"/>
      <c r="G999" s="4"/>
      <c r="H999" s="14" t="b">
        <f aca="false">FALSE()</f>
        <v>0</v>
      </c>
      <c r="I999" s="14" t="b">
        <f aca="false">FALSE()</f>
        <v>0</v>
      </c>
      <c r="J999" s="4"/>
      <c r="K999" s="4" t="s">
        <v>4036</v>
      </c>
      <c r="L999" s="4" t="s">
        <v>4037</v>
      </c>
      <c r="M999" s="4" t="s">
        <v>4038</v>
      </c>
      <c r="N999" s="6" t="n">
        <v>75776</v>
      </c>
      <c r="O999" s="6" t="n">
        <v>81563</v>
      </c>
      <c r="P999" s="4" t="s">
        <v>46</v>
      </c>
      <c r="Q999" s="6" t="n">
        <v>461500</v>
      </c>
      <c r="R999" s="15" t="n">
        <v>45589</v>
      </c>
      <c r="S999" s="6"/>
      <c r="T999" s="15"/>
      <c r="U999" s="6"/>
      <c r="V999" s="15"/>
      <c r="W999" s="4" t="s">
        <v>58</v>
      </c>
      <c r="X999" s="4" t="s">
        <v>47</v>
      </c>
      <c r="Y999" s="4" t="s">
        <v>4039</v>
      </c>
      <c r="Z999" s="4" t="s">
        <v>4015</v>
      </c>
      <c r="AA999" s="6" t="n">
        <v>0</v>
      </c>
      <c r="AB999" s="6" t="n">
        <v>8384.52</v>
      </c>
      <c r="AC999" s="6" t="n">
        <v>8960.47</v>
      </c>
      <c r="AD999" s="14" t="b">
        <f aca="false">FALSE()</f>
        <v>0</v>
      </c>
    </row>
    <row r="1000" customFormat="false" ht="15" hidden="false" customHeight="false" outlineLevel="0" collapsed="false">
      <c r="A1000" s="14" t="b">
        <f aca="false">TRUE()</f>
        <v>1</v>
      </c>
      <c r="B1000" s="14" t="b">
        <f aca="false">FALSE()</f>
        <v>0</v>
      </c>
      <c r="C1000" s="4" t="n">
        <v>3</v>
      </c>
      <c r="D1000" s="4"/>
      <c r="E1000" s="4"/>
      <c r="F1000" s="4"/>
      <c r="G1000" s="4"/>
      <c r="H1000" s="14" t="b">
        <f aca="false">TRUE()</f>
        <v>1</v>
      </c>
      <c r="I1000" s="14" t="b">
        <f aca="false">FALSE()</f>
        <v>0</v>
      </c>
      <c r="J1000" s="4"/>
      <c r="K1000" s="4" t="s">
        <v>4040</v>
      </c>
      <c r="L1000" s="4" t="s">
        <v>4041</v>
      </c>
      <c r="M1000" s="4" t="s">
        <v>4042</v>
      </c>
      <c r="N1000" s="6" t="n">
        <v>71229</v>
      </c>
      <c r="O1000" s="6" t="n">
        <v>148322</v>
      </c>
      <c r="P1000" s="4" t="s">
        <v>46</v>
      </c>
      <c r="Q1000" s="6" t="n">
        <v>620000</v>
      </c>
      <c r="R1000" s="15" t="n">
        <v>42138</v>
      </c>
      <c r="S1000" s="6"/>
      <c r="T1000" s="15"/>
      <c r="U1000" s="6"/>
      <c r="V1000" s="15"/>
      <c r="W1000" s="4" t="s">
        <v>47</v>
      </c>
      <c r="X1000" s="4" t="s">
        <v>58</v>
      </c>
      <c r="Y1000" s="4" t="s">
        <v>4043</v>
      </c>
      <c r="Z1000" s="4" t="s">
        <v>3853</v>
      </c>
      <c r="AA1000" s="6" t="n">
        <v>0</v>
      </c>
      <c r="AB1000" s="6" t="n">
        <v>10967</v>
      </c>
      <c r="AC1000" s="6" t="n">
        <v>11717.28</v>
      </c>
      <c r="AD1000" s="14" t="b">
        <f aca="false">FALSE()</f>
        <v>0</v>
      </c>
    </row>
    <row r="1001" customFormat="false" ht="15" hidden="false" customHeight="false" outlineLevel="0" collapsed="false">
      <c r="A1001" s="14" t="b">
        <f aca="false">TRUE()</f>
        <v>1</v>
      </c>
      <c r="B1001" s="14" t="b">
        <f aca="false">FALSE()</f>
        <v>0</v>
      </c>
      <c r="C1001" s="4" t="n">
        <v>2</v>
      </c>
      <c r="D1001" s="4"/>
      <c r="E1001" s="4"/>
      <c r="F1001" s="4"/>
      <c r="G1001" s="4"/>
      <c r="H1001" s="14" t="b">
        <f aca="false">FALSE()</f>
        <v>0</v>
      </c>
      <c r="I1001" s="14" t="b">
        <f aca="false">FALSE()</f>
        <v>0</v>
      </c>
      <c r="J1001" s="4"/>
      <c r="K1001" s="4" t="s">
        <v>4044</v>
      </c>
      <c r="L1001" s="4" t="s">
        <v>4045</v>
      </c>
      <c r="M1001" s="4" t="s">
        <v>4046</v>
      </c>
      <c r="N1001" s="6" t="n">
        <v>74601</v>
      </c>
      <c r="O1001" s="6" t="n">
        <v>350576</v>
      </c>
      <c r="P1001" s="4" t="s">
        <v>46</v>
      </c>
      <c r="Q1001" s="6" t="n">
        <v>825000</v>
      </c>
      <c r="R1001" s="15" t="n">
        <v>37531</v>
      </c>
      <c r="S1001" s="6" t="n">
        <v>650000</v>
      </c>
      <c r="T1001" s="15" t="n">
        <v>44530</v>
      </c>
      <c r="U1001" s="6" t="n">
        <v>100000</v>
      </c>
      <c r="V1001" s="15" t="n">
        <v>40424</v>
      </c>
      <c r="W1001" s="4" t="s">
        <v>47</v>
      </c>
      <c r="X1001" s="4" t="s">
        <v>47</v>
      </c>
      <c r="Y1001" s="4" t="s">
        <v>4047</v>
      </c>
      <c r="Z1001" s="4" t="s">
        <v>3853</v>
      </c>
      <c r="AA1001" s="6" t="n">
        <v>0</v>
      </c>
      <c r="AB1001" s="6" t="n">
        <v>21626.88</v>
      </c>
      <c r="AC1001" s="6" t="n">
        <v>11310.04</v>
      </c>
      <c r="AD1001" s="14" t="b">
        <f aca="false">TRUE()</f>
        <v>1</v>
      </c>
    </row>
    <row r="1002" customFormat="false" ht="15" hidden="false" customHeight="false" outlineLevel="0" collapsed="false">
      <c r="A1002" s="14" t="b">
        <f aca="false">TRUE()</f>
        <v>1</v>
      </c>
      <c r="B1002" s="14" t="b">
        <f aca="false">FALSE()</f>
        <v>0</v>
      </c>
      <c r="C1002" s="4" t="n">
        <v>3</v>
      </c>
      <c r="D1002" s="4"/>
      <c r="E1002" s="4"/>
      <c r="F1002" s="4"/>
      <c r="G1002" s="4" t="n">
        <v>3</v>
      </c>
      <c r="H1002" s="14" t="b">
        <f aca="false">FALSE()</f>
        <v>0</v>
      </c>
      <c r="I1002" s="14" t="b">
        <f aca="false">FALSE()</f>
        <v>0</v>
      </c>
      <c r="J1002" s="4"/>
      <c r="K1002" s="4" t="s">
        <v>4048</v>
      </c>
      <c r="L1002" s="4" t="s">
        <v>4049</v>
      </c>
      <c r="M1002" s="4" t="s">
        <v>4050</v>
      </c>
      <c r="N1002" s="6" t="n">
        <v>88960</v>
      </c>
      <c r="O1002" s="6" t="n">
        <v>50724</v>
      </c>
      <c r="P1002" s="4" t="s">
        <v>46</v>
      </c>
      <c r="Q1002" s="6"/>
      <c r="R1002" s="15"/>
      <c r="S1002" s="6" t="n">
        <v>24300</v>
      </c>
      <c r="T1002" s="15" t="n">
        <v>45485</v>
      </c>
      <c r="U1002" s="6"/>
      <c r="V1002" s="15"/>
      <c r="W1002" s="4" t="s">
        <v>47</v>
      </c>
      <c r="X1002" s="4" t="s">
        <v>47</v>
      </c>
      <c r="Y1002" s="4" t="s">
        <v>4051</v>
      </c>
      <c r="Z1002" s="4" t="s">
        <v>4015</v>
      </c>
      <c r="AA1002" s="6" t="n">
        <v>0</v>
      </c>
      <c r="AB1002" s="6" t="n">
        <v>7891.44</v>
      </c>
      <c r="AC1002" s="6" t="n">
        <v>8434.11</v>
      </c>
      <c r="AD1002" s="14" t="b">
        <f aca="false">FALSE()</f>
        <v>0</v>
      </c>
    </row>
    <row r="1003" customFormat="false" ht="15" hidden="false" customHeight="false" outlineLevel="0" collapsed="false">
      <c r="A1003" s="14" t="b">
        <f aca="false">TRUE()</f>
        <v>1</v>
      </c>
      <c r="B1003" s="14" t="b">
        <f aca="false">FALSE()</f>
        <v>0</v>
      </c>
      <c r="C1003" s="4" t="n">
        <v>3</v>
      </c>
      <c r="D1003" s="4"/>
      <c r="E1003" s="4"/>
      <c r="F1003" s="4"/>
      <c r="G1003" s="4"/>
      <c r="H1003" s="14" t="b">
        <f aca="false">FALSE()</f>
        <v>0</v>
      </c>
      <c r="I1003" s="14" t="b">
        <f aca="false">FALSE()</f>
        <v>0</v>
      </c>
      <c r="J1003" s="4"/>
      <c r="K1003" s="4" t="s">
        <v>4052</v>
      </c>
      <c r="L1003" s="4" t="s">
        <v>4053</v>
      </c>
      <c r="M1003" s="4" t="s">
        <v>4054</v>
      </c>
      <c r="N1003" s="6" t="n">
        <v>69706</v>
      </c>
      <c r="O1003" s="6" t="n">
        <v>193128</v>
      </c>
      <c r="P1003" s="4" t="s">
        <v>46</v>
      </c>
      <c r="Q1003" s="6" t="n">
        <v>815000</v>
      </c>
      <c r="R1003" s="15" t="n">
        <v>45569</v>
      </c>
      <c r="S1003" s="6" t="n">
        <v>751300</v>
      </c>
      <c r="T1003" s="15" t="n">
        <v>45569</v>
      </c>
      <c r="U1003" s="6"/>
      <c r="V1003" s="15"/>
      <c r="W1003" s="4" t="s">
        <v>47</v>
      </c>
      <c r="X1003" s="4" t="s">
        <v>47</v>
      </c>
      <c r="Y1003" s="4" t="s">
        <v>4055</v>
      </c>
      <c r="Z1003" s="4" t="s">
        <v>3853</v>
      </c>
      <c r="AA1003" s="6" t="n">
        <v>0</v>
      </c>
      <c r="AB1003" s="6" t="n">
        <v>13210.86</v>
      </c>
      <c r="AC1003" s="6" t="n">
        <v>14112.59</v>
      </c>
      <c r="AD1003" s="14" t="b">
        <f aca="false">FALSE()</f>
        <v>0</v>
      </c>
    </row>
    <row r="1004" customFormat="false" ht="15" hidden="false" customHeight="false" outlineLevel="0" collapsed="false">
      <c r="A1004" s="14" t="b">
        <f aca="false">TRUE()</f>
        <v>1</v>
      </c>
      <c r="B1004" s="14" t="b">
        <f aca="false">FALSE()</f>
        <v>0</v>
      </c>
      <c r="C1004" s="4" t="n">
        <v>2</v>
      </c>
      <c r="D1004" s="4"/>
      <c r="E1004" s="4"/>
      <c r="F1004" s="4"/>
      <c r="G1004" s="4"/>
      <c r="H1004" s="14" t="b">
        <f aca="false">FALSE()</f>
        <v>0</v>
      </c>
      <c r="I1004" s="14" t="b">
        <f aca="false">FALSE()</f>
        <v>0</v>
      </c>
      <c r="J1004" s="4"/>
      <c r="K1004" s="4" t="s">
        <v>4056</v>
      </c>
      <c r="L1004" s="4" t="s">
        <v>4057</v>
      </c>
      <c r="M1004" s="4" t="s">
        <v>4058</v>
      </c>
      <c r="N1004" s="6" t="n">
        <v>65529</v>
      </c>
      <c r="O1004" s="6" t="n">
        <v>84566</v>
      </c>
      <c r="P1004" s="4" t="s">
        <v>46</v>
      </c>
      <c r="Q1004" s="6" t="n">
        <v>530000</v>
      </c>
      <c r="R1004" s="15" t="n">
        <v>45523</v>
      </c>
      <c r="S1004" s="6"/>
      <c r="T1004" s="15"/>
      <c r="U1004" s="6"/>
      <c r="V1004" s="15"/>
      <c r="W1004" s="4" t="s">
        <v>58</v>
      </c>
      <c r="X1004" s="4" t="s">
        <v>47</v>
      </c>
      <c r="Y1004" s="4" t="s">
        <v>4059</v>
      </c>
      <c r="Z1004" s="4" t="s">
        <v>3853</v>
      </c>
      <c r="AA1004" s="6" t="n">
        <v>0</v>
      </c>
      <c r="AB1004" s="6" t="n">
        <v>6692.42</v>
      </c>
      <c r="AC1004" s="6" t="n">
        <v>7154.16</v>
      </c>
      <c r="AD1004" s="14" t="b">
        <f aca="false">FALSE()</f>
        <v>0</v>
      </c>
    </row>
    <row r="1005" customFormat="false" ht="15" hidden="false" customHeight="false" outlineLevel="0" collapsed="false">
      <c r="A1005" s="14" t="b">
        <f aca="false">TRUE()</f>
        <v>1</v>
      </c>
      <c r="B1005" s="14" t="b">
        <f aca="false">FALSE()</f>
        <v>0</v>
      </c>
      <c r="C1005" s="4" t="n">
        <v>3</v>
      </c>
      <c r="D1005" s="4"/>
      <c r="E1005" s="4"/>
      <c r="F1005" s="4"/>
      <c r="G1005" s="4"/>
      <c r="H1005" s="14" t="b">
        <f aca="false">FALSE()</f>
        <v>0</v>
      </c>
      <c r="I1005" s="14" t="b">
        <f aca="false">FALSE()</f>
        <v>0</v>
      </c>
      <c r="J1005" s="4"/>
      <c r="K1005" s="4" t="s">
        <v>4060</v>
      </c>
      <c r="L1005" s="4" t="s">
        <v>4061</v>
      </c>
      <c r="M1005" s="4" t="s">
        <v>4062</v>
      </c>
      <c r="N1005" s="6" t="n">
        <v>118668</v>
      </c>
      <c r="O1005" s="6" t="n">
        <v>292118</v>
      </c>
      <c r="P1005" s="4" t="s">
        <v>46</v>
      </c>
      <c r="Q1005" s="6" t="n">
        <v>1110000</v>
      </c>
      <c r="R1005" s="15" t="n">
        <v>44322</v>
      </c>
      <c r="S1005" s="6" t="n">
        <v>900000</v>
      </c>
      <c r="T1005" s="15" t="n">
        <v>44452</v>
      </c>
      <c r="U1005" s="6"/>
      <c r="V1005" s="15"/>
      <c r="W1005" s="4" t="s">
        <v>47</v>
      </c>
      <c r="X1005" s="4" t="s">
        <v>47</v>
      </c>
      <c r="Y1005" s="4" t="s">
        <v>4063</v>
      </c>
      <c r="Z1005" s="4" t="s">
        <v>3853</v>
      </c>
      <c r="AA1005" s="6" t="n">
        <v>0</v>
      </c>
      <c r="AB1005" s="6" t="n">
        <v>20880.84</v>
      </c>
      <c r="AC1005" s="6" t="n">
        <v>22300.3</v>
      </c>
      <c r="AD1005" s="14" t="b">
        <f aca="false">FALSE()</f>
        <v>0</v>
      </c>
    </row>
    <row r="1006" customFormat="false" ht="15" hidden="false" customHeight="false" outlineLevel="0" collapsed="false">
      <c r="A1006" s="14" t="b">
        <f aca="false">TRUE()</f>
        <v>1</v>
      </c>
      <c r="B1006" s="14" t="b">
        <f aca="false">FALSE()</f>
        <v>0</v>
      </c>
      <c r="C1006" s="4" t="n">
        <v>2</v>
      </c>
      <c r="D1006" s="4"/>
      <c r="E1006" s="4"/>
      <c r="F1006" s="4"/>
      <c r="G1006" s="4"/>
      <c r="H1006" s="14" t="b">
        <f aca="false">FALSE()</f>
        <v>0</v>
      </c>
      <c r="I1006" s="14" t="b">
        <f aca="false">FALSE()</f>
        <v>0</v>
      </c>
      <c r="J1006" s="4"/>
      <c r="K1006" s="4" t="s">
        <v>4064</v>
      </c>
      <c r="L1006" s="4" t="s">
        <v>4065</v>
      </c>
      <c r="M1006" s="4" t="s">
        <v>4066</v>
      </c>
      <c r="N1006" s="6" t="n">
        <v>158220</v>
      </c>
      <c r="O1006" s="6" t="n">
        <v>134580</v>
      </c>
      <c r="P1006" s="4" t="s">
        <v>46</v>
      </c>
      <c r="Q1006" s="6" t="n">
        <v>879000</v>
      </c>
      <c r="R1006" s="15" t="n">
        <v>44438</v>
      </c>
      <c r="S1006" s="6" t="n">
        <v>1210000</v>
      </c>
      <c r="T1006" s="15" t="n">
        <v>45516</v>
      </c>
      <c r="U1006" s="6" t="n">
        <v>702812</v>
      </c>
      <c r="V1006" s="15" t="n">
        <v>44438</v>
      </c>
      <c r="W1006" s="4" t="s">
        <v>47</v>
      </c>
      <c r="X1006" s="4" t="s">
        <v>47</v>
      </c>
      <c r="Y1006" s="4" t="s">
        <v>4067</v>
      </c>
      <c r="Z1006" s="4" t="s">
        <v>3853</v>
      </c>
      <c r="AA1006" s="6" t="n">
        <v>0</v>
      </c>
      <c r="AB1006" s="6" t="n">
        <v>14764.34</v>
      </c>
      <c r="AC1006" s="6" t="n">
        <v>7724.37</v>
      </c>
      <c r="AD1006" s="14" t="b">
        <f aca="false">TRUE()</f>
        <v>1</v>
      </c>
    </row>
    <row r="1007" customFormat="false" ht="15" hidden="false" customHeight="false" outlineLevel="0" collapsed="false">
      <c r="A1007" s="14" t="b">
        <f aca="false">TRUE()</f>
        <v>1</v>
      </c>
      <c r="B1007" s="14" t="b">
        <f aca="false">FALSE()</f>
        <v>0</v>
      </c>
      <c r="C1007" s="4" t="n">
        <v>3</v>
      </c>
      <c r="D1007" s="4"/>
      <c r="E1007" s="4"/>
      <c r="F1007" s="4"/>
      <c r="G1007" s="4"/>
      <c r="H1007" s="14" t="b">
        <f aca="false">FALSE()</f>
        <v>0</v>
      </c>
      <c r="I1007" s="14" t="b">
        <f aca="false">FALSE()</f>
        <v>0</v>
      </c>
      <c r="J1007" s="4"/>
      <c r="K1007" s="4" t="s">
        <v>4068</v>
      </c>
      <c r="L1007" s="4" t="s">
        <v>4069</v>
      </c>
      <c r="M1007" s="4" t="s">
        <v>4070</v>
      </c>
      <c r="N1007" s="6" t="n">
        <v>266685</v>
      </c>
      <c r="O1007" s="6" t="n">
        <v>208314</v>
      </c>
      <c r="P1007" s="4" t="s">
        <v>46</v>
      </c>
      <c r="Q1007" s="6"/>
      <c r="R1007" s="15" t="n">
        <v>45891</v>
      </c>
      <c r="S1007" s="6"/>
      <c r="T1007" s="15"/>
      <c r="U1007" s="6"/>
      <c r="V1007" s="15"/>
      <c r="W1007" s="4" t="s">
        <v>58</v>
      </c>
      <c r="X1007" s="4" t="s">
        <v>47</v>
      </c>
      <c r="Y1007" s="4" t="s">
        <v>4071</v>
      </c>
      <c r="Z1007" s="4" t="s">
        <v>3853</v>
      </c>
      <c r="AA1007" s="6" t="n">
        <v>0</v>
      </c>
      <c r="AB1007" s="6" t="n">
        <v>24209.7</v>
      </c>
      <c r="AC1007" s="6" t="n">
        <v>25853.86</v>
      </c>
      <c r="AD1007" s="14" t="b">
        <f aca="false">FALSE()</f>
        <v>0</v>
      </c>
    </row>
    <row r="1008" customFormat="false" ht="15" hidden="false" customHeight="false" outlineLevel="0" collapsed="false">
      <c r="A1008" s="14" t="b">
        <f aca="false">TRUE()</f>
        <v>1</v>
      </c>
      <c r="B1008" s="14" t="b">
        <f aca="false">FALSE()</f>
        <v>0</v>
      </c>
      <c r="C1008" s="4" t="n">
        <v>3</v>
      </c>
      <c r="D1008" s="4"/>
      <c r="E1008" s="4"/>
      <c r="F1008" s="4"/>
      <c r="G1008" s="4"/>
      <c r="H1008" s="14" t="b">
        <f aca="false">FALSE()</f>
        <v>0</v>
      </c>
      <c r="I1008" s="14" t="b">
        <f aca="false">FALSE()</f>
        <v>0</v>
      </c>
      <c r="J1008" s="4"/>
      <c r="K1008" s="4" t="s">
        <v>4072</v>
      </c>
      <c r="L1008" s="4" t="s">
        <v>4073</v>
      </c>
      <c r="M1008" s="4" t="s">
        <v>4074</v>
      </c>
      <c r="N1008" s="6" t="n">
        <v>226545</v>
      </c>
      <c r="O1008" s="6" t="n">
        <v>335227</v>
      </c>
      <c r="P1008" s="4" t="s">
        <v>46</v>
      </c>
      <c r="Q1008" s="6" t="n">
        <v>1250000</v>
      </c>
      <c r="R1008" s="15" t="n">
        <v>44560</v>
      </c>
      <c r="S1008" s="6"/>
      <c r="T1008" s="15"/>
      <c r="U1008" s="6"/>
      <c r="V1008" s="15"/>
      <c r="W1008" s="4" t="s">
        <v>58</v>
      </c>
      <c r="X1008" s="4" t="s">
        <v>47</v>
      </c>
      <c r="Y1008" s="4" t="s">
        <v>4075</v>
      </c>
      <c r="Z1008" s="4" t="s">
        <v>3853</v>
      </c>
      <c r="AA1008" s="6" t="n">
        <v>0</v>
      </c>
      <c r="AB1008" s="6" t="n">
        <v>29122.84</v>
      </c>
      <c r="AC1008" s="6" t="n">
        <v>31098.63</v>
      </c>
      <c r="AD1008" s="14" t="b">
        <f aca="false">FALSE()</f>
        <v>0</v>
      </c>
    </row>
    <row r="1009" customFormat="false" ht="15" hidden="false" customHeight="false" outlineLevel="0" collapsed="false">
      <c r="A1009" s="14" t="b">
        <f aca="false">TRUE()</f>
        <v>1</v>
      </c>
      <c r="B1009" s="14" t="b">
        <f aca="false">FALSE()</f>
        <v>0</v>
      </c>
      <c r="C1009" s="4" t="n">
        <v>2</v>
      </c>
      <c r="D1009" s="4"/>
      <c r="E1009" s="4"/>
      <c r="F1009" s="4"/>
      <c r="G1009" s="4"/>
      <c r="H1009" s="14" t="b">
        <f aca="false">FALSE()</f>
        <v>0</v>
      </c>
      <c r="I1009" s="14" t="b">
        <f aca="false">FALSE()</f>
        <v>0</v>
      </c>
      <c r="J1009" s="4"/>
      <c r="K1009" s="4" t="s">
        <v>4076</v>
      </c>
      <c r="L1009" s="4" t="s">
        <v>4077</v>
      </c>
      <c r="M1009" s="4" t="s">
        <v>4078</v>
      </c>
      <c r="N1009" s="6" t="n">
        <v>18340</v>
      </c>
      <c r="O1009" s="6" t="n">
        <v>73796</v>
      </c>
      <c r="P1009" s="4" t="s">
        <v>46</v>
      </c>
      <c r="Q1009" s="6"/>
      <c r="R1009" s="15" t="n">
        <v>45896</v>
      </c>
      <c r="S1009" s="6"/>
      <c r="T1009" s="15"/>
      <c r="U1009" s="6"/>
      <c r="V1009" s="15"/>
      <c r="W1009" s="4" t="s">
        <v>47</v>
      </c>
      <c r="X1009" s="4" t="s">
        <v>47</v>
      </c>
      <c r="Y1009" s="4" t="s">
        <v>4079</v>
      </c>
      <c r="Z1009" s="4" t="s">
        <v>3853</v>
      </c>
      <c r="AA1009" s="6" t="n">
        <v>0</v>
      </c>
      <c r="AB1009" s="6" t="n">
        <v>3946.98</v>
      </c>
      <c r="AC1009" s="6" t="n">
        <v>2072.3</v>
      </c>
      <c r="AD1009" s="14" t="b">
        <f aca="false">TRUE()</f>
        <v>1</v>
      </c>
    </row>
    <row r="1010" customFormat="false" ht="15" hidden="false" customHeight="false" outlineLevel="0" collapsed="false">
      <c r="A1010" s="14" t="b">
        <f aca="false">TRUE()</f>
        <v>1</v>
      </c>
      <c r="B1010" s="14" t="b">
        <f aca="false">FALSE()</f>
        <v>0</v>
      </c>
      <c r="C1010" s="4" t="n">
        <v>2</v>
      </c>
      <c r="D1010" s="4"/>
      <c r="E1010" s="4"/>
      <c r="F1010" s="4"/>
      <c r="G1010" s="4"/>
      <c r="H1010" s="14" t="b">
        <f aca="false">FALSE()</f>
        <v>0</v>
      </c>
      <c r="I1010" s="14" t="b">
        <f aca="false">FALSE()</f>
        <v>0</v>
      </c>
      <c r="J1010" s="4"/>
      <c r="K1010" s="4" t="s">
        <v>4080</v>
      </c>
      <c r="L1010" s="4" t="s">
        <v>4081</v>
      </c>
      <c r="M1010" s="4" t="s">
        <v>4082</v>
      </c>
      <c r="N1010" s="6" t="n">
        <v>22496</v>
      </c>
      <c r="O1010" s="6" t="n">
        <v>64343</v>
      </c>
      <c r="P1010" s="4" t="s">
        <v>46</v>
      </c>
      <c r="Q1010" s="6" t="n">
        <v>335000</v>
      </c>
      <c r="R1010" s="15" t="n">
        <v>45128</v>
      </c>
      <c r="S1010" s="6"/>
      <c r="T1010" s="15"/>
      <c r="U1010" s="6"/>
      <c r="V1010" s="15"/>
      <c r="W1010" s="4" t="s">
        <v>47</v>
      </c>
      <c r="X1010" s="4" t="s">
        <v>47</v>
      </c>
      <c r="Y1010" s="4" t="s">
        <v>4083</v>
      </c>
      <c r="Z1010" s="4" t="s">
        <v>3853</v>
      </c>
      <c r="AA1010" s="6" t="n">
        <v>0</v>
      </c>
      <c r="AB1010" s="6" t="n">
        <v>4087.1</v>
      </c>
      <c r="AC1010" s="6" t="n">
        <v>4372.98</v>
      </c>
      <c r="AD1010" s="14" t="b">
        <f aca="false">FALSE()</f>
        <v>0</v>
      </c>
    </row>
    <row r="1011" customFormat="false" ht="15" hidden="false" customHeight="false" outlineLevel="0" collapsed="false">
      <c r="A1011" s="14" t="b">
        <f aca="false">TRUE()</f>
        <v>1</v>
      </c>
      <c r="B1011" s="14" t="b">
        <f aca="false">FALSE()</f>
        <v>0</v>
      </c>
      <c r="C1011" s="4" t="n">
        <v>2</v>
      </c>
      <c r="D1011" s="4"/>
      <c r="E1011" s="4"/>
      <c r="F1011" s="4"/>
      <c r="G1011" s="4"/>
      <c r="H1011" s="14" t="b">
        <f aca="false">FALSE()</f>
        <v>0</v>
      </c>
      <c r="I1011" s="14" t="b">
        <f aca="false">FALSE()</f>
        <v>0</v>
      </c>
      <c r="J1011" s="4"/>
      <c r="K1011" s="4" t="s">
        <v>4084</v>
      </c>
      <c r="L1011" s="4" t="s">
        <v>4085</v>
      </c>
      <c r="M1011" s="4" t="s">
        <v>4086</v>
      </c>
      <c r="N1011" s="6" t="n">
        <v>45590</v>
      </c>
      <c r="O1011" s="6" t="n">
        <v>137226</v>
      </c>
      <c r="P1011" s="4" t="s">
        <v>46</v>
      </c>
      <c r="Q1011" s="6"/>
      <c r="R1011" s="15" t="n">
        <v>45810</v>
      </c>
      <c r="S1011" s="6"/>
      <c r="T1011" s="15"/>
      <c r="U1011" s="6"/>
      <c r="V1011" s="15"/>
      <c r="W1011" s="4" t="s">
        <v>58</v>
      </c>
      <c r="X1011" s="4" t="s">
        <v>58</v>
      </c>
      <c r="Y1011" s="4" t="s">
        <v>4087</v>
      </c>
      <c r="Z1011" s="4" t="s">
        <v>3853</v>
      </c>
      <c r="AA1011" s="6" t="n">
        <v>0</v>
      </c>
      <c r="AB1011" s="6" t="n">
        <v>9062.64</v>
      </c>
      <c r="AC1011" s="6" t="n">
        <v>9684.37</v>
      </c>
      <c r="AD1011" s="14" t="b">
        <f aca="false">FALSE()</f>
        <v>0</v>
      </c>
    </row>
    <row r="1012" customFormat="false" ht="15" hidden="false" customHeight="false" outlineLevel="0" collapsed="false">
      <c r="A1012" s="14" t="b">
        <f aca="false">TRUE()</f>
        <v>1</v>
      </c>
      <c r="B1012" s="14" t="b">
        <f aca="false">FALSE()</f>
        <v>0</v>
      </c>
      <c r="C1012" s="4" t="n">
        <v>3</v>
      </c>
      <c r="D1012" s="4"/>
      <c r="E1012" s="4"/>
      <c r="F1012" s="4"/>
      <c r="G1012" s="4"/>
      <c r="H1012" s="14" t="b">
        <f aca="false">FALSE()</f>
        <v>0</v>
      </c>
      <c r="I1012" s="14" t="b">
        <f aca="false">FALSE()</f>
        <v>0</v>
      </c>
      <c r="J1012" s="4"/>
      <c r="K1012" s="4" t="s">
        <v>4088</v>
      </c>
      <c r="L1012" s="4" t="s">
        <v>4089</v>
      </c>
      <c r="M1012" s="4" t="s">
        <v>4090</v>
      </c>
      <c r="N1012" s="6" t="n">
        <v>77919</v>
      </c>
      <c r="O1012" s="6" t="n">
        <v>243352</v>
      </c>
      <c r="P1012" s="4" t="s">
        <v>46</v>
      </c>
      <c r="Q1012" s="6" t="n">
        <v>860000</v>
      </c>
      <c r="R1012" s="15" t="n">
        <v>45163</v>
      </c>
      <c r="S1012" s="6"/>
      <c r="T1012" s="15"/>
      <c r="U1012" s="6"/>
      <c r="V1012" s="15"/>
      <c r="W1012" s="4" t="s">
        <v>47</v>
      </c>
      <c r="X1012" s="4" t="s">
        <v>58</v>
      </c>
      <c r="Y1012" s="4" t="s">
        <v>4091</v>
      </c>
      <c r="Z1012" s="4" t="s">
        <v>3853</v>
      </c>
      <c r="AA1012" s="6" t="n">
        <v>0</v>
      </c>
      <c r="AB1012" s="6" t="n">
        <v>16240.3</v>
      </c>
      <c r="AC1012" s="6" t="n">
        <v>17346.52</v>
      </c>
      <c r="AD1012" s="14" t="b">
        <f aca="false">FALSE()</f>
        <v>0</v>
      </c>
    </row>
    <row r="1013" customFormat="false" ht="15" hidden="false" customHeight="false" outlineLevel="0" collapsed="false">
      <c r="A1013" s="14" t="b">
        <f aca="false">TRUE()</f>
        <v>1</v>
      </c>
      <c r="B1013" s="14" t="b">
        <f aca="false">FALSE()</f>
        <v>0</v>
      </c>
      <c r="C1013" s="4" t="n">
        <v>2</v>
      </c>
      <c r="D1013" s="4"/>
      <c r="E1013" s="4"/>
      <c r="F1013" s="4"/>
      <c r="G1013" s="4"/>
      <c r="H1013" s="14" t="b">
        <f aca="false">FALSE()</f>
        <v>0</v>
      </c>
      <c r="I1013" s="14" t="b">
        <f aca="false">FALSE()</f>
        <v>0</v>
      </c>
      <c r="J1013" s="4"/>
      <c r="K1013" s="4" t="s">
        <v>4092</v>
      </c>
      <c r="L1013" s="4" t="s">
        <v>4093</v>
      </c>
      <c r="M1013" s="4" t="s">
        <v>4094</v>
      </c>
      <c r="N1013" s="6" t="n">
        <v>27054</v>
      </c>
      <c r="O1013" s="6" t="n">
        <v>119038</v>
      </c>
      <c r="P1013" s="4" t="s">
        <v>46</v>
      </c>
      <c r="Q1013" s="6" t="n">
        <v>445500</v>
      </c>
      <c r="R1013" s="15" t="n">
        <v>42871</v>
      </c>
      <c r="S1013" s="6"/>
      <c r="T1013" s="15"/>
      <c r="U1013" s="6"/>
      <c r="V1013" s="15"/>
      <c r="W1013" s="4" t="s">
        <v>47</v>
      </c>
      <c r="X1013" s="4" t="s">
        <v>47</v>
      </c>
      <c r="Y1013" s="4" t="s">
        <v>4095</v>
      </c>
      <c r="Z1013" s="4" t="s">
        <v>3853</v>
      </c>
      <c r="AA1013" s="6" t="n">
        <v>0</v>
      </c>
      <c r="AB1013" s="6" t="n">
        <v>6640.42</v>
      </c>
      <c r="AC1013" s="6" t="n">
        <v>7098.65</v>
      </c>
      <c r="AD1013" s="14" t="b">
        <f aca="false">FALSE()</f>
        <v>0</v>
      </c>
    </row>
    <row r="1014" customFormat="false" ht="15" hidden="false" customHeight="false" outlineLevel="0" collapsed="false">
      <c r="A1014" s="14" t="b">
        <f aca="false">TRUE()</f>
        <v>1</v>
      </c>
      <c r="B1014" s="14" t="b">
        <f aca="false">FALSE()</f>
        <v>0</v>
      </c>
      <c r="C1014" s="4" t="n">
        <v>2</v>
      </c>
      <c r="D1014" s="4"/>
      <c r="E1014" s="4"/>
      <c r="F1014" s="4"/>
      <c r="G1014" s="4"/>
      <c r="H1014" s="14" t="b">
        <f aca="false">FALSE()</f>
        <v>0</v>
      </c>
      <c r="I1014" s="14" t="b">
        <f aca="false">FALSE()</f>
        <v>0</v>
      </c>
      <c r="J1014" s="4"/>
      <c r="K1014" s="4" t="s">
        <v>4096</v>
      </c>
      <c r="L1014" s="4" t="s">
        <v>4097</v>
      </c>
      <c r="M1014" s="4" t="s">
        <v>4098</v>
      </c>
      <c r="N1014" s="6" t="n">
        <v>36104</v>
      </c>
      <c r="O1014" s="6" t="n">
        <v>98631</v>
      </c>
      <c r="P1014" s="4" t="s">
        <v>46</v>
      </c>
      <c r="Q1014" s="6" t="n">
        <v>437500</v>
      </c>
      <c r="R1014" s="15" t="n">
        <v>44816</v>
      </c>
      <c r="S1014" s="6" t="n">
        <v>437400</v>
      </c>
      <c r="T1014" s="15" t="n">
        <v>44816</v>
      </c>
      <c r="U1014" s="6"/>
      <c r="V1014" s="15"/>
      <c r="W1014" s="4" t="s">
        <v>47</v>
      </c>
      <c r="X1014" s="4" t="s">
        <v>58</v>
      </c>
      <c r="Y1014" s="4" t="s">
        <v>4099</v>
      </c>
      <c r="Z1014" s="4" t="s">
        <v>4015</v>
      </c>
      <c r="AA1014" s="6" t="n">
        <v>0</v>
      </c>
      <c r="AB1014" s="6" t="n">
        <v>7494.74</v>
      </c>
      <c r="AC1014" s="6" t="n">
        <v>3926</v>
      </c>
      <c r="AD1014" s="14" t="b">
        <f aca="false">TRUE()</f>
        <v>1</v>
      </c>
    </row>
    <row r="1015" customFormat="false" ht="15" hidden="false" customHeight="false" outlineLevel="0" collapsed="false">
      <c r="A1015" s="14" t="b">
        <f aca="false">TRUE()</f>
        <v>1</v>
      </c>
      <c r="B1015" s="14" t="b">
        <f aca="false">FALSE()</f>
        <v>0</v>
      </c>
      <c r="C1015" s="4" t="n">
        <v>2</v>
      </c>
      <c r="D1015" s="4"/>
      <c r="E1015" s="4"/>
      <c r="F1015" s="4"/>
      <c r="G1015" s="4"/>
      <c r="H1015" s="14" t="b">
        <f aca="false">FALSE()</f>
        <v>0</v>
      </c>
      <c r="I1015" s="14" t="b">
        <f aca="false">FALSE()</f>
        <v>0</v>
      </c>
      <c r="J1015" s="4"/>
      <c r="K1015" s="4" t="s">
        <v>4100</v>
      </c>
      <c r="L1015" s="4" t="s">
        <v>4101</v>
      </c>
      <c r="M1015" s="4" t="s">
        <v>4102</v>
      </c>
      <c r="N1015" s="6" t="n">
        <v>21876</v>
      </c>
      <c r="O1015" s="6" t="n">
        <v>78822</v>
      </c>
      <c r="P1015" s="4" t="s">
        <v>46</v>
      </c>
      <c r="Q1015" s="6"/>
      <c r="R1015" s="15"/>
      <c r="S1015" s="6"/>
      <c r="T1015" s="15"/>
      <c r="U1015" s="6"/>
      <c r="V1015" s="15"/>
      <c r="W1015" s="4" t="s">
        <v>47</v>
      </c>
      <c r="X1015" s="4" t="s">
        <v>47</v>
      </c>
      <c r="Y1015" s="4" t="s">
        <v>4103</v>
      </c>
      <c r="Z1015" s="4" t="s">
        <v>4015</v>
      </c>
      <c r="AA1015" s="6" t="n">
        <v>0</v>
      </c>
      <c r="AB1015" s="6" t="n">
        <v>5337.66</v>
      </c>
      <c r="AC1015" s="6" t="n">
        <v>5707.95</v>
      </c>
      <c r="AD1015" s="14" t="b">
        <f aca="false">FALSE()</f>
        <v>0</v>
      </c>
    </row>
    <row r="1016" customFormat="false" ht="15" hidden="false" customHeight="false" outlineLevel="0" collapsed="false">
      <c r="A1016" s="14" t="b">
        <f aca="false">TRUE()</f>
        <v>1</v>
      </c>
      <c r="B1016" s="14" t="b">
        <f aca="false">FALSE()</f>
        <v>0</v>
      </c>
      <c r="C1016" s="4" t="n">
        <v>2</v>
      </c>
      <c r="D1016" s="4"/>
      <c r="E1016" s="4"/>
      <c r="F1016" s="4"/>
      <c r="G1016" s="4"/>
      <c r="H1016" s="14" t="b">
        <f aca="false">FALSE()</f>
        <v>0</v>
      </c>
      <c r="I1016" s="14" t="b">
        <f aca="false">FALSE()</f>
        <v>0</v>
      </c>
      <c r="J1016" s="4"/>
      <c r="K1016" s="4" t="s">
        <v>4104</v>
      </c>
      <c r="L1016" s="4" t="s">
        <v>4105</v>
      </c>
      <c r="M1016" s="4" t="s">
        <v>4106</v>
      </c>
      <c r="N1016" s="6" t="n">
        <v>9050</v>
      </c>
      <c r="O1016" s="6" t="n">
        <v>31078</v>
      </c>
      <c r="P1016" s="4" t="s">
        <v>46</v>
      </c>
      <c r="Q1016" s="6" t="n">
        <v>106000</v>
      </c>
      <c r="R1016" s="15" t="n">
        <v>44272</v>
      </c>
      <c r="S1016" s="6" t="n">
        <v>140000</v>
      </c>
      <c r="T1016" s="15" t="n">
        <v>45939</v>
      </c>
      <c r="U1016" s="6"/>
      <c r="V1016" s="15"/>
      <c r="W1016" s="4" t="s">
        <v>47</v>
      </c>
      <c r="X1016" s="4" t="s">
        <v>58</v>
      </c>
      <c r="Y1016" s="4" t="s">
        <v>4107</v>
      </c>
      <c r="Z1016" s="4" t="s">
        <v>4015</v>
      </c>
      <c r="AA1016" s="6" t="n">
        <v>0</v>
      </c>
      <c r="AB1016" s="6" t="n">
        <v>2024.72</v>
      </c>
      <c r="AC1016" s="6" t="n">
        <v>1067.92</v>
      </c>
      <c r="AD1016" s="14" t="b">
        <f aca="false">TRUE()</f>
        <v>1</v>
      </c>
    </row>
    <row r="1017" customFormat="false" ht="15" hidden="false" customHeight="false" outlineLevel="0" collapsed="false">
      <c r="A1017" s="14" t="b">
        <f aca="false">TRUE()</f>
        <v>1</v>
      </c>
      <c r="B1017" s="14" t="b">
        <f aca="false">FALSE()</f>
        <v>0</v>
      </c>
      <c r="C1017" s="4" t="n">
        <v>3</v>
      </c>
      <c r="D1017" s="4"/>
      <c r="E1017" s="4"/>
      <c r="F1017" s="4"/>
      <c r="G1017" s="4"/>
      <c r="H1017" s="14" t="b">
        <f aca="false">FALSE()</f>
        <v>0</v>
      </c>
      <c r="I1017" s="14" t="b">
        <f aca="false">FALSE()</f>
        <v>0</v>
      </c>
      <c r="J1017" s="4"/>
      <c r="K1017" s="4" t="s">
        <v>4108</v>
      </c>
      <c r="L1017" s="4" t="s">
        <v>4109</v>
      </c>
      <c r="M1017" s="4" t="s">
        <v>4110</v>
      </c>
      <c r="N1017" s="6" t="n">
        <v>134702</v>
      </c>
      <c r="O1017" s="6" t="n">
        <v>383341</v>
      </c>
      <c r="P1017" s="4" t="s">
        <v>46</v>
      </c>
      <c r="Q1017" s="6" t="n">
        <v>300000</v>
      </c>
      <c r="R1017" s="15" t="n">
        <v>42927</v>
      </c>
      <c r="S1017" s="6"/>
      <c r="T1017" s="15"/>
      <c r="U1017" s="6"/>
      <c r="V1017" s="15"/>
      <c r="W1017" s="4" t="s">
        <v>58</v>
      </c>
      <c r="X1017" s="4" t="s">
        <v>47</v>
      </c>
      <c r="Y1017" s="4" t="s">
        <v>4111</v>
      </c>
      <c r="Z1017" s="4" t="s">
        <v>3853</v>
      </c>
      <c r="AA1017" s="6" t="n">
        <v>0</v>
      </c>
      <c r="AB1017" s="6" t="n">
        <v>26489.3</v>
      </c>
      <c r="AC1017" s="6" t="n">
        <v>28287.33</v>
      </c>
      <c r="AD1017" s="14" t="b">
        <f aca="false">FALSE()</f>
        <v>0</v>
      </c>
    </row>
    <row r="1018" customFormat="false" ht="15" hidden="false" customHeight="false" outlineLevel="0" collapsed="false">
      <c r="A1018" s="14" t="b">
        <f aca="false">TRUE()</f>
        <v>1</v>
      </c>
      <c r="B1018" s="14" t="b">
        <f aca="false">FALSE()</f>
        <v>0</v>
      </c>
      <c r="C1018" s="4" t="n">
        <v>3</v>
      </c>
      <c r="D1018" s="4"/>
      <c r="E1018" s="4"/>
      <c r="F1018" s="4"/>
      <c r="G1018" s="4"/>
      <c r="H1018" s="14" t="b">
        <f aca="false">TRUE()</f>
        <v>1</v>
      </c>
      <c r="I1018" s="14" t="b">
        <f aca="false">FALSE()</f>
        <v>0</v>
      </c>
      <c r="J1018" s="4"/>
      <c r="K1018" s="4" t="s">
        <v>4112</v>
      </c>
      <c r="L1018" s="4" t="s">
        <v>4113</v>
      </c>
      <c r="M1018" s="4" t="s">
        <v>4114</v>
      </c>
      <c r="N1018" s="6" t="n">
        <v>111456</v>
      </c>
      <c r="O1018" s="6" t="n">
        <v>164573</v>
      </c>
      <c r="P1018" s="4" t="s">
        <v>46</v>
      </c>
      <c r="Q1018" s="6" t="n">
        <v>700000</v>
      </c>
      <c r="R1018" s="15" t="n">
        <v>40983</v>
      </c>
      <c r="S1018" s="6"/>
      <c r="T1018" s="15"/>
      <c r="U1018" s="6"/>
      <c r="V1018" s="15"/>
      <c r="W1018" s="4" t="s">
        <v>47</v>
      </c>
      <c r="X1018" s="4" t="s">
        <v>58</v>
      </c>
      <c r="Y1018" s="4" t="s">
        <v>4115</v>
      </c>
      <c r="Z1018" s="4" t="s">
        <v>3853</v>
      </c>
      <c r="AA1018" s="6" t="n">
        <v>0</v>
      </c>
      <c r="AB1018" s="6" t="n">
        <v>14107.56</v>
      </c>
      <c r="AC1018" s="6" t="n">
        <v>15069.82</v>
      </c>
      <c r="AD1018" s="14" t="b">
        <f aca="false">FALSE()</f>
        <v>0</v>
      </c>
    </row>
    <row r="1019" customFormat="false" ht="15" hidden="false" customHeight="false" outlineLevel="0" collapsed="false">
      <c r="A1019" s="14" t="b">
        <f aca="false">TRUE()</f>
        <v>1</v>
      </c>
      <c r="B1019" s="14" t="b">
        <f aca="false">FALSE()</f>
        <v>0</v>
      </c>
      <c r="C1019" s="4" t="n">
        <v>2</v>
      </c>
      <c r="D1019" s="4"/>
      <c r="E1019" s="4"/>
      <c r="F1019" s="4"/>
      <c r="G1019" s="4"/>
      <c r="H1019" s="14" t="b">
        <f aca="false">FALSE()</f>
        <v>0</v>
      </c>
      <c r="I1019" s="14" t="b">
        <f aca="false">FALSE()</f>
        <v>0</v>
      </c>
      <c r="J1019" s="4"/>
      <c r="K1019" s="4" t="s">
        <v>4116</v>
      </c>
      <c r="L1019" s="4" t="s">
        <v>4117</v>
      </c>
      <c r="M1019" s="4" t="s">
        <v>4118</v>
      </c>
      <c r="N1019" s="6" t="n">
        <v>11846</v>
      </c>
      <c r="O1019" s="6" t="n">
        <v>43479</v>
      </c>
      <c r="P1019" s="4" t="s">
        <v>46</v>
      </c>
      <c r="Q1019" s="6" t="n">
        <v>213000</v>
      </c>
      <c r="R1019" s="15" t="n">
        <v>45568</v>
      </c>
      <c r="S1019" s="6"/>
      <c r="T1019" s="15"/>
      <c r="U1019" s="6"/>
      <c r="V1019" s="15"/>
      <c r="W1019" s="4" t="s">
        <v>47</v>
      </c>
      <c r="X1019" s="4" t="s">
        <v>47</v>
      </c>
      <c r="Y1019" s="4" t="s">
        <v>4119</v>
      </c>
      <c r="Z1019" s="4" t="s">
        <v>4120</v>
      </c>
      <c r="AA1019" s="6" t="n">
        <v>0</v>
      </c>
      <c r="AB1019" s="6" t="n">
        <v>2802.4</v>
      </c>
      <c r="AC1019" s="6" t="n">
        <v>3001.56</v>
      </c>
      <c r="AD1019" s="14" t="b">
        <f aca="false">FALSE()</f>
        <v>0</v>
      </c>
    </row>
    <row r="1020" customFormat="false" ht="15" hidden="false" customHeight="false" outlineLevel="0" collapsed="false">
      <c r="A1020" s="14" t="b">
        <f aca="false">TRUE()</f>
        <v>1</v>
      </c>
      <c r="B1020" s="14" t="b">
        <f aca="false">FALSE()</f>
        <v>0</v>
      </c>
      <c r="C1020" s="4" t="n">
        <v>2</v>
      </c>
      <c r="D1020" s="4"/>
      <c r="E1020" s="4"/>
      <c r="F1020" s="4"/>
      <c r="G1020" s="4"/>
      <c r="H1020" s="14" t="b">
        <f aca="false">FALSE()</f>
        <v>0</v>
      </c>
      <c r="I1020" s="14" t="b">
        <f aca="false">FALSE()</f>
        <v>0</v>
      </c>
      <c r="J1020" s="4"/>
      <c r="K1020" s="4" t="s">
        <v>4121</v>
      </c>
      <c r="L1020" s="4" t="s">
        <v>4122</v>
      </c>
      <c r="M1020" s="4" t="s">
        <v>4123</v>
      </c>
      <c r="N1020" s="6" t="n">
        <v>8626</v>
      </c>
      <c r="O1020" s="6" t="n">
        <v>31307</v>
      </c>
      <c r="P1020" s="4" t="s">
        <v>46</v>
      </c>
      <c r="Q1020" s="6" t="n">
        <v>110000</v>
      </c>
      <c r="R1020" s="15" t="n">
        <v>44179</v>
      </c>
      <c r="S1020" s="6"/>
      <c r="T1020" s="15"/>
      <c r="U1020" s="6"/>
      <c r="V1020" s="15"/>
      <c r="W1020" s="4" t="s">
        <v>47</v>
      </c>
      <c r="X1020" s="4" t="s">
        <v>47</v>
      </c>
      <c r="Y1020" s="4" t="s">
        <v>4124</v>
      </c>
      <c r="Z1020" s="4" t="s">
        <v>4120</v>
      </c>
      <c r="AA1020" s="6" t="n">
        <v>0</v>
      </c>
      <c r="AB1020" s="6" t="n">
        <v>1890.96</v>
      </c>
      <c r="AC1020" s="6" t="n">
        <v>998.03</v>
      </c>
      <c r="AD1020" s="14" t="b">
        <f aca="false">TRUE()</f>
        <v>1</v>
      </c>
    </row>
    <row r="1021" customFormat="false" ht="15" hidden="false" customHeight="false" outlineLevel="0" collapsed="false">
      <c r="A1021" s="14" t="b">
        <f aca="false">TRUE()</f>
        <v>1</v>
      </c>
      <c r="B1021" s="14" t="b">
        <f aca="false">FALSE()</f>
        <v>0</v>
      </c>
      <c r="C1021" s="4" t="n">
        <v>2</v>
      </c>
      <c r="D1021" s="4"/>
      <c r="E1021" s="4"/>
      <c r="F1021" s="4"/>
      <c r="G1021" s="4"/>
      <c r="H1021" s="14" t="b">
        <f aca="false">FALSE()</f>
        <v>0</v>
      </c>
      <c r="I1021" s="14" t="b">
        <f aca="false">FALSE()</f>
        <v>0</v>
      </c>
      <c r="J1021" s="4"/>
      <c r="K1021" s="4" t="s">
        <v>4125</v>
      </c>
      <c r="L1021" s="4" t="s">
        <v>4126</v>
      </c>
      <c r="M1021" s="4" t="s">
        <v>4127</v>
      </c>
      <c r="N1021" s="6" t="n">
        <v>11846</v>
      </c>
      <c r="O1021" s="6" t="n">
        <v>43479</v>
      </c>
      <c r="P1021" s="4" t="s">
        <v>46</v>
      </c>
      <c r="Q1021" s="6" t="n">
        <v>105000</v>
      </c>
      <c r="R1021" s="15" t="n">
        <v>41689</v>
      </c>
      <c r="S1021" s="6"/>
      <c r="T1021" s="15"/>
      <c r="U1021" s="6"/>
      <c r="V1021" s="15"/>
      <c r="W1021" s="4" t="s">
        <v>47</v>
      </c>
      <c r="X1021" s="4" t="s">
        <v>47</v>
      </c>
      <c r="Y1021" s="4" t="s">
        <v>4128</v>
      </c>
      <c r="Z1021" s="4" t="s">
        <v>4120</v>
      </c>
      <c r="AA1021" s="6" t="n">
        <v>0</v>
      </c>
      <c r="AB1021" s="6" t="n">
        <v>2802.4</v>
      </c>
      <c r="AC1021" s="6" t="n">
        <v>3001.56</v>
      </c>
      <c r="AD1021" s="14" t="b">
        <f aca="false">FALSE()</f>
        <v>0</v>
      </c>
    </row>
    <row r="1022" customFormat="false" ht="15" hidden="false" customHeight="false" outlineLevel="0" collapsed="false">
      <c r="A1022" s="14" t="b">
        <f aca="false">TRUE()</f>
        <v>1</v>
      </c>
      <c r="B1022" s="14" t="b">
        <f aca="false">FALSE()</f>
        <v>0</v>
      </c>
      <c r="C1022" s="4" t="n">
        <v>2</v>
      </c>
      <c r="D1022" s="4"/>
      <c r="E1022" s="4"/>
      <c r="F1022" s="4"/>
      <c r="G1022" s="4" t="n">
        <v>2</v>
      </c>
      <c r="H1022" s="14" t="b">
        <f aca="false">FALSE()</f>
        <v>0</v>
      </c>
      <c r="I1022" s="14" t="b">
        <f aca="false">FALSE()</f>
        <v>0</v>
      </c>
      <c r="J1022" s="4"/>
      <c r="K1022" s="4" t="s">
        <v>4129</v>
      </c>
      <c r="L1022" s="4" t="s">
        <v>4130</v>
      </c>
      <c r="M1022" s="4" t="s">
        <v>4131</v>
      </c>
      <c r="N1022" s="6" t="n">
        <v>18395</v>
      </c>
      <c r="O1022" s="6" t="n">
        <v>66813</v>
      </c>
      <c r="P1022" s="4" t="s">
        <v>46</v>
      </c>
      <c r="Q1022" s="6"/>
      <c r="R1022" s="15" t="n">
        <v>45966</v>
      </c>
      <c r="S1022" s="6"/>
      <c r="T1022" s="15"/>
      <c r="U1022" s="6"/>
      <c r="V1022" s="15"/>
      <c r="W1022" s="4" t="s">
        <v>47</v>
      </c>
      <c r="X1022" s="4" t="s">
        <v>47</v>
      </c>
      <c r="Y1022" s="4" t="s">
        <v>4132</v>
      </c>
      <c r="Z1022" s="4" t="s">
        <v>4120</v>
      </c>
      <c r="AA1022" s="6" t="n">
        <v>0</v>
      </c>
      <c r="AB1022" s="6" t="n">
        <v>4098.22</v>
      </c>
      <c r="AC1022" s="6" t="n">
        <v>4384.85</v>
      </c>
      <c r="AD1022" s="14" t="b">
        <f aca="false">FALSE()</f>
        <v>0</v>
      </c>
    </row>
    <row r="1023" customFormat="false" ht="15" hidden="false" customHeight="false" outlineLevel="0" collapsed="false">
      <c r="A1023" s="14" t="b">
        <f aca="false">TRUE()</f>
        <v>1</v>
      </c>
      <c r="B1023" s="14" t="b">
        <f aca="false">FALSE()</f>
        <v>0</v>
      </c>
      <c r="C1023" s="4" t="n">
        <v>2</v>
      </c>
      <c r="D1023" s="4"/>
      <c r="E1023" s="4"/>
      <c r="F1023" s="4"/>
      <c r="G1023" s="4"/>
      <c r="H1023" s="14" t="b">
        <f aca="false">FALSE()</f>
        <v>0</v>
      </c>
      <c r="I1023" s="14" t="b">
        <f aca="false">FALSE()</f>
        <v>0</v>
      </c>
      <c r="J1023" s="4"/>
      <c r="K1023" s="4" t="s">
        <v>4133</v>
      </c>
      <c r="L1023" s="4" t="s">
        <v>4134</v>
      </c>
      <c r="M1023" s="4" t="s">
        <v>4135</v>
      </c>
      <c r="N1023" s="6" t="n">
        <v>16676</v>
      </c>
      <c r="O1023" s="6" t="n">
        <v>60569</v>
      </c>
      <c r="P1023" s="4" t="s">
        <v>46</v>
      </c>
      <c r="Q1023" s="6" t="n">
        <v>151000</v>
      </c>
      <c r="R1023" s="15" t="n">
        <v>40064</v>
      </c>
      <c r="S1023" s="6"/>
      <c r="T1023" s="15"/>
      <c r="U1023" s="6"/>
      <c r="V1023" s="15"/>
      <c r="W1023" s="4" t="s">
        <v>47</v>
      </c>
      <c r="X1023" s="4" t="s">
        <v>47</v>
      </c>
      <c r="Y1023" s="4" t="s">
        <v>4136</v>
      </c>
      <c r="Z1023" s="4" t="s">
        <v>4120</v>
      </c>
      <c r="AA1023" s="6" t="n">
        <v>0</v>
      </c>
      <c r="AB1023" s="6" t="n">
        <v>4100.42</v>
      </c>
      <c r="AC1023" s="6" t="n">
        <v>4387.2</v>
      </c>
      <c r="AD1023" s="14" t="b">
        <f aca="false">FALSE()</f>
        <v>0</v>
      </c>
    </row>
    <row r="1024" customFormat="false" ht="15" hidden="false" customHeight="false" outlineLevel="0" collapsed="false">
      <c r="A1024" s="14" t="b">
        <f aca="false">TRUE()</f>
        <v>1</v>
      </c>
      <c r="B1024" s="14" t="b">
        <f aca="false">FALSE()</f>
        <v>0</v>
      </c>
      <c r="C1024" s="4" t="n">
        <v>2</v>
      </c>
      <c r="D1024" s="4"/>
      <c r="E1024" s="4"/>
      <c r="F1024" s="4"/>
      <c r="G1024" s="4"/>
      <c r="H1024" s="14" t="b">
        <f aca="false">TRUE()</f>
        <v>1</v>
      </c>
      <c r="I1024" s="14" t="b">
        <f aca="false">FALSE()</f>
        <v>0</v>
      </c>
      <c r="J1024" s="4"/>
      <c r="K1024" s="4" t="s">
        <v>4137</v>
      </c>
      <c r="L1024" s="4" t="s">
        <v>4138</v>
      </c>
      <c r="M1024" s="4" t="s">
        <v>4139</v>
      </c>
      <c r="N1024" s="6" t="n">
        <v>16676</v>
      </c>
      <c r="O1024" s="6" t="n">
        <v>60569</v>
      </c>
      <c r="P1024" s="4" t="s">
        <v>46</v>
      </c>
      <c r="Q1024" s="6" t="n">
        <v>124000</v>
      </c>
      <c r="R1024" s="15" t="n">
        <v>35543</v>
      </c>
      <c r="S1024" s="6"/>
      <c r="T1024" s="15"/>
      <c r="U1024" s="6"/>
      <c r="V1024" s="15"/>
      <c r="W1024" s="4" t="s">
        <v>58</v>
      </c>
      <c r="X1024" s="4" t="s">
        <v>47</v>
      </c>
      <c r="Y1024" s="4" t="s">
        <v>4140</v>
      </c>
      <c r="Z1024" s="4" t="s">
        <v>4120</v>
      </c>
      <c r="AA1024" s="6" t="n">
        <v>0</v>
      </c>
      <c r="AB1024" s="6" t="n">
        <v>3626.68</v>
      </c>
      <c r="AC1024" s="6" t="n">
        <v>3881.48</v>
      </c>
      <c r="AD1024" s="14" t="b">
        <f aca="false">FALSE()</f>
        <v>0</v>
      </c>
    </row>
    <row r="1025" customFormat="false" ht="15" hidden="false" customHeight="false" outlineLevel="0" collapsed="false">
      <c r="A1025" s="14" t="b">
        <f aca="false">TRUE()</f>
        <v>1</v>
      </c>
      <c r="B1025" s="14" t="b">
        <f aca="false">FALSE()</f>
        <v>0</v>
      </c>
      <c r="C1025" s="4" t="n">
        <v>3</v>
      </c>
      <c r="D1025" s="4"/>
      <c r="E1025" s="4"/>
      <c r="F1025" s="4"/>
      <c r="G1025" s="4"/>
      <c r="H1025" s="14" t="b">
        <f aca="false">TRUE()</f>
        <v>1</v>
      </c>
      <c r="I1025" s="14" t="b">
        <f aca="false">FALSE()</f>
        <v>0</v>
      </c>
      <c r="J1025" s="4"/>
      <c r="K1025" s="4" t="s">
        <v>4141</v>
      </c>
      <c r="L1025" s="4" t="s">
        <v>4142</v>
      </c>
      <c r="M1025" s="4" t="s">
        <v>4143</v>
      </c>
      <c r="N1025" s="6" t="n">
        <v>108856</v>
      </c>
      <c r="O1025" s="6" t="n">
        <v>81705</v>
      </c>
      <c r="P1025" s="4" t="s">
        <v>46</v>
      </c>
      <c r="Q1025" s="6" t="n">
        <v>315000</v>
      </c>
      <c r="R1025" s="15" t="n">
        <v>44298</v>
      </c>
      <c r="S1025" s="6"/>
      <c r="T1025" s="15"/>
      <c r="U1025" s="6"/>
      <c r="V1025" s="15"/>
      <c r="W1025" s="4" t="s">
        <v>58</v>
      </c>
      <c r="X1025" s="4" t="s">
        <v>47</v>
      </c>
      <c r="Y1025" s="4" t="s">
        <v>4144</v>
      </c>
      <c r="Z1025" s="4" t="s">
        <v>4015</v>
      </c>
      <c r="AA1025" s="6" t="n">
        <v>0</v>
      </c>
      <c r="AB1025" s="6" t="n">
        <v>11269.22</v>
      </c>
      <c r="AC1025" s="6" t="n">
        <v>12039.89</v>
      </c>
      <c r="AD1025" s="14" t="b">
        <f aca="false">FALSE()</f>
        <v>0</v>
      </c>
    </row>
    <row r="1026" customFormat="false" ht="15" hidden="false" customHeight="false" outlineLevel="0" collapsed="false">
      <c r="A1026" s="14" t="b">
        <f aca="false">TRUE()</f>
        <v>1</v>
      </c>
      <c r="B1026" s="14" t="b">
        <f aca="false">FALSE()</f>
        <v>0</v>
      </c>
      <c r="C1026" s="4" t="n">
        <v>2</v>
      </c>
      <c r="D1026" s="4"/>
      <c r="E1026" s="4"/>
      <c r="F1026" s="4"/>
      <c r="G1026" s="4"/>
      <c r="H1026" s="14" t="b">
        <f aca="false">FALSE()</f>
        <v>0</v>
      </c>
      <c r="I1026" s="14" t="b">
        <f aca="false">FALSE()</f>
        <v>0</v>
      </c>
      <c r="J1026" s="4"/>
      <c r="K1026" s="4" t="s">
        <v>4145</v>
      </c>
      <c r="L1026" s="4" t="s">
        <v>4146</v>
      </c>
      <c r="M1026" s="4" t="s">
        <v>4147</v>
      </c>
      <c r="N1026" s="6" t="n">
        <v>43545</v>
      </c>
      <c r="O1026" s="6" t="n">
        <v>71240</v>
      </c>
      <c r="P1026" s="4" t="s">
        <v>46</v>
      </c>
      <c r="Q1026" s="6" t="n">
        <v>316000</v>
      </c>
      <c r="R1026" s="15" t="n">
        <v>39231</v>
      </c>
      <c r="S1026" s="6"/>
      <c r="T1026" s="15"/>
      <c r="U1026" s="6"/>
      <c r="V1026" s="15"/>
      <c r="W1026" s="4" t="s">
        <v>47</v>
      </c>
      <c r="X1026" s="4" t="s">
        <v>47</v>
      </c>
      <c r="Y1026" s="4" t="s">
        <v>4148</v>
      </c>
      <c r="Z1026" s="4" t="s">
        <v>4015</v>
      </c>
      <c r="AA1026" s="6" t="n">
        <v>0</v>
      </c>
      <c r="AB1026" s="6" t="n">
        <v>6314.94</v>
      </c>
      <c r="AC1026" s="6" t="n">
        <v>3309.56</v>
      </c>
      <c r="AD1026" s="14" t="b">
        <f aca="false">TRUE()</f>
        <v>1</v>
      </c>
    </row>
    <row r="1027" customFormat="false" ht="15" hidden="false" customHeight="false" outlineLevel="0" collapsed="false">
      <c r="A1027" s="14" t="b">
        <f aca="false">TRUE()</f>
        <v>1</v>
      </c>
      <c r="B1027" s="14" t="b">
        <f aca="false">FALSE()</f>
        <v>0</v>
      </c>
      <c r="C1027" s="4" t="n">
        <v>2</v>
      </c>
      <c r="D1027" s="4"/>
      <c r="E1027" s="4"/>
      <c r="F1027" s="4"/>
      <c r="G1027" s="4" t="n">
        <v>3</v>
      </c>
      <c r="H1027" s="14" t="b">
        <f aca="false">FALSE()</f>
        <v>0</v>
      </c>
      <c r="I1027" s="14" t="b">
        <f aca="false">FALSE()</f>
        <v>0</v>
      </c>
      <c r="J1027" s="4"/>
      <c r="K1027" s="4" t="s">
        <v>4149</v>
      </c>
      <c r="L1027" s="4" t="s">
        <v>4150</v>
      </c>
      <c r="M1027" s="4" t="s">
        <v>4151</v>
      </c>
      <c r="N1027" s="6" t="n">
        <v>49353</v>
      </c>
      <c r="O1027" s="6" t="n">
        <v>82869</v>
      </c>
      <c r="P1027" s="4" t="s">
        <v>46</v>
      </c>
      <c r="Q1027" s="6" t="n">
        <v>310000</v>
      </c>
      <c r="R1027" s="15" t="n">
        <v>41788</v>
      </c>
      <c r="S1027" s="6" t="n">
        <v>80000</v>
      </c>
      <c r="T1027" s="15" t="n">
        <v>41788</v>
      </c>
      <c r="U1027" s="6" t="n">
        <v>30000</v>
      </c>
      <c r="V1027" s="15" t="n">
        <v>44656</v>
      </c>
      <c r="W1027" s="4" t="s">
        <v>47</v>
      </c>
      <c r="X1027" s="4" t="s">
        <v>47</v>
      </c>
      <c r="Y1027" s="4" t="s">
        <v>4152</v>
      </c>
      <c r="Z1027" s="4" t="s">
        <v>2940</v>
      </c>
      <c r="AA1027" s="6" t="n">
        <v>0</v>
      </c>
      <c r="AB1027" s="6" t="n">
        <v>8360.64</v>
      </c>
      <c r="AC1027" s="6" t="n">
        <v>4378.43</v>
      </c>
      <c r="AD1027" s="14" t="b">
        <f aca="false">TRUE()</f>
        <v>1</v>
      </c>
    </row>
    <row r="1028" customFormat="false" ht="15" hidden="false" customHeight="false" outlineLevel="0" collapsed="false">
      <c r="A1028" s="14" t="b">
        <f aca="false">TRUE()</f>
        <v>1</v>
      </c>
      <c r="B1028" s="14" t="b">
        <f aca="false">FALSE()</f>
        <v>0</v>
      </c>
      <c r="C1028" s="4" t="n">
        <v>3</v>
      </c>
      <c r="D1028" s="4"/>
      <c r="E1028" s="4"/>
      <c r="F1028" s="4"/>
      <c r="G1028" s="4"/>
      <c r="H1028" s="14" t="b">
        <f aca="false">FALSE()</f>
        <v>0</v>
      </c>
      <c r="I1028" s="14" t="b">
        <f aca="false">FALSE()</f>
        <v>0</v>
      </c>
      <c r="J1028" s="4"/>
      <c r="K1028" s="4" t="s">
        <v>4153</v>
      </c>
      <c r="L1028" s="4" t="s">
        <v>4154</v>
      </c>
      <c r="M1028" s="4" t="s">
        <v>4155</v>
      </c>
      <c r="N1028" s="6" t="n">
        <v>48298</v>
      </c>
      <c r="O1028" s="6" t="n">
        <v>126750</v>
      </c>
      <c r="P1028" s="4" t="s">
        <v>46</v>
      </c>
      <c r="Q1028" s="6" t="n">
        <v>650000</v>
      </c>
      <c r="R1028" s="15" t="n">
        <v>38155</v>
      </c>
      <c r="S1028" s="6" t="n">
        <v>343000</v>
      </c>
      <c r="T1028" s="15" t="n">
        <v>41165</v>
      </c>
      <c r="U1028" s="6" t="n">
        <v>275000</v>
      </c>
      <c r="V1028" s="15" t="n">
        <v>43725</v>
      </c>
      <c r="W1028" s="4" t="s">
        <v>47</v>
      </c>
      <c r="X1028" s="4" t="s">
        <v>47</v>
      </c>
      <c r="Y1028" s="4" t="s">
        <v>4156</v>
      </c>
      <c r="Z1028" s="4" t="s">
        <v>2911</v>
      </c>
      <c r="AA1028" s="6" t="n">
        <v>0</v>
      </c>
      <c r="AB1028" s="6" t="n">
        <v>10100.4</v>
      </c>
      <c r="AC1028" s="6" t="n">
        <v>10792.18</v>
      </c>
      <c r="AD1028" s="14" t="b">
        <f aca="false">FALSE()</f>
        <v>0</v>
      </c>
    </row>
    <row r="1029" customFormat="false" ht="15" hidden="false" customHeight="false" outlineLevel="0" collapsed="false">
      <c r="A1029" s="14" t="b">
        <f aca="false">TRUE()</f>
        <v>1</v>
      </c>
      <c r="B1029" s="14" t="b">
        <f aca="false">FALSE()</f>
        <v>0</v>
      </c>
      <c r="C1029" s="4" t="n">
        <v>2</v>
      </c>
      <c r="D1029" s="4"/>
      <c r="E1029" s="4"/>
      <c r="F1029" s="4"/>
      <c r="G1029" s="4"/>
      <c r="H1029" s="14" t="b">
        <f aca="false">FALSE()</f>
        <v>0</v>
      </c>
      <c r="I1029" s="14" t="b">
        <f aca="false">FALSE()</f>
        <v>0</v>
      </c>
      <c r="J1029" s="4"/>
      <c r="K1029" s="4" t="s">
        <v>4157</v>
      </c>
      <c r="L1029" s="4" t="s">
        <v>4158</v>
      </c>
      <c r="M1029" s="4" t="s">
        <v>4159</v>
      </c>
      <c r="N1029" s="6" t="n">
        <v>88210</v>
      </c>
      <c r="O1029" s="6" t="n">
        <v>58883</v>
      </c>
      <c r="P1029" s="4" t="s">
        <v>46</v>
      </c>
      <c r="Q1029" s="6" t="n">
        <v>660000</v>
      </c>
      <c r="R1029" s="15" t="n">
        <v>45401</v>
      </c>
      <c r="S1029" s="6"/>
      <c r="T1029" s="15"/>
      <c r="U1029" s="6"/>
      <c r="V1029" s="15"/>
      <c r="W1029" s="4" t="s">
        <v>58</v>
      </c>
      <c r="X1029" s="4" t="s">
        <v>58</v>
      </c>
      <c r="Y1029" s="4" t="s">
        <v>4160</v>
      </c>
      <c r="Z1029" s="4" t="s">
        <v>2940</v>
      </c>
      <c r="AA1029" s="6" t="n">
        <v>0</v>
      </c>
      <c r="AB1029" s="6" t="n">
        <v>8893.82</v>
      </c>
      <c r="AC1029" s="6" t="n">
        <v>9504.15</v>
      </c>
      <c r="AD1029" s="14" t="b">
        <f aca="false">FALSE()</f>
        <v>0</v>
      </c>
    </row>
    <row r="1030" customFormat="false" ht="15" hidden="false" customHeight="false" outlineLevel="0" collapsed="false">
      <c r="A1030" s="14" t="b">
        <f aca="false">TRUE()</f>
        <v>1</v>
      </c>
      <c r="B1030" s="14" t="b">
        <f aca="false">FALSE()</f>
        <v>0</v>
      </c>
      <c r="C1030" s="4" t="n">
        <v>2</v>
      </c>
      <c r="D1030" s="4"/>
      <c r="E1030" s="4"/>
      <c r="F1030" s="4"/>
      <c r="G1030" s="4"/>
      <c r="H1030" s="14" t="b">
        <f aca="false">FALSE()</f>
        <v>0</v>
      </c>
      <c r="I1030" s="14" t="b">
        <f aca="false">FALSE()</f>
        <v>0</v>
      </c>
      <c r="J1030" s="4"/>
      <c r="K1030" s="4" t="s">
        <v>4161</v>
      </c>
      <c r="L1030" s="4" t="s">
        <v>4162</v>
      </c>
      <c r="M1030" s="4" t="s">
        <v>4163</v>
      </c>
      <c r="N1030" s="6" t="n">
        <v>45155</v>
      </c>
      <c r="O1030" s="6" t="n">
        <v>70326</v>
      </c>
      <c r="P1030" s="4" t="s">
        <v>46</v>
      </c>
      <c r="Q1030" s="6" t="n">
        <v>329000</v>
      </c>
      <c r="R1030" s="15" t="n">
        <v>38562</v>
      </c>
      <c r="S1030" s="6"/>
      <c r="T1030" s="15"/>
      <c r="U1030" s="6"/>
      <c r="V1030" s="15"/>
      <c r="W1030" s="4" t="s">
        <v>47</v>
      </c>
      <c r="X1030" s="4" t="s">
        <v>58</v>
      </c>
      <c r="Y1030" s="4" t="s">
        <v>4164</v>
      </c>
      <c r="Z1030" s="4" t="s">
        <v>2911</v>
      </c>
      <c r="AA1030" s="6" t="n">
        <v>0</v>
      </c>
      <c r="AB1030" s="6" t="n">
        <v>6611.42</v>
      </c>
      <c r="AC1030" s="6" t="n">
        <v>3464.47</v>
      </c>
      <c r="AD1030" s="14" t="b">
        <f aca="false">TRUE()</f>
        <v>1</v>
      </c>
    </row>
    <row r="1031" customFormat="false" ht="15" hidden="false" customHeight="false" outlineLevel="0" collapsed="false">
      <c r="A1031" s="14" t="b">
        <f aca="false">TRUE()</f>
        <v>1</v>
      </c>
      <c r="B1031" s="14" t="b">
        <f aca="false">FALSE()</f>
        <v>0</v>
      </c>
      <c r="C1031" s="4" t="n">
        <v>2</v>
      </c>
      <c r="D1031" s="4"/>
      <c r="E1031" s="4"/>
      <c r="F1031" s="4"/>
      <c r="G1031" s="4"/>
      <c r="H1031" s="14" t="b">
        <f aca="false">FALSE()</f>
        <v>0</v>
      </c>
      <c r="I1031" s="14" t="b">
        <f aca="false">FALSE()</f>
        <v>0</v>
      </c>
      <c r="J1031" s="4"/>
      <c r="K1031" s="4" t="s">
        <v>4165</v>
      </c>
      <c r="L1031" s="4" t="s">
        <v>4166</v>
      </c>
      <c r="M1031" s="4" t="s">
        <v>4167</v>
      </c>
      <c r="N1031" s="6" t="n">
        <v>49593</v>
      </c>
      <c r="O1031" s="6" t="n">
        <v>57936</v>
      </c>
      <c r="P1031" s="4" t="s">
        <v>46</v>
      </c>
      <c r="Q1031" s="6"/>
      <c r="R1031" s="15"/>
      <c r="S1031" s="6"/>
      <c r="T1031" s="15"/>
      <c r="U1031" s="6"/>
      <c r="V1031" s="15"/>
      <c r="W1031" s="4" t="s">
        <v>47</v>
      </c>
      <c r="X1031" s="4" t="s">
        <v>58</v>
      </c>
      <c r="Y1031" s="4" t="s">
        <v>4168</v>
      </c>
      <c r="Z1031" s="4" t="s">
        <v>2911</v>
      </c>
      <c r="AA1031" s="6" t="n">
        <v>0</v>
      </c>
      <c r="AB1031" s="6" t="n">
        <v>5233.64</v>
      </c>
      <c r="AC1031" s="6" t="n">
        <v>5596.91</v>
      </c>
      <c r="AD1031" s="14" t="b">
        <f aca="false">FALSE()</f>
        <v>0</v>
      </c>
    </row>
    <row r="1032" customFormat="false" ht="15" hidden="false" customHeight="false" outlineLevel="0" collapsed="false">
      <c r="A1032" s="14" t="b">
        <f aca="false">TRUE()</f>
        <v>1</v>
      </c>
      <c r="B1032" s="14" t="b">
        <f aca="false">FALSE()</f>
        <v>0</v>
      </c>
      <c r="C1032" s="4" t="n">
        <v>2</v>
      </c>
      <c r="D1032" s="4"/>
      <c r="E1032" s="4"/>
      <c r="F1032" s="4"/>
      <c r="G1032" s="4"/>
      <c r="H1032" s="14" t="b">
        <f aca="false">FALSE()</f>
        <v>0</v>
      </c>
      <c r="I1032" s="14" t="b">
        <f aca="false">FALSE()</f>
        <v>0</v>
      </c>
      <c r="J1032" s="4"/>
      <c r="K1032" s="4" t="s">
        <v>4169</v>
      </c>
      <c r="L1032" s="4" t="s">
        <v>4170</v>
      </c>
      <c r="M1032" s="4" t="s">
        <v>4171</v>
      </c>
      <c r="N1032" s="6" t="n">
        <v>46232</v>
      </c>
      <c r="O1032" s="6" t="n">
        <v>98033</v>
      </c>
      <c r="P1032" s="4" t="s">
        <v>46</v>
      </c>
      <c r="Q1032" s="6" t="n">
        <v>305000</v>
      </c>
      <c r="R1032" s="15" t="n">
        <v>40346</v>
      </c>
      <c r="S1032" s="6"/>
      <c r="T1032" s="15"/>
      <c r="U1032" s="6"/>
      <c r="V1032" s="15"/>
      <c r="W1032" s="4" t="s">
        <v>47</v>
      </c>
      <c r="X1032" s="4" t="s">
        <v>47</v>
      </c>
      <c r="Y1032" s="4" t="s">
        <v>4172</v>
      </c>
      <c r="Z1032" s="4" t="s">
        <v>2911</v>
      </c>
      <c r="AA1032" s="6" t="n">
        <v>0</v>
      </c>
      <c r="AB1032" s="6" t="n">
        <v>7801.32</v>
      </c>
      <c r="AC1032" s="6" t="n">
        <v>4086.19</v>
      </c>
      <c r="AD1032" s="14" t="b">
        <f aca="false">TRUE()</f>
        <v>1</v>
      </c>
    </row>
    <row r="1033" customFormat="false" ht="15" hidden="false" customHeight="false" outlineLevel="0" collapsed="false">
      <c r="A1033" s="14" t="b">
        <f aca="false">TRUE()</f>
        <v>1</v>
      </c>
      <c r="B1033" s="14" t="b">
        <f aca="false">FALSE()</f>
        <v>0</v>
      </c>
      <c r="C1033" s="4" t="n">
        <v>2</v>
      </c>
      <c r="D1033" s="4"/>
      <c r="E1033" s="4"/>
      <c r="F1033" s="4"/>
      <c r="G1033" s="4"/>
      <c r="H1033" s="14" t="b">
        <f aca="false">FALSE()</f>
        <v>0</v>
      </c>
      <c r="I1033" s="14" t="b">
        <f aca="false">FALSE()</f>
        <v>0</v>
      </c>
      <c r="J1033" s="4"/>
      <c r="K1033" s="4" t="s">
        <v>4173</v>
      </c>
      <c r="L1033" s="4" t="s">
        <v>4174</v>
      </c>
      <c r="M1033" s="4" t="s">
        <v>4175</v>
      </c>
      <c r="N1033" s="6" t="n">
        <v>85697</v>
      </c>
      <c r="O1033" s="6" t="n">
        <v>283742</v>
      </c>
      <c r="P1033" s="4" t="s">
        <v>46</v>
      </c>
      <c r="Q1033" s="6" t="n">
        <v>650000</v>
      </c>
      <c r="R1033" s="15" t="n">
        <v>42409</v>
      </c>
      <c r="S1033" s="6" t="n">
        <v>616965</v>
      </c>
      <c r="T1033" s="15" t="n">
        <v>42409</v>
      </c>
      <c r="U1033" s="6" t="n">
        <v>36000</v>
      </c>
      <c r="V1033" s="15" t="n">
        <v>43110</v>
      </c>
      <c r="W1033" s="4" t="s">
        <v>47</v>
      </c>
      <c r="X1033" s="4" t="s">
        <v>47</v>
      </c>
      <c r="Y1033" s="4" t="s">
        <v>4176</v>
      </c>
      <c r="Z1033" s="4" t="s">
        <v>2911</v>
      </c>
      <c r="AA1033" s="6" t="n">
        <v>0</v>
      </c>
      <c r="AB1033" s="6" t="n">
        <v>20692.76</v>
      </c>
      <c r="AC1033" s="6" t="n">
        <v>10821.97</v>
      </c>
      <c r="AD1033" s="14" t="b">
        <f aca="false">TRUE()</f>
        <v>1</v>
      </c>
    </row>
    <row r="1034" customFormat="false" ht="15" hidden="false" customHeight="false" outlineLevel="0" collapsed="false">
      <c r="A1034" s="14" t="b">
        <f aca="false">TRUE()</f>
        <v>1</v>
      </c>
      <c r="B1034" s="14" t="b">
        <f aca="false">FALSE()</f>
        <v>0</v>
      </c>
      <c r="C1034" s="4" t="n">
        <v>2</v>
      </c>
      <c r="D1034" s="4"/>
      <c r="E1034" s="4"/>
      <c r="F1034" s="4"/>
      <c r="G1034" s="4"/>
      <c r="H1034" s="14" t="b">
        <f aca="false">FALSE()</f>
        <v>0</v>
      </c>
      <c r="I1034" s="14" t="b">
        <f aca="false">FALSE()</f>
        <v>0</v>
      </c>
      <c r="J1034" s="4"/>
      <c r="K1034" s="4" t="s">
        <v>4177</v>
      </c>
      <c r="L1034" s="4" t="s">
        <v>4178</v>
      </c>
      <c r="M1034" s="4" t="s">
        <v>4179</v>
      </c>
      <c r="N1034" s="6" t="n">
        <v>19972</v>
      </c>
      <c r="O1034" s="6" t="n">
        <v>75352</v>
      </c>
      <c r="P1034" s="4" t="s">
        <v>46</v>
      </c>
      <c r="Q1034" s="6" t="n">
        <v>147000</v>
      </c>
      <c r="R1034" s="15" t="n">
        <v>35951</v>
      </c>
      <c r="S1034" s="6"/>
      <c r="T1034" s="15"/>
      <c r="U1034" s="6"/>
      <c r="V1034" s="15"/>
      <c r="W1034" s="4" t="s">
        <v>47</v>
      </c>
      <c r="X1034" s="4" t="s">
        <v>47</v>
      </c>
      <c r="Y1034" s="4" t="s">
        <v>4180</v>
      </c>
      <c r="Z1034" s="4" t="s">
        <v>2911</v>
      </c>
      <c r="AA1034" s="6" t="n">
        <v>0</v>
      </c>
      <c r="AB1034" s="6" t="n">
        <v>4541.38</v>
      </c>
      <c r="AC1034" s="6" t="n">
        <v>4857.92</v>
      </c>
      <c r="AD1034" s="14" t="b">
        <f aca="false">FALSE()</f>
        <v>0</v>
      </c>
    </row>
    <row r="1035" customFormat="false" ht="15" hidden="false" customHeight="false" outlineLevel="0" collapsed="false">
      <c r="A1035" s="14" t="b">
        <f aca="false">TRUE()</f>
        <v>1</v>
      </c>
      <c r="B1035" s="14" t="b">
        <f aca="false">FALSE()</f>
        <v>0</v>
      </c>
      <c r="C1035" s="4" t="n">
        <v>2</v>
      </c>
      <c r="D1035" s="4"/>
      <c r="E1035" s="4"/>
      <c r="F1035" s="4"/>
      <c r="G1035" s="4"/>
      <c r="H1035" s="14" t="b">
        <f aca="false">FALSE()</f>
        <v>0</v>
      </c>
      <c r="I1035" s="14" t="b">
        <f aca="false">FALSE()</f>
        <v>0</v>
      </c>
      <c r="J1035" s="4"/>
      <c r="K1035" s="4" t="s">
        <v>4181</v>
      </c>
      <c r="L1035" s="4" t="s">
        <v>4182</v>
      </c>
      <c r="M1035" s="4" t="s">
        <v>4183</v>
      </c>
      <c r="N1035" s="6" t="n">
        <v>17666</v>
      </c>
      <c r="O1035" s="6" t="n">
        <v>72763</v>
      </c>
      <c r="P1035" s="4" t="s">
        <v>46</v>
      </c>
      <c r="Q1035" s="6" t="n">
        <v>164000</v>
      </c>
      <c r="R1035" s="15" t="n">
        <v>37042</v>
      </c>
      <c r="S1035" s="6"/>
      <c r="T1035" s="15"/>
      <c r="U1035" s="6"/>
      <c r="V1035" s="15"/>
      <c r="W1035" s="4" t="s">
        <v>47</v>
      </c>
      <c r="X1035" s="4" t="s">
        <v>47</v>
      </c>
      <c r="Y1035" s="4" t="s">
        <v>4184</v>
      </c>
      <c r="Z1035" s="4" t="s">
        <v>2911</v>
      </c>
      <c r="AA1035" s="6" t="n">
        <v>0</v>
      </c>
      <c r="AB1035" s="6" t="n">
        <v>4719.16</v>
      </c>
      <c r="AC1035" s="6" t="n">
        <v>2475.76</v>
      </c>
      <c r="AD1035" s="14" t="b">
        <f aca="false">TRUE()</f>
        <v>1</v>
      </c>
    </row>
    <row r="1036" customFormat="false" ht="15" hidden="false" customHeight="false" outlineLevel="0" collapsed="false">
      <c r="A1036" s="14" t="b">
        <f aca="false">TRUE()</f>
        <v>1</v>
      </c>
      <c r="B1036" s="14" t="b">
        <f aca="false">FALSE()</f>
        <v>0</v>
      </c>
      <c r="C1036" s="4" t="n">
        <v>2</v>
      </c>
      <c r="D1036" s="4"/>
      <c r="E1036" s="4"/>
      <c r="F1036" s="4"/>
      <c r="G1036" s="4"/>
      <c r="H1036" s="14" t="b">
        <f aca="false">FALSE()</f>
        <v>0</v>
      </c>
      <c r="I1036" s="14" t="b">
        <f aca="false">FALSE()</f>
        <v>0</v>
      </c>
      <c r="J1036" s="4"/>
      <c r="K1036" s="4" t="s">
        <v>4185</v>
      </c>
      <c r="L1036" s="4" t="s">
        <v>4186</v>
      </c>
      <c r="M1036" s="4" t="s">
        <v>4187</v>
      </c>
      <c r="N1036" s="6" t="n">
        <v>46645</v>
      </c>
      <c r="O1036" s="6" t="n">
        <v>97021</v>
      </c>
      <c r="P1036" s="4" t="s">
        <v>46</v>
      </c>
      <c r="Q1036" s="6" t="n">
        <v>342000</v>
      </c>
      <c r="R1036" s="15" t="n">
        <v>45572</v>
      </c>
      <c r="S1036" s="6"/>
      <c r="T1036" s="15"/>
      <c r="U1036" s="6"/>
      <c r="V1036" s="15"/>
      <c r="W1036" s="4" t="s">
        <v>47</v>
      </c>
      <c r="X1036" s="4" t="s">
        <v>47</v>
      </c>
      <c r="Y1036" s="4" t="s">
        <v>4188</v>
      </c>
      <c r="Z1036" s="4" t="s">
        <v>2911</v>
      </c>
      <c r="AA1036" s="6" t="n">
        <v>0</v>
      </c>
      <c r="AB1036" s="6" t="n">
        <v>5765.32</v>
      </c>
      <c r="AC1036" s="6" t="n">
        <v>6164.48</v>
      </c>
      <c r="AD1036" s="14" t="b">
        <f aca="false">FALSE()</f>
        <v>0</v>
      </c>
    </row>
    <row r="1037" customFormat="false" ht="15" hidden="false" customHeight="false" outlineLevel="0" collapsed="false">
      <c r="A1037" s="14" t="b">
        <f aca="false">TRUE()</f>
        <v>1</v>
      </c>
      <c r="B1037" s="14" t="b">
        <f aca="false">FALSE()</f>
        <v>0</v>
      </c>
      <c r="C1037" s="4" t="n">
        <v>3</v>
      </c>
      <c r="D1037" s="4"/>
      <c r="E1037" s="4"/>
      <c r="F1037" s="4"/>
      <c r="G1037" s="4"/>
      <c r="H1037" s="14" t="b">
        <f aca="false">FALSE()</f>
        <v>0</v>
      </c>
      <c r="I1037" s="14" t="b">
        <f aca="false">FALSE()</f>
        <v>0</v>
      </c>
      <c r="J1037" s="4"/>
      <c r="K1037" s="4" t="s">
        <v>4189</v>
      </c>
      <c r="L1037" s="4" t="s">
        <v>4190</v>
      </c>
      <c r="M1037" s="4" t="s">
        <v>4191</v>
      </c>
      <c r="N1037" s="6" t="n">
        <v>45981</v>
      </c>
      <c r="O1037" s="6" t="n">
        <v>137204</v>
      </c>
      <c r="P1037" s="4" t="s">
        <v>46</v>
      </c>
      <c r="Q1037" s="6"/>
      <c r="R1037" s="15"/>
      <c r="S1037" s="6"/>
      <c r="T1037" s="15"/>
      <c r="U1037" s="6"/>
      <c r="V1037" s="15"/>
      <c r="W1037" s="4" t="s">
        <v>47</v>
      </c>
      <c r="X1037" s="4" t="s">
        <v>58</v>
      </c>
      <c r="Y1037" s="4" t="s">
        <v>4192</v>
      </c>
      <c r="Z1037" s="4" t="s">
        <v>2911</v>
      </c>
      <c r="AA1037" s="6" t="n">
        <v>0</v>
      </c>
      <c r="AB1037" s="6" t="n">
        <v>9571.5</v>
      </c>
      <c r="AC1037" s="6" t="n">
        <v>10227.58</v>
      </c>
      <c r="AD1037" s="14" t="b">
        <f aca="false">FALSE()</f>
        <v>0</v>
      </c>
    </row>
    <row r="1038" customFormat="false" ht="15" hidden="false" customHeight="false" outlineLevel="0" collapsed="false">
      <c r="A1038" s="14" t="b">
        <f aca="false">TRUE()</f>
        <v>1</v>
      </c>
      <c r="B1038" s="14" t="b">
        <f aca="false">FALSE()</f>
        <v>0</v>
      </c>
      <c r="C1038" s="4" t="n">
        <v>2</v>
      </c>
      <c r="D1038" s="4"/>
      <c r="E1038" s="4"/>
      <c r="F1038" s="4"/>
      <c r="G1038" s="4"/>
      <c r="H1038" s="14" t="b">
        <f aca="false">FALSE()</f>
        <v>0</v>
      </c>
      <c r="I1038" s="14" t="b">
        <f aca="false">FALSE()</f>
        <v>0</v>
      </c>
      <c r="J1038" s="4"/>
      <c r="K1038" s="4" t="s">
        <v>4193</v>
      </c>
      <c r="L1038" s="4" t="s">
        <v>4194</v>
      </c>
      <c r="M1038" s="4" t="s">
        <v>4195</v>
      </c>
      <c r="N1038" s="6" t="n">
        <v>49441</v>
      </c>
      <c r="O1038" s="6" t="n">
        <v>93083</v>
      </c>
      <c r="P1038" s="4" t="s">
        <v>46</v>
      </c>
      <c r="Q1038" s="6" t="n">
        <v>425000</v>
      </c>
      <c r="R1038" s="15" t="n">
        <v>45832</v>
      </c>
      <c r="S1038" s="6"/>
      <c r="T1038" s="15"/>
      <c r="U1038" s="6"/>
      <c r="V1038" s="15"/>
      <c r="W1038" s="4" t="s">
        <v>47</v>
      </c>
      <c r="X1038" s="4" t="s">
        <v>47</v>
      </c>
      <c r="Y1038" s="4" t="s">
        <v>4196</v>
      </c>
      <c r="Z1038" s="4" t="s">
        <v>2911</v>
      </c>
      <c r="AA1038" s="6" t="n">
        <v>0</v>
      </c>
      <c r="AB1038" s="6" t="n">
        <v>7701.66</v>
      </c>
      <c r="AC1038" s="6" t="n">
        <v>4034.12</v>
      </c>
      <c r="AD1038" s="14" t="b">
        <f aca="false">TRUE()</f>
        <v>1</v>
      </c>
    </row>
    <row r="1039" customFormat="false" ht="15" hidden="false" customHeight="false" outlineLevel="0" collapsed="false">
      <c r="A1039" s="14" t="b">
        <f aca="false">TRUE()</f>
        <v>1</v>
      </c>
      <c r="B1039" s="14" t="b">
        <f aca="false">FALSE()</f>
        <v>0</v>
      </c>
      <c r="C1039" s="4" t="n">
        <v>2</v>
      </c>
      <c r="D1039" s="4"/>
      <c r="E1039" s="4"/>
      <c r="F1039" s="4"/>
      <c r="G1039" s="4"/>
      <c r="H1039" s="14" t="b">
        <f aca="false">FALSE()</f>
        <v>0</v>
      </c>
      <c r="I1039" s="14" t="b">
        <f aca="false">FALSE()</f>
        <v>0</v>
      </c>
      <c r="J1039" s="4"/>
      <c r="K1039" s="4" t="s">
        <v>4197</v>
      </c>
      <c r="L1039" s="4" t="s">
        <v>4198</v>
      </c>
      <c r="M1039" s="4" t="s">
        <v>4199</v>
      </c>
      <c r="N1039" s="6" t="n">
        <v>64898</v>
      </c>
      <c r="O1039" s="6" t="n">
        <v>93942</v>
      </c>
      <c r="P1039" s="4" t="s">
        <v>46</v>
      </c>
      <c r="Q1039" s="6"/>
      <c r="R1039" s="15" t="n">
        <v>38321</v>
      </c>
      <c r="S1039" s="6"/>
      <c r="T1039" s="15"/>
      <c r="U1039" s="6"/>
      <c r="V1039" s="15"/>
      <c r="W1039" s="4" t="s">
        <v>58</v>
      </c>
      <c r="X1039" s="4" t="s">
        <v>47</v>
      </c>
      <c r="Y1039" s="4" t="s">
        <v>4200</v>
      </c>
      <c r="Z1039" s="4" t="s">
        <v>2911</v>
      </c>
      <c r="AA1039" s="6" t="n">
        <v>0</v>
      </c>
      <c r="AB1039" s="6" t="n">
        <v>8635.74</v>
      </c>
      <c r="AC1039" s="6" t="n">
        <v>9228.65</v>
      </c>
      <c r="AD1039" s="14" t="b">
        <f aca="false">FALSE()</f>
        <v>0</v>
      </c>
    </row>
    <row r="1040" customFormat="false" ht="15" hidden="false" customHeight="false" outlineLevel="0" collapsed="false">
      <c r="A1040" s="14" t="b">
        <f aca="false">TRUE()</f>
        <v>1</v>
      </c>
      <c r="B1040" s="14" t="b">
        <f aca="false">FALSE()</f>
        <v>0</v>
      </c>
      <c r="C1040" s="4" t="n">
        <v>2</v>
      </c>
      <c r="D1040" s="4"/>
      <c r="E1040" s="4"/>
      <c r="F1040" s="4"/>
      <c r="G1040" s="4"/>
      <c r="H1040" s="14" t="b">
        <f aca="false">FALSE()</f>
        <v>0</v>
      </c>
      <c r="I1040" s="14" t="b">
        <f aca="false">FALSE()</f>
        <v>0</v>
      </c>
      <c r="J1040" s="4"/>
      <c r="K1040" s="4" t="s">
        <v>4201</v>
      </c>
      <c r="L1040" s="4" t="s">
        <v>4202</v>
      </c>
      <c r="M1040" s="4" t="s">
        <v>4203</v>
      </c>
      <c r="N1040" s="6" t="n">
        <v>19047</v>
      </c>
      <c r="O1040" s="6" t="n">
        <v>128034</v>
      </c>
      <c r="P1040" s="4" t="s">
        <v>46</v>
      </c>
      <c r="Q1040" s="6" t="n">
        <v>755000</v>
      </c>
      <c r="R1040" s="15" t="n">
        <v>45828</v>
      </c>
      <c r="S1040" s="6"/>
      <c r="T1040" s="15"/>
      <c r="U1040" s="6"/>
      <c r="V1040" s="15"/>
      <c r="W1040" s="4" t="s">
        <v>58</v>
      </c>
      <c r="X1040" s="4" t="s">
        <v>58</v>
      </c>
      <c r="Y1040" s="4" t="s">
        <v>4204</v>
      </c>
      <c r="Z1040" s="4" t="s">
        <v>2940</v>
      </c>
      <c r="AA1040" s="6" t="n">
        <v>0</v>
      </c>
      <c r="AB1040" s="6" t="n">
        <v>10685.74</v>
      </c>
      <c r="AC1040" s="6" t="n">
        <v>5593.3</v>
      </c>
      <c r="AD1040" s="14" t="b">
        <f aca="false">TRUE()</f>
        <v>1</v>
      </c>
    </row>
    <row r="1041" customFormat="false" ht="15" hidden="false" customHeight="false" outlineLevel="0" collapsed="false">
      <c r="A1041" s="14" t="b">
        <f aca="false">TRUE()</f>
        <v>1</v>
      </c>
      <c r="B1041" s="14" t="b">
        <f aca="false">FALSE()</f>
        <v>0</v>
      </c>
      <c r="C1041" s="4" t="n">
        <v>2</v>
      </c>
      <c r="D1041" s="4"/>
      <c r="E1041" s="4"/>
      <c r="F1041" s="4"/>
      <c r="G1041" s="4"/>
      <c r="H1041" s="14" t="b">
        <f aca="false">FALSE()</f>
        <v>0</v>
      </c>
      <c r="I1041" s="14" t="b">
        <f aca="false">FALSE()</f>
        <v>0</v>
      </c>
      <c r="J1041" s="4"/>
      <c r="K1041" s="4" t="s">
        <v>4205</v>
      </c>
      <c r="L1041" s="4" t="s">
        <v>4206</v>
      </c>
      <c r="M1041" s="4" t="s">
        <v>4207</v>
      </c>
      <c r="N1041" s="6" t="n">
        <v>10356</v>
      </c>
      <c r="O1041" s="6" t="n">
        <v>43207</v>
      </c>
      <c r="P1041" s="4" t="s">
        <v>46</v>
      </c>
      <c r="Q1041" s="6"/>
      <c r="R1041" s="15"/>
      <c r="S1041" s="6"/>
      <c r="T1041" s="15"/>
      <c r="U1041" s="6"/>
      <c r="V1041" s="15"/>
      <c r="W1041" s="4" t="s">
        <v>47</v>
      </c>
      <c r="X1041" s="4" t="s">
        <v>58</v>
      </c>
      <c r="Y1041" s="4" t="s">
        <v>4208</v>
      </c>
      <c r="Z1041" s="4" t="s">
        <v>2940</v>
      </c>
      <c r="AA1041" s="6" t="n">
        <v>0</v>
      </c>
      <c r="AB1041" s="6" t="n">
        <v>3066.58</v>
      </c>
      <c r="AC1041" s="6" t="n">
        <v>3283.58</v>
      </c>
      <c r="AD1041" s="14" t="b">
        <f aca="false">FALSE()</f>
        <v>0</v>
      </c>
    </row>
    <row r="1042" customFormat="false" ht="15" hidden="false" customHeight="false" outlineLevel="0" collapsed="false">
      <c r="A1042" s="14" t="b">
        <f aca="false">TRUE()</f>
        <v>1</v>
      </c>
      <c r="B1042" s="14" t="b">
        <f aca="false">FALSE()</f>
        <v>0</v>
      </c>
      <c r="C1042" s="4" t="n">
        <v>2</v>
      </c>
      <c r="D1042" s="4"/>
      <c r="E1042" s="4"/>
      <c r="F1042" s="4"/>
      <c r="G1042" s="4"/>
      <c r="H1042" s="14" t="b">
        <f aca="false">FALSE()</f>
        <v>0</v>
      </c>
      <c r="I1042" s="14" t="b">
        <f aca="false">FALSE()</f>
        <v>0</v>
      </c>
      <c r="J1042" s="4"/>
      <c r="K1042" s="4" t="s">
        <v>4209</v>
      </c>
      <c r="L1042" s="4" t="s">
        <v>4210</v>
      </c>
      <c r="M1042" s="4" t="s">
        <v>4211</v>
      </c>
      <c r="N1042" s="6" t="n">
        <v>13043</v>
      </c>
      <c r="O1042" s="6" t="n">
        <v>54488</v>
      </c>
      <c r="P1042" s="4" t="s">
        <v>46</v>
      </c>
      <c r="Q1042" s="6" t="n">
        <v>213000</v>
      </c>
      <c r="R1042" s="15" t="n">
        <v>45602</v>
      </c>
      <c r="S1042" s="6"/>
      <c r="T1042" s="15"/>
      <c r="U1042" s="6"/>
      <c r="V1042" s="15"/>
      <c r="W1042" s="4" t="s">
        <v>47</v>
      </c>
      <c r="X1042" s="4" t="s">
        <v>47</v>
      </c>
      <c r="Y1042" s="4" t="s">
        <v>4212</v>
      </c>
      <c r="Z1042" s="4" t="s">
        <v>2940</v>
      </c>
      <c r="AA1042" s="6" t="n">
        <v>0</v>
      </c>
      <c r="AB1042" s="6" t="n">
        <v>4006.68</v>
      </c>
      <c r="AC1042" s="6" t="n">
        <v>2103.49</v>
      </c>
      <c r="AD1042" s="14" t="b">
        <f aca="false">TRUE()</f>
        <v>1</v>
      </c>
    </row>
    <row r="1043" customFormat="false" ht="15" hidden="false" customHeight="false" outlineLevel="0" collapsed="false">
      <c r="A1043" s="14" t="b">
        <f aca="false">TRUE()</f>
        <v>1</v>
      </c>
      <c r="B1043" s="14" t="b">
        <f aca="false">FALSE()</f>
        <v>0</v>
      </c>
      <c r="C1043" s="4" t="n">
        <v>2</v>
      </c>
      <c r="D1043" s="4"/>
      <c r="E1043" s="4"/>
      <c r="F1043" s="4"/>
      <c r="G1043" s="4"/>
      <c r="H1043" s="14" t="b">
        <f aca="false">FALSE()</f>
        <v>0</v>
      </c>
      <c r="I1043" s="14" t="b">
        <f aca="false">FALSE()</f>
        <v>0</v>
      </c>
      <c r="J1043" s="4"/>
      <c r="K1043" s="4" t="s">
        <v>4213</v>
      </c>
      <c r="L1043" s="4" t="s">
        <v>4214</v>
      </c>
      <c r="M1043" s="4" t="s">
        <v>4215</v>
      </c>
      <c r="N1043" s="6" t="n">
        <v>13978</v>
      </c>
      <c r="O1043" s="6" t="n">
        <v>53041</v>
      </c>
      <c r="P1043" s="4" t="s">
        <v>46</v>
      </c>
      <c r="Q1043" s="6" t="n">
        <v>112000</v>
      </c>
      <c r="R1043" s="15" t="n">
        <v>33904</v>
      </c>
      <c r="S1043" s="6"/>
      <c r="T1043" s="15"/>
      <c r="U1043" s="6"/>
      <c r="V1043" s="15"/>
      <c r="W1043" s="4" t="s">
        <v>47</v>
      </c>
      <c r="X1043" s="4" t="s">
        <v>47</v>
      </c>
      <c r="Y1043" s="4" t="s">
        <v>4216</v>
      </c>
      <c r="Z1043" s="4" t="s">
        <v>2940</v>
      </c>
      <c r="AA1043" s="6" t="n">
        <v>0</v>
      </c>
      <c r="AB1043" s="6" t="n">
        <v>2794.48</v>
      </c>
      <c r="AC1043" s="6" t="n">
        <v>1470.12</v>
      </c>
      <c r="AD1043" s="14" t="b">
        <f aca="false">TRUE()</f>
        <v>1</v>
      </c>
    </row>
    <row r="1044" customFormat="false" ht="15" hidden="false" customHeight="false" outlineLevel="0" collapsed="false">
      <c r="A1044" s="14" t="b">
        <f aca="false">TRUE()</f>
        <v>1</v>
      </c>
      <c r="B1044" s="14" t="b">
        <f aca="false">FALSE()</f>
        <v>0</v>
      </c>
      <c r="C1044" s="4" t="n">
        <v>3</v>
      </c>
      <c r="D1044" s="4"/>
      <c r="E1044" s="4"/>
      <c r="F1044" s="4"/>
      <c r="G1044" s="4"/>
      <c r="H1044" s="14" t="b">
        <f aca="false">FALSE()</f>
        <v>0</v>
      </c>
      <c r="I1044" s="14" t="b">
        <f aca="false">FALSE()</f>
        <v>0</v>
      </c>
      <c r="J1044" s="4"/>
      <c r="K1044" s="4" t="s">
        <v>4217</v>
      </c>
      <c r="L1044" s="4" t="s">
        <v>4218</v>
      </c>
      <c r="M1044" s="4" t="s">
        <v>4219</v>
      </c>
      <c r="N1044" s="6" t="n">
        <v>24378</v>
      </c>
      <c r="O1044" s="6" t="n">
        <v>87698</v>
      </c>
      <c r="P1044" s="4" t="s">
        <v>46</v>
      </c>
      <c r="Q1044" s="6" t="n">
        <v>167000</v>
      </c>
      <c r="R1044" s="15" t="n">
        <v>44651</v>
      </c>
      <c r="S1044" s="6" t="n">
        <v>174000</v>
      </c>
      <c r="T1044" s="15" t="n">
        <v>44651</v>
      </c>
      <c r="U1044" s="6" t="n">
        <v>55000</v>
      </c>
      <c r="V1044" s="15" t="n">
        <v>45531</v>
      </c>
      <c r="W1044" s="4" t="s">
        <v>47</v>
      </c>
      <c r="X1044" s="4" t="s">
        <v>47</v>
      </c>
      <c r="Y1044" s="4" t="s">
        <v>4220</v>
      </c>
      <c r="Z1044" s="4" t="s">
        <v>2940</v>
      </c>
      <c r="AA1044" s="6" t="n">
        <v>0</v>
      </c>
      <c r="AB1044" s="6" t="n">
        <v>5632.94</v>
      </c>
      <c r="AC1044" s="6" t="n">
        <v>6023.16</v>
      </c>
      <c r="AD1044" s="14" t="b">
        <f aca="false">FALSE()</f>
        <v>0</v>
      </c>
    </row>
    <row r="1045" customFormat="false" ht="15" hidden="false" customHeight="false" outlineLevel="0" collapsed="false">
      <c r="A1045" s="14" t="b">
        <f aca="false">TRUE()</f>
        <v>1</v>
      </c>
      <c r="B1045" s="14" t="b">
        <f aca="false">FALSE()</f>
        <v>0</v>
      </c>
      <c r="C1045" s="4" t="n">
        <v>2</v>
      </c>
      <c r="D1045" s="4"/>
      <c r="E1045" s="4"/>
      <c r="F1045" s="4"/>
      <c r="G1045" s="4"/>
      <c r="H1045" s="14" t="b">
        <f aca="false">FALSE()</f>
        <v>0</v>
      </c>
      <c r="I1045" s="14" t="b">
        <f aca="false">FALSE()</f>
        <v>0</v>
      </c>
      <c r="J1045" s="4"/>
      <c r="K1045" s="4" t="s">
        <v>4221</v>
      </c>
      <c r="L1045" s="4" t="s">
        <v>4222</v>
      </c>
      <c r="M1045" s="4" t="s">
        <v>4223</v>
      </c>
      <c r="N1045" s="6" t="n">
        <v>44023</v>
      </c>
      <c r="O1045" s="6" t="n">
        <v>48886</v>
      </c>
      <c r="P1045" s="4" t="s">
        <v>46</v>
      </c>
      <c r="Q1045" s="6"/>
      <c r="R1045" s="15"/>
      <c r="S1045" s="6"/>
      <c r="T1045" s="15"/>
      <c r="U1045" s="6"/>
      <c r="V1045" s="15"/>
      <c r="W1045" s="4" t="s">
        <v>47</v>
      </c>
      <c r="X1045" s="4" t="s">
        <v>47</v>
      </c>
      <c r="Y1045" s="4" t="s">
        <v>4224</v>
      </c>
      <c r="Z1045" s="4" t="s">
        <v>4015</v>
      </c>
      <c r="AA1045" s="6" t="n">
        <v>0</v>
      </c>
      <c r="AB1045" s="6" t="n">
        <v>5501.7</v>
      </c>
      <c r="AC1045" s="6" t="n">
        <v>2884.64</v>
      </c>
      <c r="AD1045" s="14" t="b">
        <f aca="false">TRUE()</f>
        <v>1</v>
      </c>
    </row>
    <row r="1046" customFormat="false" ht="15" hidden="false" customHeight="false" outlineLevel="0" collapsed="false">
      <c r="A1046" s="14" t="b">
        <f aca="false">TRUE()</f>
        <v>1</v>
      </c>
      <c r="B1046" s="14" t="b">
        <f aca="false">FALSE()</f>
        <v>0</v>
      </c>
      <c r="C1046" s="4" t="n">
        <v>2</v>
      </c>
      <c r="D1046" s="4"/>
      <c r="E1046" s="4"/>
      <c r="F1046" s="4"/>
      <c r="G1046" s="4" t="n">
        <v>2</v>
      </c>
      <c r="H1046" s="14" t="b">
        <f aca="false">FALSE()</f>
        <v>0</v>
      </c>
      <c r="I1046" s="14" t="b">
        <f aca="false">FALSE()</f>
        <v>0</v>
      </c>
      <c r="J1046" s="4"/>
      <c r="K1046" s="4" t="s">
        <v>4225</v>
      </c>
      <c r="L1046" s="4" t="s">
        <v>4226</v>
      </c>
      <c r="M1046" s="4" t="s">
        <v>4227</v>
      </c>
      <c r="N1046" s="6" t="n">
        <v>124651</v>
      </c>
      <c r="O1046" s="6" t="n">
        <v>16665</v>
      </c>
      <c r="P1046" s="4" t="s">
        <v>46</v>
      </c>
      <c r="Q1046" s="6"/>
      <c r="R1046" s="15" t="n">
        <v>45960</v>
      </c>
      <c r="S1046" s="6"/>
      <c r="T1046" s="15"/>
      <c r="U1046" s="6"/>
      <c r="V1046" s="15"/>
      <c r="W1046" s="4" t="s">
        <v>47</v>
      </c>
      <c r="X1046" s="4" t="s">
        <v>47</v>
      </c>
      <c r="Y1046" s="4" t="s">
        <v>4228</v>
      </c>
      <c r="Z1046" s="4" t="s">
        <v>4120</v>
      </c>
      <c r="AA1046" s="6" t="n">
        <v>0</v>
      </c>
      <c r="AB1046" s="6" t="n">
        <v>7894.44</v>
      </c>
      <c r="AC1046" s="6" t="n">
        <v>4134.84</v>
      </c>
      <c r="AD1046" s="14" t="b">
        <f aca="false">TRUE()</f>
        <v>1</v>
      </c>
    </row>
    <row r="1047" customFormat="false" ht="15" hidden="false" customHeight="false" outlineLevel="0" collapsed="false">
      <c r="A1047" s="14" t="b">
        <f aca="false">TRUE()</f>
        <v>1</v>
      </c>
      <c r="B1047" s="14" t="b">
        <f aca="false">FALSE()</f>
        <v>0</v>
      </c>
      <c r="C1047" s="4" t="n">
        <v>2</v>
      </c>
      <c r="D1047" s="4"/>
      <c r="E1047" s="4"/>
      <c r="F1047" s="4"/>
      <c r="G1047" s="4"/>
      <c r="H1047" s="14" t="b">
        <f aca="false">TRUE()</f>
        <v>1</v>
      </c>
      <c r="I1047" s="14" t="b">
        <f aca="false">FALSE()</f>
        <v>0</v>
      </c>
      <c r="J1047" s="4"/>
      <c r="K1047" s="4" t="s">
        <v>4229</v>
      </c>
      <c r="L1047" s="4" t="s">
        <v>4230</v>
      </c>
      <c r="M1047" s="4" t="s">
        <v>4231</v>
      </c>
      <c r="N1047" s="6" t="n">
        <v>44959</v>
      </c>
      <c r="O1047" s="6" t="n">
        <v>71392</v>
      </c>
      <c r="P1047" s="4" t="s">
        <v>46</v>
      </c>
      <c r="Q1047" s="6"/>
      <c r="R1047" s="15" t="n">
        <v>45866</v>
      </c>
      <c r="S1047" s="6"/>
      <c r="T1047" s="15"/>
      <c r="U1047" s="6"/>
      <c r="V1047" s="15"/>
      <c r="W1047" s="4" t="s">
        <v>47</v>
      </c>
      <c r="X1047" s="4" t="s">
        <v>47</v>
      </c>
      <c r="Y1047" s="4" t="s">
        <v>4232</v>
      </c>
      <c r="Z1047" s="4" t="s">
        <v>4233</v>
      </c>
      <c r="AA1047" s="6" t="n">
        <v>0</v>
      </c>
      <c r="AB1047" s="6" t="n">
        <v>6981.18</v>
      </c>
      <c r="AC1047" s="6" t="n">
        <v>3657.67</v>
      </c>
      <c r="AD1047" s="14" t="b">
        <f aca="false">TRUE()</f>
        <v>1</v>
      </c>
    </row>
    <row r="1048" customFormat="false" ht="15" hidden="false" customHeight="false" outlineLevel="0" collapsed="false">
      <c r="A1048" s="14" t="b">
        <f aca="false">TRUE()</f>
        <v>1</v>
      </c>
      <c r="B1048" s="14" t="b">
        <f aca="false">FALSE()</f>
        <v>0</v>
      </c>
      <c r="C1048" s="4" t="n">
        <v>3</v>
      </c>
      <c r="D1048" s="4"/>
      <c r="E1048" s="4"/>
      <c r="F1048" s="4"/>
      <c r="G1048" s="4"/>
      <c r="H1048" s="14" t="b">
        <f aca="false">TRUE()</f>
        <v>1</v>
      </c>
      <c r="I1048" s="14" t="b">
        <f aca="false">FALSE()</f>
        <v>0</v>
      </c>
      <c r="J1048" s="4"/>
      <c r="K1048" s="4" t="s">
        <v>4234</v>
      </c>
      <c r="L1048" s="4" t="s">
        <v>4235</v>
      </c>
      <c r="M1048" s="4" t="s">
        <v>4236</v>
      </c>
      <c r="N1048" s="6" t="n">
        <v>44959</v>
      </c>
      <c r="O1048" s="6" t="n">
        <v>185448</v>
      </c>
      <c r="P1048" s="4" t="s">
        <v>46</v>
      </c>
      <c r="Q1048" s="6" t="n">
        <v>315000</v>
      </c>
      <c r="R1048" s="15" t="n">
        <v>39961</v>
      </c>
      <c r="S1048" s="6"/>
      <c r="T1048" s="15"/>
      <c r="U1048" s="6"/>
      <c r="V1048" s="15"/>
      <c r="W1048" s="4" t="s">
        <v>47</v>
      </c>
      <c r="X1048" s="4" t="s">
        <v>47</v>
      </c>
      <c r="Y1048" s="4" t="s">
        <v>4237</v>
      </c>
      <c r="Z1048" s="4" t="s">
        <v>4233</v>
      </c>
      <c r="AA1048" s="6" t="n">
        <v>0</v>
      </c>
      <c r="AB1048" s="6" t="n">
        <v>14329.92</v>
      </c>
      <c r="AC1048" s="6" t="n">
        <v>15307.19</v>
      </c>
      <c r="AD1048" s="14" t="b">
        <f aca="false">FALSE()</f>
        <v>0</v>
      </c>
    </row>
    <row r="1049" customFormat="false" ht="15" hidden="false" customHeight="false" outlineLevel="0" collapsed="false">
      <c r="A1049" s="14" t="b">
        <f aca="false">TRUE()</f>
        <v>1</v>
      </c>
      <c r="B1049" s="14" t="b">
        <f aca="false">FALSE()</f>
        <v>0</v>
      </c>
      <c r="C1049" s="4" t="n">
        <v>2</v>
      </c>
      <c r="D1049" s="4"/>
      <c r="E1049" s="4"/>
      <c r="F1049" s="4"/>
      <c r="G1049" s="4"/>
      <c r="H1049" s="14" t="b">
        <f aca="false">FALSE()</f>
        <v>0</v>
      </c>
      <c r="I1049" s="14" t="b">
        <f aca="false">FALSE()</f>
        <v>0</v>
      </c>
      <c r="J1049" s="4"/>
      <c r="K1049" s="4" t="s">
        <v>4238</v>
      </c>
      <c r="L1049" s="4" t="s">
        <v>4239</v>
      </c>
      <c r="M1049" s="4" t="s">
        <v>4240</v>
      </c>
      <c r="N1049" s="6" t="n">
        <v>68890</v>
      </c>
      <c r="O1049" s="6" t="n">
        <v>79366</v>
      </c>
      <c r="P1049" s="4" t="s">
        <v>46</v>
      </c>
      <c r="Q1049" s="6"/>
      <c r="R1049" s="15"/>
      <c r="S1049" s="6"/>
      <c r="T1049" s="15"/>
      <c r="U1049" s="6"/>
      <c r="V1049" s="15"/>
      <c r="W1049" s="4" t="s">
        <v>47</v>
      </c>
      <c r="X1049" s="4" t="s">
        <v>47</v>
      </c>
      <c r="Y1049" s="4" t="s">
        <v>4241</v>
      </c>
      <c r="Z1049" s="4" t="s">
        <v>4233</v>
      </c>
      <c r="AA1049" s="6" t="n">
        <v>0</v>
      </c>
      <c r="AB1049" s="6" t="n">
        <v>8521.42</v>
      </c>
      <c r="AC1049" s="6" t="n">
        <v>9106.61</v>
      </c>
      <c r="AD1049" s="14" t="b">
        <f aca="false">FALSE()</f>
        <v>0</v>
      </c>
    </row>
    <row r="1050" customFormat="false" ht="15" hidden="false" customHeight="false" outlineLevel="0" collapsed="false">
      <c r="A1050" s="14" t="b">
        <f aca="false">TRUE()</f>
        <v>1</v>
      </c>
      <c r="B1050" s="14" t="b">
        <f aca="false">FALSE()</f>
        <v>0</v>
      </c>
      <c r="C1050" s="4" t="n">
        <v>2</v>
      </c>
      <c r="D1050" s="4"/>
      <c r="E1050" s="4"/>
      <c r="F1050" s="4"/>
      <c r="G1050" s="4" t="n">
        <v>3</v>
      </c>
      <c r="H1050" s="14" t="b">
        <f aca="false">FALSE()</f>
        <v>0</v>
      </c>
      <c r="I1050" s="14" t="b">
        <f aca="false">FALSE()</f>
        <v>0</v>
      </c>
      <c r="J1050" s="4"/>
      <c r="K1050" s="4" t="s">
        <v>4242</v>
      </c>
      <c r="L1050" s="4" t="s">
        <v>4243</v>
      </c>
      <c r="M1050" s="4" t="s">
        <v>4244</v>
      </c>
      <c r="N1050" s="6" t="n">
        <v>12216</v>
      </c>
      <c r="O1050" s="6" t="n">
        <v>59829</v>
      </c>
      <c r="P1050" s="4" t="s">
        <v>46</v>
      </c>
      <c r="Q1050" s="6" t="n">
        <v>530000</v>
      </c>
      <c r="R1050" s="15" t="n">
        <v>45006</v>
      </c>
      <c r="S1050" s="6"/>
      <c r="T1050" s="15"/>
      <c r="U1050" s="6"/>
      <c r="V1050" s="15"/>
      <c r="W1050" s="4" t="s">
        <v>47</v>
      </c>
      <c r="X1050" s="4" t="s">
        <v>47</v>
      </c>
      <c r="Y1050" s="4" t="s">
        <v>4245</v>
      </c>
      <c r="Z1050" s="4" t="s">
        <v>4120</v>
      </c>
      <c r="AA1050" s="6" t="n">
        <v>0</v>
      </c>
      <c r="AB1050" s="6" t="n">
        <v>3064.88</v>
      </c>
      <c r="AC1050" s="6" t="n">
        <v>1611.4</v>
      </c>
      <c r="AD1050" s="14" t="b">
        <f aca="false">TRUE()</f>
        <v>1</v>
      </c>
    </row>
    <row r="1051" customFormat="false" ht="15" hidden="false" customHeight="false" outlineLevel="0" collapsed="false">
      <c r="A1051" s="14" t="b">
        <f aca="false">TRUE()</f>
        <v>1</v>
      </c>
      <c r="B1051" s="14" t="b">
        <f aca="false">FALSE()</f>
        <v>0</v>
      </c>
      <c r="C1051" s="4" t="n">
        <v>2</v>
      </c>
      <c r="D1051" s="4"/>
      <c r="E1051" s="4"/>
      <c r="F1051" s="4"/>
      <c r="G1051" s="4"/>
      <c r="H1051" s="14" t="b">
        <f aca="false">TRUE()</f>
        <v>1</v>
      </c>
      <c r="I1051" s="14" t="b">
        <f aca="false">FALSE()</f>
        <v>0</v>
      </c>
      <c r="J1051" s="4"/>
      <c r="K1051" s="4" t="s">
        <v>4246</v>
      </c>
      <c r="L1051" s="4" t="s">
        <v>4247</v>
      </c>
      <c r="M1051" s="4" t="s">
        <v>4248</v>
      </c>
      <c r="N1051" s="6" t="n">
        <v>12608</v>
      </c>
      <c r="O1051" s="6" t="n">
        <v>45644</v>
      </c>
      <c r="P1051" s="4" t="s">
        <v>46</v>
      </c>
      <c r="Q1051" s="6"/>
      <c r="R1051" s="15" t="n">
        <v>41814</v>
      </c>
      <c r="S1051" s="6"/>
      <c r="T1051" s="15"/>
      <c r="U1051" s="6"/>
      <c r="V1051" s="15"/>
      <c r="W1051" s="4" t="s">
        <v>47</v>
      </c>
      <c r="X1051" s="4" t="s">
        <v>58</v>
      </c>
      <c r="Y1051" s="4" t="s">
        <v>4249</v>
      </c>
      <c r="Z1051" s="4" t="s">
        <v>4120</v>
      </c>
      <c r="AA1051" s="6" t="n">
        <v>0</v>
      </c>
      <c r="AB1051" s="6" t="n">
        <v>2502</v>
      </c>
      <c r="AC1051" s="6" t="n">
        <v>1317.3</v>
      </c>
      <c r="AD1051" s="14" t="b">
        <f aca="false">TRUE()</f>
        <v>1</v>
      </c>
    </row>
    <row r="1052" customFormat="false" ht="15" hidden="false" customHeight="false" outlineLevel="0" collapsed="false">
      <c r="A1052" s="14" t="b">
        <f aca="false">TRUE()</f>
        <v>1</v>
      </c>
      <c r="B1052" s="14" t="b">
        <f aca="false">FALSE()</f>
        <v>0</v>
      </c>
      <c r="C1052" s="4" t="n">
        <v>2</v>
      </c>
      <c r="D1052" s="4"/>
      <c r="E1052" s="4"/>
      <c r="F1052" s="4"/>
      <c r="G1052" s="4"/>
      <c r="H1052" s="14" t="b">
        <f aca="false">FALSE()</f>
        <v>0</v>
      </c>
      <c r="I1052" s="14" t="b">
        <f aca="false">FALSE()</f>
        <v>0</v>
      </c>
      <c r="J1052" s="4"/>
      <c r="K1052" s="4" t="s">
        <v>4250</v>
      </c>
      <c r="L1052" s="4" t="s">
        <v>4251</v>
      </c>
      <c r="M1052" s="4" t="s">
        <v>4252</v>
      </c>
      <c r="N1052" s="6" t="n">
        <v>17503</v>
      </c>
      <c r="O1052" s="6" t="n">
        <v>41304</v>
      </c>
      <c r="P1052" s="4" t="s">
        <v>46</v>
      </c>
      <c r="Q1052" s="6"/>
      <c r="R1052" s="15"/>
      <c r="S1052" s="6"/>
      <c r="T1052" s="15"/>
      <c r="U1052" s="6"/>
      <c r="V1052" s="15"/>
      <c r="W1052" s="4" t="s">
        <v>47</v>
      </c>
      <c r="X1052" s="4" t="s">
        <v>47</v>
      </c>
      <c r="Y1052" s="4" t="s">
        <v>4253</v>
      </c>
      <c r="Z1052" s="4" t="s">
        <v>4120</v>
      </c>
      <c r="AA1052" s="6" t="n">
        <v>0</v>
      </c>
      <c r="AB1052" s="6" t="n">
        <v>3008.62</v>
      </c>
      <c r="AC1052" s="6" t="n">
        <v>3221.7</v>
      </c>
      <c r="AD1052" s="14" t="b">
        <f aca="false">FALSE()</f>
        <v>0</v>
      </c>
    </row>
    <row r="1053" customFormat="false" ht="15" hidden="false" customHeight="false" outlineLevel="0" collapsed="false">
      <c r="A1053" s="14" t="b">
        <f aca="false">TRUE()</f>
        <v>1</v>
      </c>
      <c r="B1053" s="14" t="b">
        <f aca="false">FALSE()</f>
        <v>0</v>
      </c>
      <c r="C1053" s="4" t="n">
        <v>2</v>
      </c>
      <c r="D1053" s="4"/>
      <c r="E1053" s="4"/>
      <c r="F1053" s="4"/>
      <c r="G1053" s="4"/>
      <c r="H1053" s="14" t="b">
        <f aca="false">FALSE()</f>
        <v>0</v>
      </c>
      <c r="I1053" s="14" t="b">
        <f aca="false">FALSE()</f>
        <v>0</v>
      </c>
      <c r="J1053" s="4"/>
      <c r="K1053" s="4" t="s">
        <v>4254</v>
      </c>
      <c r="L1053" s="4" t="s">
        <v>4255</v>
      </c>
      <c r="M1053" s="4" t="s">
        <v>4256</v>
      </c>
      <c r="N1053" s="6" t="n">
        <v>9779</v>
      </c>
      <c r="O1053" s="6" t="n">
        <v>35636</v>
      </c>
      <c r="P1053" s="4" t="s">
        <v>46</v>
      </c>
      <c r="Q1053" s="6" t="n">
        <v>142000</v>
      </c>
      <c r="R1053" s="15" t="n">
        <v>43725</v>
      </c>
      <c r="S1053" s="6" t="n">
        <v>99400</v>
      </c>
      <c r="T1053" s="15" t="n">
        <v>43725</v>
      </c>
      <c r="U1053" s="6"/>
      <c r="V1053" s="15"/>
      <c r="W1053" s="4" t="s">
        <v>47</v>
      </c>
      <c r="X1053" s="4" t="s">
        <v>47</v>
      </c>
      <c r="Y1053" s="4" t="s">
        <v>4257</v>
      </c>
      <c r="Z1053" s="4" t="s">
        <v>4120</v>
      </c>
      <c r="AA1053" s="6" t="n">
        <v>0</v>
      </c>
      <c r="AB1053" s="6" t="n">
        <v>1741.84</v>
      </c>
      <c r="AC1053" s="6" t="n">
        <v>920.11</v>
      </c>
      <c r="AD1053" s="14" t="b">
        <f aca="false">TRUE()</f>
        <v>1</v>
      </c>
    </row>
    <row r="1054" customFormat="false" ht="15" hidden="false" customHeight="false" outlineLevel="0" collapsed="false">
      <c r="A1054" s="14" t="b">
        <f aca="false">TRUE()</f>
        <v>1</v>
      </c>
      <c r="B1054" s="14" t="b">
        <f aca="false">FALSE()</f>
        <v>0</v>
      </c>
      <c r="C1054" s="4" t="n">
        <v>2</v>
      </c>
      <c r="D1054" s="4"/>
      <c r="E1054" s="4"/>
      <c r="F1054" s="4"/>
      <c r="G1054" s="4"/>
      <c r="H1054" s="14" t="b">
        <f aca="false">TRUE()</f>
        <v>1</v>
      </c>
      <c r="I1054" s="14" t="b">
        <f aca="false">FALSE()</f>
        <v>0</v>
      </c>
      <c r="J1054" s="4"/>
      <c r="K1054" s="4" t="s">
        <v>4258</v>
      </c>
      <c r="L1054" s="4" t="s">
        <v>4259</v>
      </c>
      <c r="M1054" s="4" t="s">
        <v>4260</v>
      </c>
      <c r="N1054" s="6" t="n">
        <v>66965</v>
      </c>
      <c r="O1054" s="6" t="n">
        <v>105060</v>
      </c>
      <c r="P1054" s="4" t="s">
        <v>46</v>
      </c>
      <c r="Q1054" s="6"/>
      <c r="R1054" s="15"/>
      <c r="S1054" s="6"/>
      <c r="T1054" s="15"/>
      <c r="U1054" s="6"/>
      <c r="V1054" s="15"/>
      <c r="W1054" s="4" t="s">
        <v>47</v>
      </c>
      <c r="X1054" s="4" t="s">
        <v>47</v>
      </c>
      <c r="Y1054" s="4" t="s">
        <v>4261</v>
      </c>
      <c r="Z1054" s="4" t="s">
        <v>4120</v>
      </c>
      <c r="AA1054" s="6" t="n">
        <v>0</v>
      </c>
      <c r="AB1054" s="6" t="n">
        <v>7651</v>
      </c>
      <c r="AC1054" s="6" t="n">
        <v>4007.65</v>
      </c>
      <c r="AD1054" s="14" t="b">
        <f aca="false">TRUE()</f>
        <v>1</v>
      </c>
    </row>
    <row r="1055" customFormat="false" ht="15" hidden="false" customHeight="false" outlineLevel="0" collapsed="false">
      <c r="A1055" s="14" t="b">
        <f aca="false">TRUE()</f>
        <v>1</v>
      </c>
      <c r="B1055" s="14" t="b">
        <f aca="false">FALSE()</f>
        <v>0</v>
      </c>
      <c r="C1055" s="4" t="n">
        <v>2</v>
      </c>
      <c r="D1055" s="4"/>
      <c r="E1055" s="4"/>
      <c r="F1055" s="4"/>
      <c r="G1055" s="4"/>
      <c r="H1055" s="14" t="b">
        <f aca="false">FALSE()</f>
        <v>0</v>
      </c>
      <c r="I1055" s="14" t="b">
        <f aca="false">FALSE()</f>
        <v>0</v>
      </c>
      <c r="J1055" s="4"/>
      <c r="K1055" s="4" t="s">
        <v>4262</v>
      </c>
      <c r="L1055" s="4" t="s">
        <v>4263</v>
      </c>
      <c r="M1055" s="4" t="s">
        <v>4264</v>
      </c>
      <c r="N1055" s="6" t="n">
        <v>83804</v>
      </c>
      <c r="O1055" s="6" t="n">
        <v>149344</v>
      </c>
      <c r="P1055" s="4" t="s">
        <v>46</v>
      </c>
      <c r="Q1055" s="6"/>
      <c r="R1055" s="15" t="n">
        <v>36683</v>
      </c>
      <c r="S1055" s="6" t="n">
        <v>350000</v>
      </c>
      <c r="T1055" s="15" t="n">
        <v>44886</v>
      </c>
      <c r="U1055" s="6"/>
      <c r="V1055" s="15"/>
      <c r="W1055" s="4" t="s">
        <v>47</v>
      </c>
      <c r="X1055" s="4" t="s">
        <v>47</v>
      </c>
      <c r="Y1055" s="4" t="s">
        <v>4265</v>
      </c>
      <c r="Z1055" s="4" t="s">
        <v>4120</v>
      </c>
      <c r="AA1055" s="6" t="n">
        <v>0</v>
      </c>
      <c r="AB1055" s="6" t="n">
        <v>11432.88</v>
      </c>
      <c r="AC1055" s="6" t="n">
        <v>5983.68</v>
      </c>
      <c r="AD1055" s="14" t="b">
        <f aca="false">TRUE()</f>
        <v>1</v>
      </c>
    </row>
    <row r="1056" customFormat="false" ht="15" hidden="false" customHeight="false" outlineLevel="0" collapsed="false">
      <c r="A1056" s="14" t="b">
        <f aca="false">TRUE()</f>
        <v>1</v>
      </c>
      <c r="B1056" s="14" t="b">
        <f aca="false">FALSE()</f>
        <v>0</v>
      </c>
      <c r="C1056" s="4" t="n">
        <v>3</v>
      </c>
      <c r="D1056" s="4"/>
      <c r="E1056" s="4"/>
      <c r="F1056" s="4"/>
      <c r="G1056" s="4"/>
      <c r="H1056" s="14" t="b">
        <f aca="false">FALSE()</f>
        <v>0</v>
      </c>
      <c r="I1056" s="14" t="b">
        <f aca="false">FALSE()</f>
        <v>0</v>
      </c>
      <c r="J1056" s="4"/>
      <c r="K1056" s="4" t="s">
        <v>4266</v>
      </c>
      <c r="L1056" s="4" t="s">
        <v>4267</v>
      </c>
      <c r="M1056" s="4" t="s">
        <v>4268</v>
      </c>
      <c r="N1056" s="6" t="n">
        <v>83641</v>
      </c>
      <c r="O1056" s="6" t="n">
        <v>274898</v>
      </c>
      <c r="P1056" s="4" t="s">
        <v>46</v>
      </c>
      <c r="Q1056" s="6" t="n">
        <v>250000</v>
      </c>
      <c r="R1056" s="15" t="n">
        <v>43074</v>
      </c>
      <c r="S1056" s="6"/>
      <c r="T1056" s="15"/>
      <c r="U1056" s="6"/>
      <c r="V1056" s="15"/>
      <c r="W1056" s="4" t="s">
        <v>58</v>
      </c>
      <c r="X1056" s="4" t="s">
        <v>47</v>
      </c>
      <c r="Y1056" s="4" t="s">
        <v>4269</v>
      </c>
      <c r="Z1056" s="4" t="s">
        <v>4270</v>
      </c>
      <c r="AA1056" s="6" t="n">
        <v>0</v>
      </c>
      <c r="AB1056" s="6" t="n">
        <v>17779</v>
      </c>
      <c r="AC1056" s="6" t="n">
        <v>18989.09</v>
      </c>
      <c r="AD1056" s="14" t="b">
        <f aca="false">FALSE()</f>
        <v>0</v>
      </c>
    </row>
    <row r="1057" customFormat="false" ht="15" hidden="false" customHeight="false" outlineLevel="0" collapsed="false">
      <c r="A1057" s="14" t="b">
        <f aca="false">TRUE()</f>
        <v>1</v>
      </c>
      <c r="B1057" s="14" t="b">
        <f aca="false">FALSE()</f>
        <v>0</v>
      </c>
      <c r="C1057" s="4" t="n">
        <v>2</v>
      </c>
      <c r="D1057" s="4"/>
      <c r="E1057" s="4"/>
      <c r="F1057" s="4"/>
      <c r="G1057" s="4"/>
      <c r="H1057" s="14" t="b">
        <f aca="false">FALSE()</f>
        <v>0</v>
      </c>
      <c r="I1057" s="14" t="b">
        <f aca="false">FALSE()</f>
        <v>0</v>
      </c>
      <c r="J1057" s="4"/>
      <c r="K1057" s="4" t="s">
        <v>4271</v>
      </c>
      <c r="L1057" s="4" t="s">
        <v>4272</v>
      </c>
      <c r="M1057" s="4" t="s">
        <v>4273</v>
      </c>
      <c r="N1057" s="6" t="n">
        <v>62516</v>
      </c>
      <c r="O1057" s="6" t="n">
        <v>28664</v>
      </c>
      <c r="P1057" s="4" t="s">
        <v>46</v>
      </c>
      <c r="Q1057" s="6"/>
      <c r="R1057" s="15"/>
      <c r="S1057" s="6"/>
      <c r="T1057" s="15"/>
      <c r="U1057" s="6"/>
      <c r="V1057" s="15"/>
      <c r="W1057" s="4" t="s">
        <v>47</v>
      </c>
      <c r="X1057" s="4" t="s">
        <v>58</v>
      </c>
      <c r="Y1057" s="4" t="s">
        <v>4274</v>
      </c>
      <c r="Z1057" s="4" t="s">
        <v>4270</v>
      </c>
      <c r="AA1057" s="6" t="n">
        <v>0</v>
      </c>
      <c r="AB1057" s="6" t="n">
        <v>4218.82</v>
      </c>
      <c r="AC1057" s="6" t="n">
        <v>4513.59</v>
      </c>
      <c r="AD1057" s="14" t="b">
        <f aca="false">FALSE()</f>
        <v>0</v>
      </c>
    </row>
    <row r="1058" customFormat="false" ht="15" hidden="false" customHeight="false" outlineLevel="0" collapsed="false">
      <c r="A1058" s="14" t="b">
        <f aca="false">TRUE()</f>
        <v>1</v>
      </c>
      <c r="B1058" s="14" t="b">
        <f aca="false">FALSE()</f>
        <v>0</v>
      </c>
      <c r="C1058" s="4" t="n">
        <v>2</v>
      </c>
      <c r="D1058" s="4"/>
      <c r="E1058" s="4"/>
      <c r="F1058" s="4"/>
      <c r="G1058" s="4"/>
      <c r="H1058" s="14" t="b">
        <f aca="false">FALSE()</f>
        <v>0</v>
      </c>
      <c r="I1058" s="14" t="b">
        <f aca="false">FALSE()</f>
        <v>0</v>
      </c>
      <c r="J1058" s="4"/>
      <c r="K1058" s="4" t="s">
        <v>4275</v>
      </c>
      <c r="L1058" s="4" t="s">
        <v>4276</v>
      </c>
      <c r="M1058" s="4" t="s">
        <v>4277</v>
      </c>
      <c r="N1058" s="6" t="n">
        <v>50071</v>
      </c>
      <c r="O1058" s="6" t="n">
        <v>60765</v>
      </c>
      <c r="P1058" s="4" t="s">
        <v>46</v>
      </c>
      <c r="Q1058" s="6"/>
      <c r="R1058" s="15" t="n">
        <v>45904</v>
      </c>
      <c r="S1058" s="6"/>
      <c r="T1058" s="15"/>
      <c r="U1058" s="6"/>
      <c r="V1058" s="15"/>
      <c r="W1058" s="4" t="s">
        <v>58</v>
      </c>
      <c r="X1058" s="4" t="s">
        <v>58</v>
      </c>
      <c r="Y1058" s="4" t="s">
        <v>4278</v>
      </c>
      <c r="Z1058" s="4" t="s">
        <v>4233</v>
      </c>
      <c r="AA1058" s="6" t="n">
        <v>0</v>
      </c>
      <c r="AB1058" s="6" t="n">
        <v>6625.84</v>
      </c>
      <c r="AC1058" s="6" t="n">
        <v>3472</v>
      </c>
      <c r="AD1058" s="14" t="b">
        <f aca="false">TRUE()</f>
        <v>1</v>
      </c>
    </row>
    <row r="1059" customFormat="false" ht="15" hidden="false" customHeight="false" outlineLevel="0" collapsed="false">
      <c r="A1059" s="14" t="b">
        <f aca="false">TRUE()</f>
        <v>1</v>
      </c>
      <c r="B1059" s="14" t="b">
        <f aca="false">FALSE()</f>
        <v>0</v>
      </c>
      <c r="C1059" s="4" t="n">
        <v>2</v>
      </c>
      <c r="D1059" s="4"/>
      <c r="E1059" s="4"/>
      <c r="F1059" s="4"/>
      <c r="G1059" s="4"/>
      <c r="H1059" s="14" t="b">
        <f aca="false">FALSE()</f>
        <v>0</v>
      </c>
      <c r="I1059" s="14" t="b">
        <f aca="false">FALSE()</f>
        <v>0</v>
      </c>
      <c r="J1059" s="4"/>
      <c r="K1059" s="4" t="s">
        <v>4279</v>
      </c>
      <c r="L1059" s="4" t="s">
        <v>4280</v>
      </c>
      <c r="M1059" s="4" t="s">
        <v>4281</v>
      </c>
      <c r="N1059" s="6" t="n">
        <v>105245</v>
      </c>
      <c r="O1059" s="6" t="n">
        <v>83543</v>
      </c>
      <c r="P1059" s="4" t="s">
        <v>46</v>
      </c>
      <c r="Q1059" s="6" t="n">
        <v>390000</v>
      </c>
      <c r="R1059" s="15" t="n">
        <v>45749</v>
      </c>
      <c r="S1059" s="6"/>
      <c r="T1059" s="15"/>
      <c r="U1059" s="6"/>
      <c r="V1059" s="15"/>
      <c r="W1059" s="4" t="s">
        <v>47</v>
      </c>
      <c r="X1059" s="4" t="s">
        <v>47</v>
      </c>
      <c r="Y1059" s="4" t="s">
        <v>4282</v>
      </c>
      <c r="Z1059" s="4" t="s">
        <v>4120</v>
      </c>
      <c r="AA1059" s="6" t="n">
        <v>0</v>
      </c>
      <c r="AB1059" s="6" t="n">
        <v>9034.46</v>
      </c>
      <c r="AC1059" s="6" t="n">
        <v>4730.51</v>
      </c>
      <c r="AD1059" s="14" t="b">
        <f aca="false">TRUE()</f>
        <v>1</v>
      </c>
    </row>
    <row r="1060" customFormat="false" ht="15" hidden="false" customHeight="false" outlineLevel="0" collapsed="false">
      <c r="A1060" s="14" t="b">
        <f aca="false">TRUE()</f>
        <v>1</v>
      </c>
      <c r="B1060" s="14" t="b">
        <f aca="false">FALSE()</f>
        <v>0</v>
      </c>
      <c r="C1060" s="4" t="n">
        <v>2</v>
      </c>
      <c r="D1060" s="4"/>
      <c r="E1060" s="4"/>
      <c r="F1060" s="4"/>
      <c r="G1060" s="4"/>
      <c r="H1060" s="14" t="b">
        <f aca="false">TRUE()</f>
        <v>1</v>
      </c>
      <c r="I1060" s="14" t="b">
        <f aca="false">FALSE()</f>
        <v>0</v>
      </c>
      <c r="J1060" s="4"/>
      <c r="K1060" s="4" t="s">
        <v>4283</v>
      </c>
      <c r="L1060" s="4" t="s">
        <v>4284</v>
      </c>
      <c r="M1060" s="4" t="s">
        <v>4285</v>
      </c>
      <c r="N1060" s="6" t="n">
        <v>47961</v>
      </c>
      <c r="O1060" s="6" t="n">
        <v>70315</v>
      </c>
      <c r="P1060" s="4" t="s">
        <v>46</v>
      </c>
      <c r="Q1060" s="6"/>
      <c r="R1060" s="15" t="n">
        <v>42762</v>
      </c>
      <c r="S1060" s="6"/>
      <c r="T1060" s="15"/>
      <c r="U1060" s="6"/>
      <c r="V1060" s="15"/>
      <c r="W1060" s="4" t="s">
        <v>47</v>
      </c>
      <c r="X1060" s="4" t="s">
        <v>58</v>
      </c>
      <c r="Y1060" s="4" t="s">
        <v>4286</v>
      </c>
      <c r="Z1060" s="4" t="s">
        <v>4233</v>
      </c>
      <c r="AA1060" s="6" t="n">
        <v>0</v>
      </c>
      <c r="AB1060" s="6" t="n">
        <v>7620.66</v>
      </c>
      <c r="AC1060" s="6" t="n">
        <v>8145.05</v>
      </c>
      <c r="AD1060" s="14" t="b">
        <f aca="false">FALSE()</f>
        <v>0</v>
      </c>
    </row>
    <row r="1061" customFormat="false" ht="15" hidden="false" customHeight="false" outlineLevel="0" collapsed="false">
      <c r="A1061" s="14" t="b">
        <f aca="false">TRUE()</f>
        <v>1</v>
      </c>
      <c r="B1061" s="14" t="b">
        <f aca="false">FALSE()</f>
        <v>0</v>
      </c>
      <c r="C1061" s="4" t="n">
        <v>2</v>
      </c>
      <c r="D1061" s="4"/>
      <c r="E1061" s="4"/>
      <c r="F1061" s="4"/>
      <c r="G1061" s="4"/>
      <c r="H1061" s="14" t="b">
        <f aca="false">FALSE()</f>
        <v>0</v>
      </c>
      <c r="I1061" s="14" t="b">
        <f aca="false">FALSE()</f>
        <v>0</v>
      </c>
      <c r="J1061" s="4"/>
      <c r="K1061" s="4" t="s">
        <v>4287</v>
      </c>
      <c r="L1061" s="4" t="s">
        <v>4288</v>
      </c>
      <c r="M1061" s="4" t="s">
        <v>4289</v>
      </c>
      <c r="N1061" s="6" t="n">
        <v>57534</v>
      </c>
      <c r="O1061" s="6" t="n">
        <v>88253</v>
      </c>
      <c r="P1061" s="4" t="s">
        <v>46</v>
      </c>
      <c r="Q1061" s="6" t="n">
        <v>362500</v>
      </c>
      <c r="R1061" s="15" t="n">
        <v>45197</v>
      </c>
      <c r="S1061" s="6"/>
      <c r="T1061" s="15"/>
      <c r="U1061" s="6"/>
      <c r="V1061" s="15"/>
      <c r="W1061" s="4" t="s">
        <v>47</v>
      </c>
      <c r="X1061" s="4" t="s">
        <v>47</v>
      </c>
      <c r="Y1061" s="4" t="s">
        <v>4290</v>
      </c>
      <c r="Z1061" s="4" t="s">
        <v>4233</v>
      </c>
      <c r="AA1061" s="6" t="n">
        <v>0</v>
      </c>
      <c r="AB1061" s="6" t="n">
        <v>8362.3</v>
      </c>
      <c r="AC1061" s="6" t="n">
        <v>4316.58</v>
      </c>
      <c r="AD1061" s="14" t="b">
        <f aca="false">TRUE()</f>
        <v>1</v>
      </c>
    </row>
    <row r="1062" customFormat="false" ht="15" hidden="false" customHeight="false" outlineLevel="0" collapsed="false">
      <c r="A1062" s="14" t="b">
        <f aca="false">TRUE()</f>
        <v>1</v>
      </c>
      <c r="B1062" s="14" t="b">
        <f aca="false">FALSE()</f>
        <v>0</v>
      </c>
      <c r="C1062" s="4" t="n">
        <v>2</v>
      </c>
      <c r="D1062" s="4"/>
      <c r="E1062" s="4"/>
      <c r="F1062" s="4"/>
      <c r="G1062" s="4"/>
      <c r="H1062" s="14" t="b">
        <f aca="false">FALSE()</f>
        <v>0</v>
      </c>
      <c r="I1062" s="14" t="b">
        <f aca="false">FALSE()</f>
        <v>0</v>
      </c>
      <c r="J1062" s="4"/>
      <c r="K1062" s="4" t="s">
        <v>4291</v>
      </c>
      <c r="L1062" s="4" t="s">
        <v>4292</v>
      </c>
      <c r="M1062" s="4" t="s">
        <v>4293</v>
      </c>
      <c r="N1062" s="6" t="n">
        <v>46395</v>
      </c>
      <c r="O1062" s="6" t="n">
        <v>97423</v>
      </c>
      <c r="P1062" s="4" t="s">
        <v>46</v>
      </c>
      <c r="Q1062" s="6"/>
      <c r="R1062" s="15" t="n">
        <v>45643</v>
      </c>
      <c r="S1062" s="6"/>
      <c r="T1062" s="15"/>
      <c r="U1062" s="6"/>
      <c r="V1062" s="15"/>
      <c r="W1062" s="4" t="s">
        <v>47</v>
      </c>
      <c r="X1062" s="4" t="s">
        <v>47</v>
      </c>
      <c r="Y1062" s="4" t="s">
        <v>4294</v>
      </c>
      <c r="Z1062" s="4" t="s">
        <v>4233</v>
      </c>
      <c r="AA1062" s="6" t="n">
        <v>0</v>
      </c>
      <c r="AB1062" s="6" t="n">
        <v>8750.9</v>
      </c>
      <c r="AC1062" s="6" t="n">
        <v>9351.59</v>
      </c>
      <c r="AD1062" s="14" t="b">
        <f aca="false">FALSE()</f>
        <v>0</v>
      </c>
    </row>
    <row r="1063" customFormat="false" ht="15" hidden="false" customHeight="false" outlineLevel="0" collapsed="false">
      <c r="A1063" s="14" t="b">
        <f aca="false">TRUE()</f>
        <v>1</v>
      </c>
      <c r="B1063" s="14" t="b">
        <f aca="false">FALSE()</f>
        <v>0</v>
      </c>
      <c r="C1063" s="4" t="n">
        <v>2</v>
      </c>
      <c r="D1063" s="4"/>
      <c r="E1063" s="4"/>
      <c r="F1063" s="4"/>
      <c r="G1063" s="4"/>
      <c r="H1063" s="14" t="b">
        <f aca="false">FALSE()</f>
        <v>0</v>
      </c>
      <c r="I1063" s="14" t="b">
        <f aca="false">FALSE()</f>
        <v>0</v>
      </c>
      <c r="J1063" s="4"/>
      <c r="K1063" s="4" t="s">
        <v>4295</v>
      </c>
      <c r="L1063" s="4" t="s">
        <v>4296</v>
      </c>
      <c r="M1063" s="4" t="s">
        <v>4297</v>
      </c>
      <c r="N1063" s="6" t="n">
        <v>20962</v>
      </c>
      <c r="O1063" s="6" t="n">
        <v>41445</v>
      </c>
      <c r="P1063" s="4" t="s">
        <v>46</v>
      </c>
      <c r="Q1063" s="6" t="n">
        <v>119000</v>
      </c>
      <c r="R1063" s="15" t="n">
        <v>42243</v>
      </c>
      <c r="S1063" s="6"/>
      <c r="T1063" s="15"/>
      <c r="U1063" s="6"/>
      <c r="V1063" s="15"/>
      <c r="W1063" s="4" t="s">
        <v>47</v>
      </c>
      <c r="X1063" s="4" t="s">
        <v>58</v>
      </c>
      <c r="Y1063" s="4" t="s">
        <v>4298</v>
      </c>
      <c r="Z1063" s="4" t="s">
        <v>4233</v>
      </c>
      <c r="AA1063" s="6" t="n">
        <v>0</v>
      </c>
      <c r="AB1063" s="6" t="n">
        <v>3505.52</v>
      </c>
      <c r="AC1063" s="6" t="n">
        <v>3752.14</v>
      </c>
      <c r="AD1063" s="14" t="b">
        <f aca="false">FALSE()</f>
        <v>0</v>
      </c>
    </row>
    <row r="1064" customFormat="false" ht="15" hidden="false" customHeight="false" outlineLevel="0" collapsed="false">
      <c r="A1064" s="14" t="b">
        <f aca="false">TRUE()</f>
        <v>1</v>
      </c>
      <c r="B1064" s="14" t="b">
        <f aca="false">FALSE()</f>
        <v>0</v>
      </c>
      <c r="C1064" s="4" t="n">
        <v>2</v>
      </c>
      <c r="D1064" s="4"/>
      <c r="E1064" s="4"/>
      <c r="F1064" s="4"/>
      <c r="G1064" s="4"/>
      <c r="H1064" s="14" t="b">
        <f aca="false">FALSE()</f>
        <v>0</v>
      </c>
      <c r="I1064" s="14" t="b">
        <f aca="false">FALSE()</f>
        <v>0</v>
      </c>
      <c r="J1064" s="4"/>
      <c r="K1064" s="4" t="s">
        <v>4299</v>
      </c>
      <c r="L1064" s="4" t="s">
        <v>4300</v>
      </c>
      <c r="M1064" s="4" t="s">
        <v>4301</v>
      </c>
      <c r="N1064" s="6" t="n">
        <v>12292</v>
      </c>
      <c r="O1064" s="6" t="n">
        <v>51203</v>
      </c>
      <c r="P1064" s="4" t="s">
        <v>46</v>
      </c>
      <c r="Q1064" s="6"/>
      <c r="R1064" s="15"/>
      <c r="S1064" s="6"/>
      <c r="T1064" s="15"/>
      <c r="U1064" s="6"/>
      <c r="V1064" s="15"/>
      <c r="W1064" s="4" t="s">
        <v>47</v>
      </c>
      <c r="X1064" s="4" t="s">
        <v>47</v>
      </c>
      <c r="Y1064" s="4" t="s">
        <v>4302</v>
      </c>
      <c r="Z1064" s="4" t="s">
        <v>4120</v>
      </c>
      <c r="AA1064" s="6" t="n">
        <v>0</v>
      </c>
      <c r="AB1064" s="6" t="n">
        <v>3038.56</v>
      </c>
      <c r="AC1064" s="6" t="n">
        <v>3253.67</v>
      </c>
      <c r="AD1064" s="14" t="b">
        <f aca="false">FALSE()</f>
        <v>0</v>
      </c>
    </row>
    <row r="1065" customFormat="false" ht="15" hidden="false" customHeight="false" outlineLevel="0" collapsed="false">
      <c r="A1065" s="14" t="b">
        <f aca="false">TRUE()</f>
        <v>1</v>
      </c>
      <c r="B1065" s="14" t="b">
        <f aca="false">FALSE()</f>
        <v>0</v>
      </c>
      <c r="C1065" s="4" t="n">
        <v>2</v>
      </c>
      <c r="D1065" s="4"/>
      <c r="E1065" s="4"/>
      <c r="F1065" s="4"/>
      <c r="G1065" s="4"/>
      <c r="H1065" s="14" t="b">
        <f aca="false">FALSE()</f>
        <v>0</v>
      </c>
      <c r="I1065" s="14" t="b">
        <f aca="false">FALSE()</f>
        <v>0</v>
      </c>
      <c r="J1065" s="4"/>
      <c r="K1065" s="4" t="s">
        <v>4303</v>
      </c>
      <c r="L1065" s="4" t="s">
        <v>4304</v>
      </c>
      <c r="M1065" s="4" t="s">
        <v>4305</v>
      </c>
      <c r="N1065" s="6" t="n">
        <v>51507</v>
      </c>
      <c r="O1065" s="6" t="n">
        <v>101829</v>
      </c>
      <c r="P1065" s="4" t="s">
        <v>46</v>
      </c>
      <c r="Q1065" s="6" t="n">
        <v>209000</v>
      </c>
      <c r="R1065" s="15" t="n">
        <v>36013</v>
      </c>
      <c r="S1065" s="6"/>
      <c r="T1065" s="15"/>
      <c r="U1065" s="6"/>
      <c r="V1065" s="15"/>
      <c r="W1065" s="4" t="s">
        <v>47</v>
      </c>
      <c r="X1065" s="4" t="s">
        <v>58</v>
      </c>
      <c r="Y1065" s="4" t="s">
        <v>4306</v>
      </c>
      <c r="Z1065" s="4" t="s">
        <v>4233</v>
      </c>
      <c r="AA1065" s="6" t="n">
        <v>0</v>
      </c>
      <c r="AB1065" s="6" t="n">
        <v>9659.46</v>
      </c>
      <c r="AC1065" s="6" t="n">
        <v>5057.07</v>
      </c>
      <c r="AD1065" s="14" t="b">
        <f aca="false">TRUE()</f>
        <v>1</v>
      </c>
    </row>
    <row r="1066" customFormat="false" ht="15" hidden="false" customHeight="false" outlineLevel="0" collapsed="false">
      <c r="A1066" s="14" t="b">
        <f aca="false">TRUE()</f>
        <v>1</v>
      </c>
      <c r="B1066" s="14" t="b">
        <f aca="false">FALSE()</f>
        <v>0</v>
      </c>
      <c r="C1066" s="4" t="n">
        <v>3</v>
      </c>
      <c r="D1066" s="4"/>
      <c r="E1066" s="4"/>
      <c r="F1066" s="4"/>
      <c r="G1066" s="4"/>
      <c r="H1066" s="14" t="b">
        <f aca="false">FALSE()</f>
        <v>0</v>
      </c>
      <c r="I1066" s="14" t="b">
        <f aca="false">FALSE()</f>
        <v>0</v>
      </c>
      <c r="J1066" s="4"/>
      <c r="K1066" s="4" t="s">
        <v>4307</v>
      </c>
      <c r="L1066" s="4" t="s">
        <v>4308</v>
      </c>
      <c r="M1066" s="4" t="s">
        <v>4309</v>
      </c>
      <c r="N1066" s="6" t="n">
        <v>58176</v>
      </c>
      <c r="O1066" s="6" t="n">
        <v>183936</v>
      </c>
      <c r="P1066" s="4" t="s">
        <v>46</v>
      </c>
      <c r="Q1066" s="6" t="n">
        <v>703000</v>
      </c>
      <c r="R1066" s="15" t="n">
        <v>45569</v>
      </c>
      <c r="S1066" s="6" t="n">
        <v>462400</v>
      </c>
      <c r="T1066" s="15" t="n">
        <v>45569</v>
      </c>
      <c r="U1066" s="6"/>
      <c r="V1066" s="15"/>
      <c r="W1066" s="4" t="s">
        <v>47</v>
      </c>
      <c r="X1066" s="4" t="s">
        <v>47</v>
      </c>
      <c r="Y1066" s="4" t="s">
        <v>4310</v>
      </c>
      <c r="Z1066" s="4" t="s">
        <v>4233</v>
      </c>
      <c r="AA1066" s="6" t="n">
        <v>0</v>
      </c>
      <c r="AB1066" s="6" t="n">
        <v>14849.98</v>
      </c>
      <c r="AC1066" s="6" t="n">
        <v>15862.35</v>
      </c>
      <c r="AD1066" s="14" t="b">
        <f aca="false">FALSE()</f>
        <v>0</v>
      </c>
    </row>
    <row r="1067" customFormat="false" ht="15" hidden="false" customHeight="false" outlineLevel="0" collapsed="false">
      <c r="A1067" s="14" t="b">
        <f aca="false">TRUE()</f>
        <v>1</v>
      </c>
      <c r="B1067" s="14" t="b">
        <f aca="false">FALSE()</f>
        <v>0</v>
      </c>
      <c r="C1067" s="4" t="n">
        <v>2</v>
      </c>
      <c r="D1067" s="4"/>
      <c r="E1067" s="4"/>
      <c r="F1067" s="4"/>
      <c r="G1067" s="4"/>
      <c r="H1067" s="14" t="b">
        <f aca="false">FALSE()</f>
        <v>0</v>
      </c>
      <c r="I1067" s="14" t="b">
        <f aca="false">FALSE()</f>
        <v>0</v>
      </c>
      <c r="J1067" s="4"/>
      <c r="K1067" s="4" t="s">
        <v>4311</v>
      </c>
      <c r="L1067" s="4" t="s">
        <v>4312</v>
      </c>
      <c r="M1067" s="4" t="s">
        <v>4313</v>
      </c>
      <c r="N1067" s="6" t="n">
        <v>21658</v>
      </c>
      <c r="O1067" s="6" t="n">
        <v>112272</v>
      </c>
      <c r="P1067" s="4" t="s">
        <v>46</v>
      </c>
      <c r="Q1067" s="6" t="n">
        <v>363000</v>
      </c>
      <c r="R1067" s="15" t="n">
        <v>44642</v>
      </c>
      <c r="S1067" s="6"/>
      <c r="T1067" s="15"/>
      <c r="U1067" s="6"/>
      <c r="V1067" s="15"/>
      <c r="W1067" s="4" t="s">
        <v>47</v>
      </c>
      <c r="X1067" s="4" t="s">
        <v>47</v>
      </c>
      <c r="Y1067" s="4" t="s">
        <v>4314</v>
      </c>
      <c r="Z1067" s="4" t="s">
        <v>4233</v>
      </c>
      <c r="AA1067" s="6" t="n">
        <v>0</v>
      </c>
      <c r="AB1067" s="6" t="n">
        <v>8369.7</v>
      </c>
      <c r="AC1067" s="6" t="n">
        <v>8944.66</v>
      </c>
      <c r="AD1067" s="14" t="b">
        <f aca="false">FALSE()</f>
        <v>0</v>
      </c>
    </row>
    <row r="1068" customFormat="false" ht="15" hidden="false" customHeight="false" outlineLevel="0" collapsed="false">
      <c r="A1068" s="14" t="b">
        <f aca="false">TRUE()</f>
        <v>1</v>
      </c>
      <c r="B1068" s="14" t="b">
        <f aca="false">FALSE()</f>
        <v>0</v>
      </c>
      <c r="C1068" s="4" t="n">
        <v>2</v>
      </c>
      <c r="D1068" s="4"/>
      <c r="E1068" s="4"/>
      <c r="F1068" s="4"/>
      <c r="G1068" s="4"/>
      <c r="H1068" s="14" t="b">
        <f aca="false">FALSE()</f>
        <v>0</v>
      </c>
      <c r="I1068" s="14" t="b">
        <f aca="false">FALSE()</f>
        <v>0</v>
      </c>
      <c r="J1068" s="4"/>
      <c r="K1068" s="4" t="s">
        <v>4315</v>
      </c>
      <c r="L1068" s="4" t="s">
        <v>4316</v>
      </c>
      <c r="M1068" s="4" t="s">
        <v>4317</v>
      </c>
      <c r="N1068" s="6" t="n">
        <v>30415</v>
      </c>
      <c r="O1068" s="6" t="n">
        <v>52573</v>
      </c>
      <c r="P1068" s="4" t="s">
        <v>46</v>
      </c>
      <c r="Q1068" s="6" t="n">
        <v>340000</v>
      </c>
      <c r="R1068" s="15" t="n">
        <v>45572</v>
      </c>
      <c r="S1068" s="6" t="n">
        <v>271840</v>
      </c>
      <c r="T1068" s="15" t="n">
        <v>45572</v>
      </c>
      <c r="U1068" s="6"/>
      <c r="V1068" s="15"/>
      <c r="W1068" s="4" t="s">
        <v>47</v>
      </c>
      <c r="X1068" s="4" t="s">
        <v>47</v>
      </c>
      <c r="Y1068" s="4" t="s">
        <v>4318</v>
      </c>
      <c r="Z1068" s="4" t="s">
        <v>2911</v>
      </c>
      <c r="AA1068" s="6" t="n">
        <v>0</v>
      </c>
      <c r="AB1068" s="6" t="n">
        <v>4288.44</v>
      </c>
      <c r="AC1068" s="6" t="n">
        <v>2250.71</v>
      </c>
      <c r="AD1068" s="14" t="b">
        <f aca="false">TRUE()</f>
        <v>1</v>
      </c>
    </row>
    <row r="1069" customFormat="false" ht="15" hidden="false" customHeight="false" outlineLevel="0" collapsed="false">
      <c r="A1069" s="14" t="b">
        <f aca="false">TRUE()</f>
        <v>1</v>
      </c>
      <c r="B1069" s="14" t="b">
        <f aca="false">FALSE()</f>
        <v>0</v>
      </c>
      <c r="C1069" s="4" t="n">
        <v>3</v>
      </c>
      <c r="D1069" s="4"/>
      <c r="E1069" s="4"/>
      <c r="F1069" s="4"/>
      <c r="G1069" s="4"/>
      <c r="H1069" s="14" t="b">
        <f aca="false">FALSE()</f>
        <v>0</v>
      </c>
      <c r="I1069" s="14" t="b">
        <f aca="false">FALSE()</f>
        <v>0</v>
      </c>
      <c r="J1069" s="4"/>
      <c r="K1069" s="4" t="s">
        <v>4319</v>
      </c>
      <c r="L1069" s="4" t="s">
        <v>4320</v>
      </c>
      <c r="M1069" s="4" t="s">
        <v>4321</v>
      </c>
      <c r="N1069" s="6" t="n">
        <v>59068</v>
      </c>
      <c r="O1069" s="6" t="n">
        <v>82303</v>
      </c>
      <c r="P1069" s="4" t="s">
        <v>46</v>
      </c>
      <c r="Q1069" s="6" t="n">
        <v>350000</v>
      </c>
      <c r="R1069" s="15" t="n">
        <v>39007</v>
      </c>
      <c r="S1069" s="6" t="n">
        <v>280000</v>
      </c>
      <c r="T1069" s="15" t="n">
        <v>39007</v>
      </c>
      <c r="U1069" s="6"/>
      <c r="V1069" s="15"/>
      <c r="W1069" s="4" t="s">
        <v>47</v>
      </c>
      <c r="X1069" s="4" t="s">
        <v>58</v>
      </c>
      <c r="Y1069" s="4" t="s">
        <v>4322</v>
      </c>
      <c r="Z1069" s="4" t="s">
        <v>2911</v>
      </c>
      <c r="AA1069" s="6" t="n">
        <v>0</v>
      </c>
      <c r="AB1069" s="6" t="n">
        <v>8538.16</v>
      </c>
      <c r="AC1069" s="6" t="n">
        <v>9124.49</v>
      </c>
      <c r="AD1069" s="14" t="b">
        <f aca="false">FALSE()</f>
        <v>0</v>
      </c>
    </row>
    <row r="1070" customFormat="false" ht="15" hidden="false" customHeight="false" outlineLevel="0" collapsed="false">
      <c r="A1070" s="14" t="b">
        <f aca="false">TRUE()</f>
        <v>1</v>
      </c>
      <c r="B1070" s="14" t="b">
        <f aca="false">FALSE()</f>
        <v>0</v>
      </c>
      <c r="C1070" s="4" t="n">
        <v>2</v>
      </c>
      <c r="D1070" s="4"/>
      <c r="E1070" s="4"/>
      <c r="F1070" s="4"/>
      <c r="G1070" s="4"/>
      <c r="H1070" s="14" t="b">
        <f aca="false">FALSE()</f>
        <v>0</v>
      </c>
      <c r="I1070" s="14" t="b">
        <f aca="false">FALSE()</f>
        <v>0</v>
      </c>
      <c r="J1070" s="4"/>
      <c r="K1070" s="4" t="s">
        <v>4323</v>
      </c>
      <c r="L1070" s="4" t="s">
        <v>4324</v>
      </c>
      <c r="M1070" s="4" t="s">
        <v>4325</v>
      </c>
      <c r="N1070" s="6" t="n">
        <v>48124</v>
      </c>
      <c r="O1070" s="6" t="n">
        <v>88068</v>
      </c>
      <c r="P1070" s="4" t="s">
        <v>46</v>
      </c>
      <c r="Q1070" s="6"/>
      <c r="R1070" s="15"/>
      <c r="S1070" s="6"/>
      <c r="T1070" s="15"/>
      <c r="U1070" s="6"/>
      <c r="V1070" s="15"/>
      <c r="W1070" s="4" t="s">
        <v>58</v>
      </c>
      <c r="X1070" s="4" t="s">
        <v>47</v>
      </c>
      <c r="Y1070" s="4" t="s">
        <v>4326</v>
      </c>
      <c r="Z1070" s="4" t="s">
        <v>2911</v>
      </c>
      <c r="AA1070" s="6" t="n">
        <v>0</v>
      </c>
      <c r="AB1070" s="6" t="n">
        <v>7647.08</v>
      </c>
      <c r="AC1070" s="6" t="n">
        <v>8173.26</v>
      </c>
      <c r="AD1070" s="14" t="b">
        <f aca="false">FALSE()</f>
        <v>0</v>
      </c>
    </row>
    <row r="1071" customFormat="false" ht="15" hidden="false" customHeight="false" outlineLevel="0" collapsed="false">
      <c r="A1071" s="14" t="b">
        <f aca="false">TRUE()</f>
        <v>1</v>
      </c>
      <c r="B1071" s="14" t="b">
        <f aca="false">FALSE()</f>
        <v>0</v>
      </c>
      <c r="C1071" s="4" t="n">
        <v>3</v>
      </c>
      <c r="D1071" s="4"/>
      <c r="E1071" s="4"/>
      <c r="F1071" s="4"/>
      <c r="G1071" s="4"/>
      <c r="H1071" s="14" t="b">
        <f aca="false">FALSE()</f>
        <v>0</v>
      </c>
      <c r="I1071" s="14" t="b">
        <f aca="false">FALSE()</f>
        <v>0</v>
      </c>
      <c r="J1071" s="4"/>
      <c r="K1071" s="4" t="s">
        <v>4327</v>
      </c>
      <c r="L1071" s="4" t="s">
        <v>4328</v>
      </c>
      <c r="M1071" s="4" t="s">
        <v>4329</v>
      </c>
      <c r="N1071" s="6" t="n">
        <v>77364</v>
      </c>
      <c r="O1071" s="6" t="n">
        <v>119604</v>
      </c>
      <c r="P1071" s="4" t="s">
        <v>46</v>
      </c>
      <c r="Q1071" s="6" t="n">
        <v>407000</v>
      </c>
      <c r="R1071" s="15" t="n">
        <v>42541</v>
      </c>
      <c r="S1071" s="6"/>
      <c r="T1071" s="15"/>
      <c r="U1071" s="6"/>
      <c r="V1071" s="15"/>
      <c r="W1071" s="4" t="s">
        <v>47</v>
      </c>
      <c r="X1071" s="4" t="s">
        <v>47</v>
      </c>
      <c r="Y1071" s="4" t="s">
        <v>4330</v>
      </c>
      <c r="Z1071" s="4" t="s">
        <v>2911</v>
      </c>
      <c r="AA1071" s="6" t="n">
        <v>0</v>
      </c>
      <c r="AB1071" s="6" t="n">
        <v>12022.92</v>
      </c>
      <c r="AC1071" s="6" t="n">
        <v>12844.47</v>
      </c>
      <c r="AD1071" s="14" t="b">
        <f aca="false">FALSE()</f>
        <v>0</v>
      </c>
    </row>
    <row r="1072" customFormat="false" ht="15" hidden="false" customHeight="false" outlineLevel="0" collapsed="false">
      <c r="A1072" s="14" t="b">
        <f aca="false">TRUE()</f>
        <v>1</v>
      </c>
      <c r="B1072" s="14" t="b">
        <f aca="false">FALSE()</f>
        <v>0</v>
      </c>
      <c r="C1072" s="4" t="n">
        <v>2</v>
      </c>
      <c r="D1072" s="4"/>
      <c r="E1072" s="4"/>
      <c r="F1072" s="4"/>
      <c r="G1072" s="4"/>
      <c r="H1072" s="14" t="b">
        <f aca="false">FALSE()</f>
        <v>0</v>
      </c>
      <c r="I1072" s="14" t="b">
        <f aca="false">FALSE()</f>
        <v>0</v>
      </c>
      <c r="J1072" s="4"/>
      <c r="K1072" s="4" t="s">
        <v>4331</v>
      </c>
      <c r="L1072" s="4" t="s">
        <v>4332</v>
      </c>
      <c r="M1072" s="4" t="s">
        <v>4333</v>
      </c>
      <c r="N1072" s="6" t="n">
        <v>13413</v>
      </c>
      <c r="O1072" s="6" t="n">
        <v>39901</v>
      </c>
      <c r="P1072" s="4" t="s">
        <v>46</v>
      </c>
      <c r="Q1072" s="6" t="n">
        <v>70500</v>
      </c>
      <c r="R1072" s="15" t="n">
        <v>41337</v>
      </c>
      <c r="S1072" s="6"/>
      <c r="T1072" s="15"/>
      <c r="U1072" s="6"/>
      <c r="V1072" s="15"/>
      <c r="W1072" s="4" t="s">
        <v>47</v>
      </c>
      <c r="X1072" s="4" t="s">
        <v>47</v>
      </c>
      <c r="Y1072" s="4" t="s">
        <v>4334</v>
      </c>
      <c r="Z1072" s="4" t="s">
        <v>2911</v>
      </c>
      <c r="AA1072" s="6" t="n">
        <v>0</v>
      </c>
      <c r="AB1072" s="6" t="n">
        <v>3392.06</v>
      </c>
      <c r="AC1072" s="6" t="n">
        <v>1782.35</v>
      </c>
      <c r="AD1072" s="14" t="b">
        <f aca="false">TRUE()</f>
        <v>1</v>
      </c>
    </row>
    <row r="1073" customFormat="false" ht="15" hidden="false" customHeight="false" outlineLevel="0" collapsed="false">
      <c r="A1073" s="14" t="b">
        <f aca="false">TRUE()</f>
        <v>1</v>
      </c>
      <c r="B1073" s="14" t="b">
        <f aca="false">FALSE()</f>
        <v>0</v>
      </c>
      <c r="C1073" s="4" t="n">
        <v>2</v>
      </c>
      <c r="D1073" s="4"/>
      <c r="E1073" s="4"/>
      <c r="F1073" s="4"/>
      <c r="G1073" s="4"/>
      <c r="H1073" s="14" t="b">
        <f aca="false">FALSE()</f>
        <v>0</v>
      </c>
      <c r="I1073" s="14" t="b">
        <f aca="false">FALSE()</f>
        <v>0</v>
      </c>
      <c r="J1073" s="4"/>
      <c r="K1073" s="4" t="s">
        <v>4335</v>
      </c>
      <c r="L1073" s="4" t="s">
        <v>4336</v>
      </c>
      <c r="M1073" s="4" t="s">
        <v>4337</v>
      </c>
      <c r="N1073" s="6" t="n">
        <v>13445</v>
      </c>
      <c r="O1073" s="6" t="n">
        <v>39966</v>
      </c>
      <c r="P1073" s="4" t="s">
        <v>46</v>
      </c>
      <c r="Q1073" s="6" t="n">
        <v>154000</v>
      </c>
      <c r="R1073" s="15" t="n">
        <v>44532</v>
      </c>
      <c r="S1073" s="6" t="n">
        <v>115425</v>
      </c>
      <c r="T1073" s="15" t="n">
        <v>44532</v>
      </c>
      <c r="U1073" s="6"/>
      <c r="V1073" s="15"/>
      <c r="W1073" s="4" t="s">
        <v>47</v>
      </c>
      <c r="X1073" s="4" t="s">
        <v>47</v>
      </c>
      <c r="Y1073" s="4" t="s">
        <v>4338</v>
      </c>
      <c r="Z1073" s="4" t="s">
        <v>2911</v>
      </c>
      <c r="AA1073" s="6" t="n">
        <v>0</v>
      </c>
      <c r="AB1073" s="6" t="n">
        <v>3398.24</v>
      </c>
      <c r="AC1073" s="6" t="n">
        <v>1785.58</v>
      </c>
      <c r="AD1073" s="14" t="b">
        <f aca="false">TRUE()</f>
        <v>1</v>
      </c>
    </row>
    <row r="1074" customFormat="false" ht="15" hidden="false" customHeight="false" outlineLevel="0" collapsed="false">
      <c r="A1074" s="14" t="b">
        <f aca="false">TRUE()</f>
        <v>1</v>
      </c>
      <c r="B1074" s="14" t="b">
        <f aca="false">FALSE()</f>
        <v>0</v>
      </c>
      <c r="C1074" s="4" t="n">
        <v>2</v>
      </c>
      <c r="D1074" s="4"/>
      <c r="E1074" s="4"/>
      <c r="F1074" s="4"/>
      <c r="G1074" s="4"/>
      <c r="H1074" s="14" t="b">
        <f aca="false">FALSE()</f>
        <v>0</v>
      </c>
      <c r="I1074" s="14" t="b">
        <f aca="false">FALSE()</f>
        <v>0</v>
      </c>
      <c r="J1074" s="4"/>
      <c r="K1074" s="4" t="s">
        <v>4335</v>
      </c>
      <c r="L1074" s="4" t="s">
        <v>4339</v>
      </c>
      <c r="M1074" s="4" t="s">
        <v>4340</v>
      </c>
      <c r="N1074" s="6" t="n">
        <v>13413</v>
      </c>
      <c r="O1074" s="6" t="n">
        <v>39901</v>
      </c>
      <c r="P1074" s="4" t="s">
        <v>46</v>
      </c>
      <c r="Q1074" s="6" t="n">
        <v>159000</v>
      </c>
      <c r="R1074" s="15" t="n">
        <v>44538</v>
      </c>
      <c r="S1074" s="6" t="n">
        <v>119250</v>
      </c>
      <c r="T1074" s="15" t="n">
        <v>44538</v>
      </c>
      <c r="U1074" s="6"/>
      <c r="V1074" s="15"/>
      <c r="W1074" s="4" t="s">
        <v>47</v>
      </c>
      <c r="X1074" s="4" t="s">
        <v>47</v>
      </c>
      <c r="Y1074" s="4" t="s">
        <v>4341</v>
      </c>
      <c r="Z1074" s="4" t="s">
        <v>2911</v>
      </c>
      <c r="AA1074" s="6" t="n">
        <v>0</v>
      </c>
      <c r="AB1074" s="6" t="n">
        <v>2883.06</v>
      </c>
      <c r="AC1074" s="6" t="n">
        <v>1516.4</v>
      </c>
      <c r="AD1074" s="14" t="b">
        <f aca="false">TRUE()</f>
        <v>1</v>
      </c>
    </row>
    <row r="1075" customFormat="false" ht="15" hidden="false" customHeight="false" outlineLevel="0" collapsed="false">
      <c r="A1075" s="14" t="b">
        <f aca="false">TRUE()</f>
        <v>1</v>
      </c>
      <c r="B1075" s="14" t="b">
        <f aca="false">FALSE()</f>
        <v>0</v>
      </c>
      <c r="C1075" s="4" t="n">
        <v>2</v>
      </c>
      <c r="D1075" s="4"/>
      <c r="E1075" s="4"/>
      <c r="F1075" s="4"/>
      <c r="G1075" s="4"/>
      <c r="H1075" s="14" t="b">
        <f aca="false">FALSE()</f>
        <v>0</v>
      </c>
      <c r="I1075" s="14" t="b">
        <f aca="false">FALSE()</f>
        <v>0</v>
      </c>
      <c r="J1075" s="4"/>
      <c r="K1075" s="4" t="s">
        <v>4335</v>
      </c>
      <c r="L1075" s="4" t="s">
        <v>4342</v>
      </c>
      <c r="M1075" s="4" t="s">
        <v>4343</v>
      </c>
      <c r="N1075" s="6" t="n">
        <v>13445</v>
      </c>
      <c r="O1075" s="6" t="n">
        <v>39966</v>
      </c>
      <c r="P1075" s="4" t="s">
        <v>46</v>
      </c>
      <c r="Q1075" s="6" t="n">
        <v>155000</v>
      </c>
      <c r="R1075" s="15" t="n">
        <v>44552</v>
      </c>
      <c r="S1075" s="6" t="n">
        <v>116250</v>
      </c>
      <c r="T1075" s="15" t="n">
        <v>44552</v>
      </c>
      <c r="U1075" s="6"/>
      <c r="V1075" s="15"/>
      <c r="W1075" s="4" t="s">
        <v>47</v>
      </c>
      <c r="X1075" s="4" t="s">
        <v>47</v>
      </c>
      <c r="Y1075" s="4" t="s">
        <v>4344</v>
      </c>
      <c r="Z1075" s="4" t="s">
        <v>2911</v>
      </c>
      <c r="AA1075" s="6" t="n">
        <v>0</v>
      </c>
      <c r="AB1075" s="6" t="n">
        <v>2889.24</v>
      </c>
      <c r="AC1075" s="6" t="n">
        <v>1519.63</v>
      </c>
      <c r="AD1075" s="14" t="b">
        <f aca="false">TRUE()</f>
        <v>1</v>
      </c>
    </row>
    <row r="1076" customFormat="false" ht="15" hidden="false" customHeight="false" outlineLevel="0" collapsed="false">
      <c r="A1076" s="14" t="b">
        <f aca="false">TRUE()</f>
        <v>1</v>
      </c>
      <c r="B1076" s="14" t="b">
        <f aca="false">FALSE()</f>
        <v>0</v>
      </c>
      <c r="C1076" s="4" t="n">
        <v>3</v>
      </c>
      <c r="D1076" s="4"/>
      <c r="E1076" s="4"/>
      <c r="F1076" s="4"/>
      <c r="G1076" s="4"/>
      <c r="H1076" s="14" t="b">
        <f aca="false">FALSE()</f>
        <v>0</v>
      </c>
      <c r="I1076" s="14" t="b">
        <f aca="false">FALSE()</f>
        <v>0</v>
      </c>
      <c r="J1076" s="4"/>
      <c r="K1076" s="4" t="s">
        <v>4345</v>
      </c>
      <c r="L1076" s="4" t="s">
        <v>4346</v>
      </c>
      <c r="M1076" s="4" t="s">
        <v>4347</v>
      </c>
      <c r="N1076" s="6" t="n">
        <v>13445</v>
      </c>
      <c r="O1076" s="6" t="n">
        <v>39966</v>
      </c>
      <c r="P1076" s="4" t="s">
        <v>46</v>
      </c>
      <c r="Q1076" s="6" t="n">
        <v>62000</v>
      </c>
      <c r="R1076" s="15" t="n">
        <v>41101</v>
      </c>
      <c r="S1076" s="6" t="n">
        <v>10000</v>
      </c>
      <c r="T1076" s="15" t="n">
        <v>41184</v>
      </c>
      <c r="U1076" s="6"/>
      <c r="V1076" s="15"/>
      <c r="W1076" s="4" t="s">
        <v>47</v>
      </c>
      <c r="X1076" s="4" t="s">
        <v>47</v>
      </c>
      <c r="Y1076" s="4" t="s">
        <v>4348</v>
      </c>
      <c r="Z1076" s="4" t="s">
        <v>2911</v>
      </c>
      <c r="AA1076" s="6" t="n">
        <v>0</v>
      </c>
      <c r="AB1076" s="6" t="n">
        <v>2889.24</v>
      </c>
      <c r="AC1076" s="6" t="n">
        <v>3094.27</v>
      </c>
      <c r="AD1076" s="14" t="b">
        <f aca="false">FALSE()</f>
        <v>0</v>
      </c>
    </row>
    <row r="1077" customFormat="false" ht="15" hidden="false" customHeight="false" outlineLevel="0" collapsed="false">
      <c r="A1077" s="14" t="b">
        <f aca="false">TRUE()</f>
        <v>1</v>
      </c>
      <c r="B1077" s="14" t="b">
        <f aca="false">FALSE()</f>
        <v>0</v>
      </c>
      <c r="C1077" s="4" t="n">
        <v>2</v>
      </c>
      <c r="D1077" s="4"/>
      <c r="E1077" s="4"/>
      <c r="F1077" s="4"/>
      <c r="G1077" s="4"/>
      <c r="H1077" s="14" t="b">
        <f aca="false">FALSE()</f>
        <v>0</v>
      </c>
      <c r="I1077" s="14" t="b">
        <f aca="false">FALSE()</f>
        <v>0</v>
      </c>
      <c r="J1077" s="4"/>
      <c r="K1077" s="4" t="s">
        <v>4349</v>
      </c>
      <c r="L1077" s="4" t="s">
        <v>4350</v>
      </c>
      <c r="M1077" s="4" t="s">
        <v>4351</v>
      </c>
      <c r="N1077" s="6" t="n">
        <v>13445</v>
      </c>
      <c r="O1077" s="6" t="n">
        <v>39966</v>
      </c>
      <c r="P1077" s="4" t="s">
        <v>46</v>
      </c>
      <c r="Q1077" s="6" t="n">
        <v>93000</v>
      </c>
      <c r="R1077" s="15" t="n">
        <v>41647</v>
      </c>
      <c r="S1077" s="6"/>
      <c r="T1077" s="15"/>
      <c r="U1077" s="6"/>
      <c r="V1077" s="15"/>
      <c r="W1077" s="4" t="s">
        <v>47</v>
      </c>
      <c r="X1077" s="4" t="s">
        <v>47</v>
      </c>
      <c r="Y1077" s="4" t="s">
        <v>4352</v>
      </c>
      <c r="Z1077" s="4" t="s">
        <v>2911</v>
      </c>
      <c r="AA1077" s="6" t="n">
        <v>0</v>
      </c>
      <c r="AB1077" s="6" t="n">
        <v>2889.24</v>
      </c>
      <c r="AC1077" s="6" t="n">
        <v>1519.63</v>
      </c>
      <c r="AD1077" s="14" t="b">
        <f aca="false">TRUE()</f>
        <v>1</v>
      </c>
    </row>
    <row r="1078" customFormat="false" ht="15" hidden="false" customHeight="false" outlineLevel="0" collapsed="false">
      <c r="A1078" s="14" t="b">
        <f aca="false">TRUE()</f>
        <v>1</v>
      </c>
      <c r="B1078" s="14" t="b">
        <f aca="false">FALSE()</f>
        <v>0</v>
      </c>
      <c r="C1078" s="4" t="n">
        <v>2</v>
      </c>
      <c r="D1078" s="4"/>
      <c r="E1078" s="4"/>
      <c r="F1078" s="4"/>
      <c r="G1078" s="4"/>
      <c r="H1078" s="14" t="b">
        <f aca="false">FALSE()</f>
        <v>0</v>
      </c>
      <c r="I1078" s="14" t="b">
        <f aca="false">FALSE()</f>
        <v>0</v>
      </c>
      <c r="J1078" s="4"/>
      <c r="K1078" s="4" t="s">
        <v>4353</v>
      </c>
      <c r="L1078" s="4" t="s">
        <v>4354</v>
      </c>
      <c r="M1078" s="4" t="s">
        <v>4355</v>
      </c>
      <c r="N1078" s="6" t="n">
        <v>13445</v>
      </c>
      <c r="O1078" s="6" t="n">
        <v>39966</v>
      </c>
      <c r="P1078" s="4" t="s">
        <v>46</v>
      </c>
      <c r="Q1078" s="6" t="n">
        <v>150000</v>
      </c>
      <c r="R1078" s="15" t="n">
        <v>39261</v>
      </c>
      <c r="S1078" s="6"/>
      <c r="T1078" s="15"/>
      <c r="U1078" s="6"/>
      <c r="V1078" s="15"/>
      <c r="W1078" s="4" t="s">
        <v>47</v>
      </c>
      <c r="X1078" s="4" t="s">
        <v>58</v>
      </c>
      <c r="Y1078" s="4" t="s">
        <v>4356</v>
      </c>
      <c r="Z1078" s="4" t="s">
        <v>2911</v>
      </c>
      <c r="AA1078" s="6" t="n">
        <v>0</v>
      </c>
      <c r="AB1078" s="6" t="n">
        <v>2889.24</v>
      </c>
      <c r="AC1078" s="6" t="n">
        <v>3094.27</v>
      </c>
      <c r="AD1078" s="14" t="b">
        <f aca="false">FALSE()</f>
        <v>0</v>
      </c>
    </row>
    <row r="1079" customFormat="false" ht="15" hidden="false" customHeight="false" outlineLevel="0" collapsed="false">
      <c r="A1079" s="14" t="b">
        <f aca="false">TRUE()</f>
        <v>1</v>
      </c>
      <c r="B1079" s="14" t="b">
        <f aca="false">FALSE()</f>
        <v>0</v>
      </c>
      <c r="C1079" s="4" t="n">
        <v>3</v>
      </c>
      <c r="D1079" s="4"/>
      <c r="E1079" s="4"/>
      <c r="F1079" s="4"/>
      <c r="G1079" s="4"/>
      <c r="H1079" s="14" t="b">
        <f aca="false">FALSE()</f>
        <v>0</v>
      </c>
      <c r="I1079" s="14" t="b">
        <f aca="false">FALSE()</f>
        <v>0</v>
      </c>
      <c r="J1079" s="4"/>
      <c r="K1079" s="4" t="s">
        <v>4357</v>
      </c>
      <c r="L1079" s="4" t="s">
        <v>4358</v>
      </c>
      <c r="M1079" s="4" t="s">
        <v>4359</v>
      </c>
      <c r="N1079" s="6" t="n">
        <v>6744</v>
      </c>
      <c r="O1079" s="6" t="n">
        <v>58611</v>
      </c>
      <c r="P1079" s="4" t="s">
        <v>46</v>
      </c>
      <c r="Q1079" s="6" t="n">
        <v>130000</v>
      </c>
      <c r="R1079" s="15" t="n">
        <v>42585</v>
      </c>
      <c r="S1079" s="6" t="n">
        <v>84500</v>
      </c>
      <c r="T1079" s="15" t="n">
        <v>42585</v>
      </c>
      <c r="U1079" s="6"/>
      <c r="V1079" s="15"/>
      <c r="W1079" s="4" t="s">
        <v>47</v>
      </c>
      <c r="X1079" s="4" t="s">
        <v>58</v>
      </c>
      <c r="Y1079" s="4" t="s">
        <v>4360</v>
      </c>
      <c r="Z1079" s="4" t="s">
        <v>2911</v>
      </c>
      <c r="AA1079" s="6" t="n">
        <v>0</v>
      </c>
      <c r="AB1079" s="6" t="n">
        <v>3649.18</v>
      </c>
      <c r="AC1079" s="6" t="n">
        <v>3905.5</v>
      </c>
      <c r="AD1079" s="14" t="b">
        <f aca="false">FALSE()</f>
        <v>0</v>
      </c>
    </row>
    <row r="1080" customFormat="false" ht="15" hidden="false" customHeight="false" outlineLevel="0" collapsed="false">
      <c r="A1080" s="14" t="b">
        <f aca="false">TRUE()</f>
        <v>1</v>
      </c>
      <c r="B1080" s="14" t="b">
        <f aca="false">FALSE()</f>
        <v>0</v>
      </c>
      <c r="C1080" s="4" t="n">
        <v>3</v>
      </c>
      <c r="D1080" s="4"/>
      <c r="E1080" s="4"/>
      <c r="F1080" s="4"/>
      <c r="G1080" s="4"/>
      <c r="H1080" s="14" t="b">
        <f aca="false">FALSE()</f>
        <v>0</v>
      </c>
      <c r="I1080" s="14" t="b">
        <f aca="false">FALSE()</f>
        <v>0</v>
      </c>
      <c r="J1080" s="4"/>
      <c r="K1080" s="4" t="s">
        <v>4361</v>
      </c>
      <c r="L1080" s="4" t="s">
        <v>4362</v>
      </c>
      <c r="M1080" s="4" t="s">
        <v>4363</v>
      </c>
      <c r="N1080" s="6" t="n">
        <v>6625</v>
      </c>
      <c r="O1080" s="6" t="n">
        <v>54510</v>
      </c>
      <c r="P1080" s="4" t="s">
        <v>46</v>
      </c>
      <c r="Q1080" s="6" t="n">
        <v>196000</v>
      </c>
      <c r="R1080" s="15" t="n">
        <v>45597</v>
      </c>
      <c r="S1080" s="6" t="n">
        <v>190120</v>
      </c>
      <c r="T1080" s="15" t="n">
        <v>45597</v>
      </c>
      <c r="U1080" s="6"/>
      <c r="V1080" s="15"/>
      <c r="W1080" s="4" t="s">
        <v>47</v>
      </c>
      <c r="X1080" s="4" t="s">
        <v>58</v>
      </c>
      <c r="Y1080" s="4" t="s">
        <v>4364</v>
      </c>
      <c r="Z1080" s="4" t="s">
        <v>2911</v>
      </c>
      <c r="AA1080" s="6" t="n">
        <v>0</v>
      </c>
      <c r="AB1080" s="6" t="n">
        <v>3380.68</v>
      </c>
      <c r="AC1080" s="6" t="n">
        <v>3618.88</v>
      </c>
      <c r="AD1080" s="14" t="b">
        <f aca="false">FALSE()</f>
        <v>0</v>
      </c>
    </row>
    <row r="1081" customFormat="false" ht="15" hidden="false" customHeight="false" outlineLevel="0" collapsed="false">
      <c r="A1081" s="14" t="b">
        <f aca="false">TRUE()</f>
        <v>1</v>
      </c>
      <c r="B1081" s="14" t="b">
        <f aca="false">FALSE()</f>
        <v>0</v>
      </c>
      <c r="C1081" s="4" t="n">
        <v>2</v>
      </c>
      <c r="D1081" s="4"/>
      <c r="E1081" s="4"/>
      <c r="F1081" s="4"/>
      <c r="G1081" s="4"/>
      <c r="H1081" s="14" t="b">
        <f aca="false">FALSE()</f>
        <v>0</v>
      </c>
      <c r="I1081" s="14" t="b">
        <f aca="false">FALSE()</f>
        <v>0</v>
      </c>
      <c r="J1081" s="4"/>
      <c r="K1081" s="4" t="s">
        <v>4365</v>
      </c>
      <c r="L1081" s="4" t="s">
        <v>4366</v>
      </c>
      <c r="M1081" s="4" t="s">
        <v>4367</v>
      </c>
      <c r="N1081" s="6" t="n">
        <v>13413</v>
      </c>
      <c r="O1081" s="6" t="n">
        <v>39901</v>
      </c>
      <c r="P1081" s="4" t="s">
        <v>46</v>
      </c>
      <c r="Q1081" s="6" t="n">
        <v>128500</v>
      </c>
      <c r="R1081" s="15" t="n">
        <v>43479</v>
      </c>
      <c r="S1081" s="6"/>
      <c r="T1081" s="15"/>
      <c r="U1081" s="6"/>
      <c r="V1081" s="15"/>
      <c r="W1081" s="4" t="s">
        <v>47</v>
      </c>
      <c r="X1081" s="4" t="s">
        <v>47</v>
      </c>
      <c r="Y1081" s="4" t="s">
        <v>4368</v>
      </c>
      <c r="Z1081" s="4" t="s">
        <v>2911</v>
      </c>
      <c r="AA1081" s="6" t="n">
        <v>0</v>
      </c>
      <c r="AB1081" s="6" t="n">
        <v>3392.06</v>
      </c>
      <c r="AC1081" s="6" t="n">
        <v>1782.35</v>
      </c>
      <c r="AD1081" s="14" t="b">
        <f aca="false">TRUE()</f>
        <v>1</v>
      </c>
    </row>
    <row r="1082" customFormat="false" ht="15" hidden="false" customHeight="false" outlineLevel="0" collapsed="false">
      <c r="A1082" s="14" t="b">
        <f aca="false">TRUE()</f>
        <v>1</v>
      </c>
      <c r="B1082" s="14" t="b">
        <f aca="false">FALSE()</f>
        <v>0</v>
      </c>
      <c r="C1082" s="4" t="n">
        <v>3</v>
      </c>
      <c r="D1082" s="4"/>
      <c r="E1082" s="4"/>
      <c r="F1082" s="4"/>
      <c r="G1082" s="4"/>
      <c r="H1082" s="14" t="b">
        <f aca="false">FALSE()</f>
        <v>0</v>
      </c>
      <c r="I1082" s="14" t="b">
        <f aca="false">FALSE()</f>
        <v>0</v>
      </c>
      <c r="J1082" s="4"/>
      <c r="K1082" s="4" t="s">
        <v>4369</v>
      </c>
      <c r="L1082" s="4" t="s">
        <v>4370</v>
      </c>
      <c r="M1082" s="4" t="s">
        <v>4371</v>
      </c>
      <c r="N1082" s="6" t="n">
        <v>13413</v>
      </c>
      <c r="O1082" s="6" t="n">
        <v>39901</v>
      </c>
      <c r="P1082" s="4" t="s">
        <v>46</v>
      </c>
      <c r="Q1082" s="6" t="n">
        <v>163500</v>
      </c>
      <c r="R1082" s="15" t="n">
        <v>45152</v>
      </c>
      <c r="S1082" s="6" t="n">
        <v>163500</v>
      </c>
      <c r="T1082" s="15" t="n">
        <v>45152</v>
      </c>
      <c r="U1082" s="6"/>
      <c r="V1082" s="15"/>
      <c r="W1082" s="4" t="s">
        <v>47</v>
      </c>
      <c r="X1082" s="4" t="s">
        <v>47</v>
      </c>
      <c r="Y1082" s="4" t="s">
        <v>4372</v>
      </c>
      <c r="Z1082" s="4" t="s">
        <v>2911</v>
      </c>
      <c r="AA1082" s="6" t="n">
        <v>0</v>
      </c>
      <c r="AB1082" s="6" t="n">
        <v>2883.06</v>
      </c>
      <c r="AC1082" s="6" t="n">
        <v>3087.67</v>
      </c>
      <c r="AD1082" s="14" t="b">
        <f aca="false">FALSE()</f>
        <v>0</v>
      </c>
    </row>
    <row r="1083" customFormat="false" ht="15" hidden="false" customHeight="false" outlineLevel="0" collapsed="false">
      <c r="A1083" s="14" t="b">
        <f aca="false">TRUE()</f>
        <v>1</v>
      </c>
      <c r="B1083" s="14" t="b">
        <f aca="false">FALSE()</f>
        <v>0</v>
      </c>
      <c r="C1083" s="4" t="n">
        <v>2</v>
      </c>
      <c r="D1083" s="4"/>
      <c r="E1083" s="4"/>
      <c r="F1083" s="4"/>
      <c r="G1083" s="4"/>
      <c r="H1083" s="14" t="b">
        <f aca="false">FALSE()</f>
        <v>0</v>
      </c>
      <c r="I1083" s="14" t="b">
        <f aca="false">FALSE()</f>
        <v>0</v>
      </c>
      <c r="J1083" s="4"/>
      <c r="K1083" s="4" t="s">
        <v>4373</v>
      </c>
      <c r="L1083" s="4" t="s">
        <v>4374</v>
      </c>
      <c r="M1083" s="4" t="s">
        <v>4375</v>
      </c>
      <c r="N1083" s="6" t="n">
        <v>12249</v>
      </c>
      <c r="O1083" s="6" t="n">
        <v>56120</v>
      </c>
      <c r="P1083" s="4" t="s">
        <v>46</v>
      </c>
      <c r="Q1083" s="6" t="n">
        <v>105000</v>
      </c>
      <c r="R1083" s="15" t="n">
        <v>37133</v>
      </c>
      <c r="S1083" s="6" t="n">
        <v>72500</v>
      </c>
      <c r="T1083" s="15" t="n">
        <v>42241</v>
      </c>
      <c r="U1083" s="6" t="n">
        <v>10000</v>
      </c>
      <c r="V1083" s="15" t="n">
        <v>39504</v>
      </c>
      <c r="W1083" s="4" t="s">
        <v>47</v>
      </c>
      <c r="X1083" s="4" t="s">
        <v>58</v>
      </c>
      <c r="Y1083" s="4" t="s">
        <v>4376</v>
      </c>
      <c r="Z1083" s="4" t="s">
        <v>3588</v>
      </c>
      <c r="AA1083" s="6" t="n">
        <v>0</v>
      </c>
      <c r="AB1083" s="6" t="n">
        <v>4010.66</v>
      </c>
      <c r="AC1083" s="6" t="n">
        <v>2105.57</v>
      </c>
      <c r="AD1083" s="14" t="b">
        <f aca="false">TRUE()</f>
        <v>1</v>
      </c>
    </row>
    <row r="1084" customFormat="false" ht="15" hidden="false" customHeight="false" outlineLevel="0" collapsed="false">
      <c r="A1084" s="14" t="b">
        <f aca="false">TRUE()</f>
        <v>1</v>
      </c>
      <c r="B1084" s="14" t="b">
        <f aca="false">FALSE()</f>
        <v>0</v>
      </c>
      <c r="C1084" s="4" t="n">
        <v>2</v>
      </c>
      <c r="D1084" s="4"/>
      <c r="E1084" s="4"/>
      <c r="F1084" s="4"/>
      <c r="G1084" s="4"/>
      <c r="H1084" s="14" t="b">
        <f aca="false">FALSE()</f>
        <v>0</v>
      </c>
      <c r="I1084" s="14" t="b">
        <f aca="false">FALSE()</f>
        <v>0</v>
      </c>
      <c r="J1084" s="4"/>
      <c r="K1084" s="4" t="s">
        <v>4377</v>
      </c>
      <c r="L1084" s="4" t="s">
        <v>4378</v>
      </c>
      <c r="M1084" s="4" t="s">
        <v>4379</v>
      </c>
      <c r="N1084" s="6" t="n">
        <v>12107</v>
      </c>
      <c r="O1084" s="6" t="n">
        <v>48320</v>
      </c>
      <c r="P1084" s="4" t="s">
        <v>46</v>
      </c>
      <c r="Q1084" s="6"/>
      <c r="R1084" s="15" t="n">
        <v>45967</v>
      </c>
      <c r="S1084" s="6"/>
      <c r="T1084" s="15"/>
      <c r="U1084" s="6"/>
      <c r="V1084" s="15"/>
      <c r="W1084" s="4" t="s">
        <v>47</v>
      </c>
      <c r="X1084" s="4" t="s">
        <v>47</v>
      </c>
      <c r="Y1084" s="4" t="s">
        <v>4380</v>
      </c>
      <c r="Z1084" s="4" t="s">
        <v>3588</v>
      </c>
      <c r="AA1084" s="6" t="n">
        <v>0</v>
      </c>
      <c r="AB1084" s="6" t="n">
        <v>3483.04</v>
      </c>
      <c r="AC1084" s="6" t="n">
        <v>1829.89</v>
      </c>
      <c r="AD1084" s="14" t="b">
        <f aca="false">TRUE()</f>
        <v>1</v>
      </c>
    </row>
    <row r="1085" customFormat="false" ht="15" hidden="false" customHeight="false" outlineLevel="0" collapsed="false">
      <c r="A1085" s="14" t="b">
        <f aca="false">TRUE()</f>
        <v>1</v>
      </c>
      <c r="B1085" s="14" t="b">
        <f aca="false">FALSE()</f>
        <v>0</v>
      </c>
      <c r="C1085" s="4" t="n">
        <v>2</v>
      </c>
      <c r="D1085" s="4"/>
      <c r="E1085" s="4"/>
      <c r="F1085" s="4"/>
      <c r="G1085" s="4"/>
      <c r="H1085" s="14" t="b">
        <f aca="false">FALSE()</f>
        <v>0</v>
      </c>
      <c r="I1085" s="14" t="b">
        <f aca="false">FALSE()</f>
        <v>0</v>
      </c>
      <c r="J1085" s="4"/>
      <c r="K1085" s="4" t="s">
        <v>4381</v>
      </c>
      <c r="L1085" s="4" t="s">
        <v>4382</v>
      </c>
      <c r="M1085" s="4" t="s">
        <v>4383</v>
      </c>
      <c r="N1085" s="6" t="n">
        <v>54455</v>
      </c>
      <c r="O1085" s="6" t="n">
        <v>86785</v>
      </c>
      <c r="P1085" s="4" t="s">
        <v>46</v>
      </c>
      <c r="Q1085" s="6" t="n">
        <v>236500</v>
      </c>
      <c r="R1085" s="15" t="n">
        <v>34233</v>
      </c>
      <c r="S1085" s="6"/>
      <c r="T1085" s="15"/>
      <c r="U1085" s="6"/>
      <c r="V1085" s="15"/>
      <c r="W1085" s="4" t="s">
        <v>47</v>
      </c>
      <c r="X1085" s="4" t="s">
        <v>47</v>
      </c>
      <c r="Y1085" s="4" t="s">
        <v>4384</v>
      </c>
      <c r="Z1085" s="4" t="s">
        <v>3588</v>
      </c>
      <c r="AA1085" s="6" t="n">
        <v>0</v>
      </c>
      <c r="AB1085" s="6" t="n">
        <v>8320.44</v>
      </c>
      <c r="AC1085" s="6" t="n">
        <v>8892.07</v>
      </c>
      <c r="AD1085" s="14" t="b">
        <f aca="false">FALSE()</f>
        <v>0</v>
      </c>
    </row>
    <row r="1086" customFormat="false" ht="15" hidden="false" customHeight="false" outlineLevel="0" collapsed="false">
      <c r="A1086" s="14" t="b">
        <f aca="false">TRUE()</f>
        <v>1</v>
      </c>
      <c r="B1086" s="14" t="b">
        <f aca="false">FALSE()</f>
        <v>0</v>
      </c>
      <c r="C1086" s="4" t="n">
        <v>2</v>
      </c>
      <c r="D1086" s="4"/>
      <c r="E1086" s="4"/>
      <c r="F1086" s="4"/>
      <c r="G1086" s="4"/>
      <c r="H1086" s="14" t="b">
        <f aca="false">FALSE()</f>
        <v>0</v>
      </c>
      <c r="I1086" s="14" t="b">
        <f aca="false">FALSE()</f>
        <v>0</v>
      </c>
      <c r="J1086" s="4"/>
      <c r="K1086" s="4" t="s">
        <v>4385</v>
      </c>
      <c r="L1086" s="4" t="s">
        <v>4386</v>
      </c>
      <c r="M1086" s="4" t="s">
        <v>4387</v>
      </c>
      <c r="N1086" s="6" t="n">
        <v>15360</v>
      </c>
      <c r="O1086" s="6" t="n">
        <v>80932</v>
      </c>
      <c r="P1086" s="4" t="s">
        <v>46</v>
      </c>
      <c r="Q1086" s="6" t="n">
        <v>364500</v>
      </c>
      <c r="R1086" s="15" t="n">
        <v>45378</v>
      </c>
      <c r="S1086" s="6"/>
      <c r="T1086" s="15"/>
      <c r="U1086" s="6"/>
      <c r="V1086" s="15"/>
      <c r="W1086" s="4" t="s">
        <v>47</v>
      </c>
      <c r="X1086" s="4" t="s">
        <v>47</v>
      </c>
      <c r="Y1086" s="4" t="s">
        <v>4388</v>
      </c>
      <c r="Z1086" s="4" t="s">
        <v>4233</v>
      </c>
      <c r="AA1086" s="6" t="n">
        <v>0</v>
      </c>
      <c r="AB1086" s="6" t="n">
        <v>5449.84</v>
      </c>
      <c r="AC1086" s="6" t="n">
        <v>2816.67</v>
      </c>
      <c r="AD1086" s="14" t="b">
        <f aca="false">TRUE()</f>
        <v>1</v>
      </c>
    </row>
    <row r="1087" customFormat="false" ht="15" hidden="false" customHeight="false" outlineLevel="0" collapsed="false">
      <c r="A1087" s="14" t="b">
        <f aca="false">TRUE()</f>
        <v>1</v>
      </c>
      <c r="B1087" s="14" t="b">
        <f aca="false">FALSE()</f>
        <v>0</v>
      </c>
      <c r="C1087" s="4" t="n">
        <v>2</v>
      </c>
      <c r="D1087" s="4"/>
      <c r="E1087" s="4"/>
      <c r="F1087" s="4"/>
      <c r="G1087" s="4"/>
      <c r="H1087" s="14" t="b">
        <f aca="false">FALSE()</f>
        <v>0</v>
      </c>
      <c r="I1087" s="14" t="b">
        <f aca="false">FALSE()</f>
        <v>0</v>
      </c>
      <c r="J1087" s="4"/>
      <c r="K1087" s="4" t="s">
        <v>4389</v>
      </c>
      <c r="L1087" s="4" t="s">
        <v>4390</v>
      </c>
      <c r="M1087" s="4" t="s">
        <v>4391</v>
      </c>
      <c r="N1087" s="6" t="n">
        <v>28446</v>
      </c>
      <c r="O1087" s="6" t="n">
        <v>110107</v>
      </c>
      <c r="P1087" s="4" t="s">
        <v>46</v>
      </c>
      <c r="Q1087" s="6" t="n">
        <v>315000</v>
      </c>
      <c r="R1087" s="15" t="n">
        <v>44221</v>
      </c>
      <c r="S1087" s="6"/>
      <c r="T1087" s="15"/>
      <c r="U1087" s="6"/>
      <c r="V1087" s="15"/>
      <c r="W1087" s="4" t="s">
        <v>47</v>
      </c>
      <c r="X1087" s="4" t="s">
        <v>47</v>
      </c>
      <c r="Y1087" s="4" t="s">
        <v>4392</v>
      </c>
      <c r="Z1087" s="4" t="s">
        <v>4233</v>
      </c>
      <c r="AA1087" s="6" t="n">
        <v>0</v>
      </c>
      <c r="AB1087" s="6" t="n">
        <v>7564.58</v>
      </c>
      <c r="AC1087" s="6" t="n">
        <v>3962.49</v>
      </c>
      <c r="AD1087" s="14" t="b">
        <f aca="false">TRUE()</f>
        <v>1</v>
      </c>
    </row>
    <row r="1088" customFormat="false" ht="15" hidden="false" customHeight="false" outlineLevel="0" collapsed="false">
      <c r="A1088" s="14" t="b">
        <f aca="false">TRUE()</f>
        <v>1</v>
      </c>
      <c r="B1088" s="14" t="b">
        <f aca="false">FALSE()</f>
        <v>0</v>
      </c>
      <c r="C1088" s="4" t="n">
        <v>2</v>
      </c>
      <c r="D1088" s="4"/>
      <c r="E1088" s="4"/>
      <c r="F1088" s="4"/>
      <c r="G1088" s="4"/>
      <c r="H1088" s="14" t="b">
        <f aca="false">FALSE()</f>
        <v>0</v>
      </c>
      <c r="I1088" s="14" t="b">
        <f aca="false">FALSE()</f>
        <v>0</v>
      </c>
      <c r="J1088" s="4"/>
      <c r="K1088" s="4" t="s">
        <v>4393</v>
      </c>
      <c r="L1088" s="4" t="s">
        <v>4394</v>
      </c>
      <c r="M1088" s="4" t="s">
        <v>4395</v>
      </c>
      <c r="N1088" s="6" t="n">
        <v>24421</v>
      </c>
      <c r="O1088" s="6" t="n">
        <v>75221</v>
      </c>
      <c r="P1088" s="4" t="s">
        <v>46</v>
      </c>
      <c r="Q1088" s="6" t="n">
        <v>257000</v>
      </c>
      <c r="R1088" s="15" t="n">
        <v>39216</v>
      </c>
      <c r="S1088" s="6"/>
      <c r="T1088" s="15"/>
      <c r="U1088" s="6"/>
      <c r="V1088" s="15"/>
      <c r="W1088" s="4" t="s">
        <v>58</v>
      </c>
      <c r="X1088" s="4" t="s">
        <v>47</v>
      </c>
      <c r="Y1088" s="4" t="s">
        <v>4396</v>
      </c>
      <c r="Z1088" s="4" t="s">
        <v>4233</v>
      </c>
      <c r="AA1088" s="6" t="n">
        <v>0</v>
      </c>
      <c r="AB1088" s="6" t="n">
        <v>5607.86</v>
      </c>
      <c r="AC1088" s="6" t="n">
        <v>2940.11</v>
      </c>
      <c r="AD1088" s="14" t="b">
        <f aca="false">TRUE()</f>
        <v>1</v>
      </c>
    </row>
    <row r="1089" customFormat="false" ht="15" hidden="false" customHeight="false" outlineLevel="0" collapsed="false">
      <c r="A1089" s="14" t="b">
        <f aca="false">TRUE()</f>
        <v>1</v>
      </c>
      <c r="B1089" s="14" t="b">
        <f aca="false">FALSE()</f>
        <v>0</v>
      </c>
      <c r="C1089" s="4" t="n">
        <v>2</v>
      </c>
      <c r="D1089" s="4"/>
      <c r="E1089" s="4"/>
      <c r="F1089" s="4"/>
      <c r="G1089" s="4"/>
      <c r="H1089" s="14" t="b">
        <f aca="false">FALSE()</f>
        <v>0</v>
      </c>
      <c r="I1089" s="14" t="b">
        <f aca="false">FALSE()</f>
        <v>0</v>
      </c>
      <c r="J1089" s="4"/>
      <c r="K1089" s="4" t="s">
        <v>4397</v>
      </c>
      <c r="L1089" s="4" t="s">
        <v>4398</v>
      </c>
      <c r="M1089" s="4" t="s">
        <v>4399</v>
      </c>
      <c r="N1089" s="6" t="n">
        <v>10106</v>
      </c>
      <c r="O1089" s="6" t="n">
        <v>51812</v>
      </c>
      <c r="P1089" s="4" t="s">
        <v>46</v>
      </c>
      <c r="Q1089" s="6" t="n">
        <v>115000</v>
      </c>
      <c r="R1089" s="15" t="n">
        <v>45517</v>
      </c>
      <c r="S1089" s="6"/>
      <c r="T1089" s="15"/>
      <c r="U1089" s="6"/>
      <c r="V1089" s="15"/>
      <c r="W1089" s="4" t="s">
        <v>47</v>
      </c>
      <c r="X1089" s="4" t="s">
        <v>47</v>
      </c>
      <c r="Y1089" s="4" t="s">
        <v>4400</v>
      </c>
      <c r="Z1089" s="4" t="s">
        <v>2911</v>
      </c>
      <c r="AA1089" s="6" t="n">
        <v>0</v>
      </c>
      <c r="AB1089" s="6" t="n">
        <v>3036.62</v>
      </c>
      <c r="AC1089" s="6" t="n">
        <v>3251.59</v>
      </c>
      <c r="AD1089" s="14" t="b">
        <f aca="false">FALSE()</f>
        <v>0</v>
      </c>
    </row>
    <row r="1090" customFormat="false" ht="15" hidden="false" customHeight="false" outlineLevel="0" collapsed="false">
      <c r="A1090" s="14" t="b">
        <f aca="false">TRUE()</f>
        <v>1</v>
      </c>
      <c r="B1090" s="14" t="b">
        <f aca="false">FALSE()</f>
        <v>0</v>
      </c>
      <c r="C1090" s="4" t="n">
        <v>2</v>
      </c>
      <c r="D1090" s="4"/>
      <c r="E1090" s="4"/>
      <c r="F1090" s="4"/>
      <c r="G1090" s="4"/>
      <c r="H1090" s="14" t="b">
        <f aca="false">FALSE()</f>
        <v>0</v>
      </c>
      <c r="I1090" s="14" t="b">
        <f aca="false">FALSE()</f>
        <v>0</v>
      </c>
      <c r="J1090" s="4"/>
      <c r="K1090" s="4" t="s">
        <v>4401</v>
      </c>
      <c r="L1090" s="4" t="s">
        <v>4402</v>
      </c>
      <c r="M1090" s="4" t="s">
        <v>4403</v>
      </c>
      <c r="N1090" s="6" t="n">
        <v>10378</v>
      </c>
      <c r="O1090" s="6" t="n">
        <v>52639</v>
      </c>
      <c r="P1090" s="4" t="s">
        <v>46</v>
      </c>
      <c r="Q1090" s="6"/>
      <c r="R1090" s="15" t="n">
        <v>43076</v>
      </c>
      <c r="S1090" s="6"/>
      <c r="T1090" s="15"/>
      <c r="U1090" s="6"/>
      <c r="V1090" s="15"/>
      <c r="W1090" s="4" t="s">
        <v>47</v>
      </c>
      <c r="X1090" s="4" t="s">
        <v>47</v>
      </c>
      <c r="Y1090" s="4" t="s">
        <v>4404</v>
      </c>
      <c r="Z1090" s="4" t="s">
        <v>2911</v>
      </c>
      <c r="AA1090" s="6" t="n">
        <v>0</v>
      </c>
      <c r="AB1090" s="6" t="n">
        <v>3098.5</v>
      </c>
      <c r="AC1090" s="6" t="n">
        <v>3317.65</v>
      </c>
      <c r="AD1090" s="14" t="b">
        <f aca="false">FALSE()</f>
        <v>0</v>
      </c>
    </row>
    <row r="1091" customFormat="false" ht="15" hidden="false" customHeight="false" outlineLevel="0" collapsed="false">
      <c r="A1091" s="14" t="b">
        <f aca="false">TRUE()</f>
        <v>1</v>
      </c>
      <c r="B1091" s="14" t="b">
        <f aca="false">FALSE()</f>
        <v>0</v>
      </c>
      <c r="C1091" s="4" t="n">
        <v>2</v>
      </c>
      <c r="D1091" s="4"/>
      <c r="E1091" s="4"/>
      <c r="F1091" s="4"/>
      <c r="G1091" s="4"/>
      <c r="H1091" s="14" t="b">
        <f aca="false">FALSE()</f>
        <v>0</v>
      </c>
      <c r="I1091" s="14" t="b">
        <f aca="false">FALSE()</f>
        <v>0</v>
      </c>
      <c r="J1091" s="4"/>
      <c r="K1091" s="4" t="s">
        <v>4405</v>
      </c>
      <c r="L1091" s="4" t="s">
        <v>4406</v>
      </c>
      <c r="M1091" s="4" t="s">
        <v>4407</v>
      </c>
      <c r="N1091" s="6" t="n">
        <v>9399</v>
      </c>
      <c r="O1091" s="6" t="n">
        <v>48733</v>
      </c>
      <c r="P1091" s="4" t="s">
        <v>46</v>
      </c>
      <c r="Q1091" s="6" t="n">
        <v>165000</v>
      </c>
      <c r="R1091" s="15" t="n">
        <v>44768</v>
      </c>
      <c r="S1091" s="6"/>
      <c r="T1091" s="15"/>
      <c r="U1091" s="6"/>
      <c r="V1091" s="15"/>
      <c r="W1091" s="4" t="s">
        <v>47</v>
      </c>
      <c r="X1091" s="4" t="s">
        <v>47</v>
      </c>
      <c r="Y1091" s="4" t="s">
        <v>4408</v>
      </c>
      <c r="Z1091" s="4" t="s">
        <v>2911</v>
      </c>
      <c r="AA1091" s="6" t="n">
        <v>0</v>
      </c>
      <c r="AB1091" s="6" t="n">
        <v>2108.6</v>
      </c>
      <c r="AC1091" s="6" t="n">
        <v>1111.74</v>
      </c>
      <c r="AD1091" s="14" t="b">
        <f aca="false">TRUE()</f>
        <v>1</v>
      </c>
    </row>
    <row r="1092" customFormat="false" ht="15" hidden="false" customHeight="false" outlineLevel="0" collapsed="false">
      <c r="A1092" s="14" t="b">
        <f aca="false">TRUE()</f>
        <v>1</v>
      </c>
      <c r="B1092" s="14" t="b">
        <f aca="false">FALSE()</f>
        <v>0</v>
      </c>
      <c r="C1092" s="4" t="n">
        <v>2</v>
      </c>
      <c r="D1092" s="4"/>
      <c r="E1092" s="4"/>
      <c r="F1092" s="4"/>
      <c r="G1092" s="4"/>
      <c r="H1092" s="14" t="b">
        <f aca="false">FALSE()</f>
        <v>0</v>
      </c>
      <c r="I1092" s="14" t="b">
        <f aca="false">FALSE()</f>
        <v>0</v>
      </c>
      <c r="J1092" s="4"/>
      <c r="K1092" s="4" t="s">
        <v>4409</v>
      </c>
      <c r="L1092" s="4" t="s">
        <v>4410</v>
      </c>
      <c r="M1092" s="4" t="s">
        <v>4411</v>
      </c>
      <c r="N1092" s="6" t="n">
        <v>9812</v>
      </c>
      <c r="O1092" s="6" t="n">
        <v>49963</v>
      </c>
      <c r="P1092" s="4" t="s">
        <v>46</v>
      </c>
      <c r="Q1092" s="6" t="n">
        <v>165000</v>
      </c>
      <c r="R1092" s="15" t="n">
        <v>44560</v>
      </c>
      <c r="S1092" s="6"/>
      <c r="T1092" s="15"/>
      <c r="U1092" s="6"/>
      <c r="V1092" s="15"/>
      <c r="W1092" s="4" t="s">
        <v>47</v>
      </c>
      <c r="X1092" s="4" t="s">
        <v>47</v>
      </c>
      <c r="Y1092" s="4" t="s">
        <v>4412</v>
      </c>
      <c r="Z1092" s="4" t="s">
        <v>2911</v>
      </c>
      <c r="AA1092" s="6" t="n">
        <v>0</v>
      </c>
      <c r="AB1092" s="6" t="n">
        <v>2915.94</v>
      </c>
      <c r="AC1092" s="6" t="n">
        <v>3122.77</v>
      </c>
      <c r="AD1092" s="14" t="b">
        <f aca="false">FALSE()</f>
        <v>0</v>
      </c>
    </row>
    <row r="1093" customFormat="false" ht="15" hidden="false" customHeight="false" outlineLevel="0" collapsed="false">
      <c r="A1093" s="14" t="b">
        <f aca="false">TRUE()</f>
        <v>1</v>
      </c>
      <c r="B1093" s="14" t="b">
        <f aca="false">FALSE()</f>
        <v>0</v>
      </c>
      <c r="C1093" s="4" t="n">
        <v>3</v>
      </c>
      <c r="D1093" s="4"/>
      <c r="E1093" s="4"/>
      <c r="F1093" s="4"/>
      <c r="G1093" s="4" t="n">
        <v>3</v>
      </c>
      <c r="H1093" s="14" t="b">
        <f aca="false">FALSE()</f>
        <v>0</v>
      </c>
      <c r="I1093" s="14" t="b">
        <f aca="false">FALSE()</f>
        <v>0</v>
      </c>
      <c r="J1093" s="4"/>
      <c r="K1093" s="4" t="s">
        <v>4413</v>
      </c>
      <c r="L1093" s="4" t="s">
        <v>4414</v>
      </c>
      <c r="M1093" s="4" t="s">
        <v>4415</v>
      </c>
      <c r="N1093" s="6" t="n">
        <v>80116</v>
      </c>
      <c r="O1093" s="6" t="n">
        <v>120757</v>
      </c>
      <c r="P1093" s="4" t="s">
        <v>46</v>
      </c>
      <c r="Q1093" s="6" t="n">
        <v>424000</v>
      </c>
      <c r="R1093" s="15" t="n">
        <v>36516</v>
      </c>
      <c r="S1093" s="6" t="n">
        <v>300000</v>
      </c>
      <c r="T1093" s="15" t="n">
        <v>37691</v>
      </c>
      <c r="U1093" s="6"/>
      <c r="V1093" s="15"/>
      <c r="W1093" s="4" t="s">
        <v>47</v>
      </c>
      <c r="X1093" s="4" t="s">
        <v>58</v>
      </c>
      <c r="Y1093" s="4" t="s">
        <v>4416</v>
      </c>
      <c r="Z1093" s="4" t="s">
        <v>2911</v>
      </c>
      <c r="AA1093" s="6" t="n">
        <v>0</v>
      </c>
      <c r="AB1093" s="6" t="n">
        <v>10940.14</v>
      </c>
      <c r="AC1093" s="6" t="n">
        <v>11688.6</v>
      </c>
      <c r="AD1093" s="14" t="b">
        <f aca="false">FALSE()</f>
        <v>0</v>
      </c>
    </row>
    <row r="1094" customFormat="false" ht="15" hidden="false" customHeight="false" outlineLevel="0" collapsed="false">
      <c r="A1094" s="14" t="b">
        <f aca="false">TRUE()</f>
        <v>1</v>
      </c>
      <c r="B1094" s="14" t="b">
        <f aca="false">FALSE()</f>
        <v>0</v>
      </c>
      <c r="C1094" s="4" t="n">
        <v>2</v>
      </c>
      <c r="D1094" s="4"/>
      <c r="E1094" s="4"/>
      <c r="F1094" s="4"/>
      <c r="G1094" s="4"/>
      <c r="H1094" s="14" t="b">
        <f aca="false">FALSE()</f>
        <v>0</v>
      </c>
      <c r="I1094" s="14" t="b">
        <f aca="false">FALSE()</f>
        <v>0</v>
      </c>
      <c r="J1094" s="4"/>
      <c r="K1094" s="4" t="s">
        <v>4417</v>
      </c>
      <c r="L1094" s="4" t="s">
        <v>4418</v>
      </c>
      <c r="M1094" s="4" t="s">
        <v>4419</v>
      </c>
      <c r="N1094" s="6" t="n">
        <v>22681</v>
      </c>
      <c r="O1094" s="6" t="n">
        <v>129339</v>
      </c>
      <c r="P1094" s="4" t="s">
        <v>46</v>
      </c>
      <c r="Q1094" s="6" t="n">
        <v>248000</v>
      </c>
      <c r="R1094" s="15" t="n">
        <v>34943</v>
      </c>
      <c r="S1094" s="6"/>
      <c r="T1094" s="15"/>
      <c r="U1094" s="6"/>
      <c r="V1094" s="15"/>
      <c r="W1094" s="4" t="s">
        <v>47</v>
      </c>
      <c r="X1094" s="4" t="s">
        <v>47</v>
      </c>
      <c r="Y1094" s="4" t="s">
        <v>4420</v>
      </c>
      <c r="Z1094" s="4" t="s">
        <v>2911</v>
      </c>
      <c r="AA1094" s="6" t="n">
        <v>0</v>
      </c>
      <c r="AB1094" s="6" t="n">
        <v>7715.34</v>
      </c>
      <c r="AC1094" s="6" t="n">
        <v>8246.13</v>
      </c>
      <c r="AD1094" s="14" t="b">
        <f aca="false">FALSE()</f>
        <v>0</v>
      </c>
    </row>
    <row r="1095" customFormat="false" ht="15" hidden="false" customHeight="false" outlineLevel="0" collapsed="false">
      <c r="A1095" s="14" t="b">
        <f aca="false">TRUE()</f>
        <v>1</v>
      </c>
      <c r="B1095" s="14" t="b">
        <f aca="false">FALSE()</f>
        <v>0</v>
      </c>
      <c r="C1095" s="4" t="n">
        <v>3</v>
      </c>
      <c r="D1095" s="4"/>
      <c r="E1095" s="4"/>
      <c r="F1095" s="4"/>
      <c r="G1095" s="4" t="n">
        <v>3</v>
      </c>
      <c r="H1095" s="14" t="b">
        <f aca="false">FALSE()</f>
        <v>0</v>
      </c>
      <c r="I1095" s="14" t="b">
        <f aca="false">FALSE()</f>
        <v>0</v>
      </c>
      <c r="J1095" s="4"/>
      <c r="K1095" s="4" t="s">
        <v>4421</v>
      </c>
      <c r="L1095" s="4" t="s">
        <v>4422</v>
      </c>
      <c r="M1095" s="4" t="s">
        <v>4423</v>
      </c>
      <c r="N1095" s="6" t="n">
        <v>51779</v>
      </c>
      <c r="O1095" s="6" t="n">
        <v>69228</v>
      </c>
      <c r="P1095" s="4" t="s">
        <v>46</v>
      </c>
      <c r="Q1095" s="6" t="n">
        <v>338000</v>
      </c>
      <c r="R1095" s="15" t="n">
        <v>43651</v>
      </c>
      <c r="S1095" s="6" t="n">
        <v>321100</v>
      </c>
      <c r="T1095" s="15" t="n">
        <v>43651</v>
      </c>
      <c r="U1095" s="6"/>
      <c r="V1095" s="15"/>
      <c r="W1095" s="4" t="s">
        <v>47</v>
      </c>
      <c r="X1095" s="4" t="s">
        <v>47</v>
      </c>
      <c r="Y1095" s="4" t="s">
        <v>4424</v>
      </c>
      <c r="Z1095" s="4" t="s">
        <v>2911</v>
      </c>
      <c r="AA1095" s="6" t="n">
        <v>0</v>
      </c>
      <c r="AB1095" s="6" t="n">
        <v>6557.24</v>
      </c>
      <c r="AC1095" s="6" t="n">
        <v>7009.86</v>
      </c>
      <c r="AD1095" s="14" t="b">
        <f aca="false">FALSE()</f>
        <v>0</v>
      </c>
    </row>
    <row r="1096" customFormat="false" ht="15" hidden="false" customHeight="false" outlineLevel="0" collapsed="false">
      <c r="A1096" s="14" t="b">
        <f aca="false">TRUE()</f>
        <v>1</v>
      </c>
      <c r="B1096" s="14" t="b">
        <f aca="false">FALSE()</f>
        <v>0</v>
      </c>
      <c r="C1096" s="4" t="n">
        <v>3</v>
      </c>
      <c r="D1096" s="4"/>
      <c r="E1096" s="4"/>
      <c r="F1096" s="4"/>
      <c r="G1096" s="4"/>
      <c r="H1096" s="14" t="b">
        <f aca="false">FALSE()</f>
        <v>0</v>
      </c>
      <c r="I1096" s="14" t="b">
        <f aca="false">FALSE()</f>
        <v>0</v>
      </c>
      <c r="J1096" s="4"/>
      <c r="K1096" s="4" t="s">
        <v>4425</v>
      </c>
      <c r="L1096" s="4" t="s">
        <v>4426</v>
      </c>
      <c r="M1096" s="4" t="s">
        <v>4427</v>
      </c>
      <c r="N1096" s="6" t="n">
        <v>62897</v>
      </c>
      <c r="O1096" s="6" t="n">
        <v>114513</v>
      </c>
      <c r="P1096" s="4" t="s">
        <v>46</v>
      </c>
      <c r="Q1096" s="6" t="n">
        <v>245000</v>
      </c>
      <c r="R1096" s="15" t="n">
        <v>44263</v>
      </c>
      <c r="S1096" s="6"/>
      <c r="T1096" s="15"/>
      <c r="U1096" s="6"/>
      <c r="V1096" s="15"/>
      <c r="W1096" s="4" t="s">
        <v>47</v>
      </c>
      <c r="X1096" s="4" t="s">
        <v>47</v>
      </c>
      <c r="Y1096" s="4" t="s">
        <v>4428</v>
      </c>
      <c r="Z1096" s="4" t="s">
        <v>4233</v>
      </c>
      <c r="AA1096" s="6" t="n">
        <v>0</v>
      </c>
      <c r="AB1096" s="6" t="n">
        <v>10875.72</v>
      </c>
      <c r="AC1096" s="6" t="n">
        <v>11619.83</v>
      </c>
      <c r="AD1096" s="14" t="b">
        <f aca="false">FALSE()</f>
        <v>0</v>
      </c>
    </row>
    <row r="1097" customFormat="false" ht="15" hidden="false" customHeight="false" outlineLevel="0" collapsed="false">
      <c r="A1097" s="14" t="b">
        <f aca="false">TRUE()</f>
        <v>1</v>
      </c>
      <c r="B1097" s="14" t="b">
        <f aca="false">FALSE()</f>
        <v>0</v>
      </c>
      <c r="C1097" s="4" t="n">
        <v>2</v>
      </c>
      <c r="D1097" s="4"/>
      <c r="E1097" s="4"/>
      <c r="F1097" s="4"/>
      <c r="G1097" s="4" t="n">
        <v>3</v>
      </c>
      <c r="H1097" s="14" t="b">
        <f aca="false">FALSE()</f>
        <v>0</v>
      </c>
      <c r="I1097" s="14" t="b">
        <f aca="false">FALSE()</f>
        <v>0</v>
      </c>
      <c r="J1097" s="4"/>
      <c r="K1097" s="4" t="s">
        <v>4429</v>
      </c>
      <c r="L1097" s="4" t="s">
        <v>4430</v>
      </c>
      <c r="M1097" s="4" t="s">
        <v>4431</v>
      </c>
      <c r="N1097" s="6" t="n">
        <v>20646</v>
      </c>
      <c r="O1097" s="6" t="n">
        <v>83913</v>
      </c>
      <c r="P1097" s="4" t="s">
        <v>46</v>
      </c>
      <c r="Q1097" s="6" t="n">
        <v>230000</v>
      </c>
      <c r="R1097" s="15" t="n">
        <v>42929</v>
      </c>
      <c r="S1097" s="6"/>
      <c r="T1097" s="15"/>
      <c r="U1097" s="6"/>
      <c r="V1097" s="15"/>
      <c r="W1097" s="4" t="s">
        <v>47</v>
      </c>
      <c r="X1097" s="4" t="s">
        <v>47</v>
      </c>
      <c r="Y1097" s="4" t="s">
        <v>4432</v>
      </c>
      <c r="Z1097" s="4" t="s">
        <v>4233</v>
      </c>
      <c r="AA1097" s="6" t="n">
        <v>0</v>
      </c>
      <c r="AB1097" s="6" t="n">
        <v>6237.72</v>
      </c>
      <c r="AC1097" s="6" t="n">
        <v>6668.77</v>
      </c>
      <c r="AD1097" s="14" t="b">
        <f aca="false">FALSE()</f>
        <v>0</v>
      </c>
    </row>
    <row r="1098" customFormat="false" ht="15" hidden="false" customHeight="false" outlineLevel="0" collapsed="false">
      <c r="A1098" s="14" t="b">
        <f aca="false">TRUE()</f>
        <v>1</v>
      </c>
      <c r="B1098" s="14" t="b">
        <f aca="false">FALSE()</f>
        <v>0</v>
      </c>
      <c r="C1098" s="4" t="n">
        <v>2</v>
      </c>
      <c r="D1098" s="4"/>
      <c r="E1098" s="4"/>
      <c r="F1098" s="4"/>
      <c r="G1098" s="4"/>
      <c r="H1098" s="14" t="b">
        <f aca="false">FALSE()</f>
        <v>0</v>
      </c>
      <c r="I1098" s="14" t="b">
        <f aca="false">FALSE()</f>
        <v>0</v>
      </c>
      <c r="J1098" s="4"/>
      <c r="K1098" s="4" t="s">
        <v>4433</v>
      </c>
      <c r="L1098" s="4" t="s">
        <v>4434</v>
      </c>
      <c r="M1098" s="4" t="s">
        <v>4435</v>
      </c>
      <c r="N1098" s="6" t="n">
        <v>59394</v>
      </c>
      <c r="O1098" s="6" t="n">
        <v>79551</v>
      </c>
      <c r="P1098" s="4" t="s">
        <v>46</v>
      </c>
      <c r="Q1098" s="6"/>
      <c r="R1098" s="15"/>
      <c r="S1098" s="6"/>
      <c r="T1098" s="15"/>
      <c r="U1098" s="6"/>
      <c r="V1098" s="15"/>
      <c r="W1098" s="4" t="s">
        <v>47</v>
      </c>
      <c r="X1098" s="4" t="s">
        <v>47</v>
      </c>
      <c r="Y1098" s="4" t="s">
        <v>4436</v>
      </c>
      <c r="Z1098" s="4" t="s">
        <v>4233</v>
      </c>
      <c r="AA1098" s="6" t="n">
        <v>0</v>
      </c>
      <c r="AB1098" s="6" t="n">
        <v>6625.36</v>
      </c>
      <c r="AC1098" s="6" t="n">
        <v>3471.75</v>
      </c>
      <c r="AD1098" s="14" t="b">
        <f aca="false">TRUE()</f>
        <v>1</v>
      </c>
    </row>
    <row r="1099" customFormat="false" ht="15" hidden="false" customHeight="false" outlineLevel="0" collapsed="false">
      <c r="A1099" s="14" t="b">
        <f aca="false">TRUE()</f>
        <v>1</v>
      </c>
      <c r="B1099" s="14" t="b">
        <f aca="false">FALSE()</f>
        <v>0</v>
      </c>
      <c r="C1099" s="4" t="n">
        <v>2</v>
      </c>
      <c r="D1099" s="4"/>
      <c r="E1099" s="4"/>
      <c r="F1099" s="4"/>
      <c r="G1099" s="4"/>
      <c r="H1099" s="14" t="b">
        <f aca="false">FALSE()</f>
        <v>0</v>
      </c>
      <c r="I1099" s="14" t="b">
        <f aca="false">FALSE()</f>
        <v>0</v>
      </c>
      <c r="J1099" s="4"/>
      <c r="K1099" s="4" t="s">
        <v>4437</v>
      </c>
      <c r="L1099" s="4" t="s">
        <v>4438</v>
      </c>
      <c r="M1099" s="4" t="s">
        <v>4439</v>
      </c>
      <c r="N1099" s="6" t="n">
        <v>23355</v>
      </c>
      <c r="O1099" s="6" t="n">
        <v>54673</v>
      </c>
      <c r="P1099" s="4" t="s">
        <v>46</v>
      </c>
      <c r="Q1099" s="6" t="n">
        <v>175000</v>
      </c>
      <c r="R1099" s="15" t="n">
        <v>44182</v>
      </c>
      <c r="S1099" s="6"/>
      <c r="T1099" s="15"/>
      <c r="U1099" s="6"/>
      <c r="V1099" s="15"/>
      <c r="W1099" s="4" t="s">
        <v>47</v>
      </c>
      <c r="X1099" s="4" t="s">
        <v>47</v>
      </c>
      <c r="Y1099" s="4" t="s">
        <v>4440</v>
      </c>
      <c r="Z1099" s="4" t="s">
        <v>4233</v>
      </c>
      <c r="AA1099" s="6" t="n">
        <v>0</v>
      </c>
      <c r="AB1099" s="6" t="n">
        <v>4523.82</v>
      </c>
      <c r="AC1099" s="6" t="n">
        <v>4839.18</v>
      </c>
      <c r="AD1099" s="14" t="b">
        <f aca="false">FALSE()</f>
        <v>0</v>
      </c>
    </row>
    <row r="1100" customFormat="false" ht="15" hidden="false" customHeight="false" outlineLevel="0" collapsed="false">
      <c r="A1100" s="14" t="b">
        <f aca="false">TRUE()</f>
        <v>1</v>
      </c>
      <c r="B1100" s="14" t="b">
        <f aca="false">FALSE()</f>
        <v>0</v>
      </c>
      <c r="C1100" s="4" t="n">
        <v>3</v>
      </c>
      <c r="D1100" s="4"/>
      <c r="E1100" s="4"/>
      <c r="F1100" s="4"/>
      <c r="G1100" s="4"/>
      <c r="H1100" s="14" t="b">
        <f aca="false">FALSE()</f>
        <v>0</v>
      </c>
      <c r="I1100" s="14" t="b">
        <f aca="false">FALSE()</f>
        <v>0</v>
      </c>
      <c r="J1100" s="4"/>
      <c r="K1100" s="4" t="s">
        <v>4441</v>
      </c>
      <c r="L1100" s="4" t="s">
        <v>4442</v>
      </c>
      <c r="M1100" s="4" t="s">
        <v>4443</v>
      </c>
      <c r="N1100" s="6" t="n">
        <v>20962</v>
      </c>
      <c r="O1100" s="6" t="n">
        <v>41445</v>
      </c>
      <c r="P1100" s="4" t="s">
        <v>46</v>
      </c>
      <c r="Q1100" s="6" t="n">
        <v>187500</v>
      </c>
      <c r="R1100" s="15" t="n">
        <v>44467</v>
      </c>
      <c r="S1100" s="6" t="n">
        <v>140625</v>
      </c>
      <c r="T1100" s="15" t="n">
        <v>44467</v>
      </c>
      <c r="U1100" s="6"/>
      <c r="V1100" s="15"/>
      <c r="W1100" s="4" t="s">
        <v>47</v>
      </c>
      <c r="X1100" s="4" t="s">
        <v>47</v>
      </c>
      <c r="Y1100" s="4" t="s">
        <v>4444</v>
      </c>
      <c r="Z1100" s="4" t="s">
        <v>4233</v>
      </c>
      <c r="AA1100" s="6" t="n">
        <v>0</v>
      </c>
      <c r="AB1100" s="6" t="n">
        <v>3514.7</v>
      </c>
      <c r="AC1100" s="6" t="n">
        <v>3761.94</v>
      </c>
      <c r="AD1100" s="14" t="b">
        <f aca="false">FALSE()</f>
        <v>0</v>
      </c>
    </row>
    <row r="1101" customFormat="false" ht="15" hidden="false" customHeight="false" outlineLevel="0" collapsed="false">
      <c r="A1101" s="14" t="b">
        <f aca="false">TRUE()</f>
        <v>1</v>
      </c>
      <c r="B1101" s="14" t="b">
        <f aca="false">FALSE()</f>
        <v>0</v>
      </c>
      <c r="C1101" s="4" t="n">
        <v>3</v>
      </c>
      <c r="D1101" s="4"/>
      <c r="E1101" s="4"/>
      <c r="F1101" s="4"/>
      <c r="G1101" s="4"/>
      <c r="H1101" s="14" t="b">
        <f aca="false">TRUE()</f>
        <v>1</v>
      </c>
      <c r="I1101" s="14" t="b">
        <f aca="false">FALSE()</f>
        <v>0</v>
      </c>
      <c r="J1101" s="4"/>
      <c r="K1101" s="4" t="s">
        <v>4445</v>
      </c>
      <c r="L1101" s="4" t="s">
        <v>4446</v>
      </c>
      <c r="M1101" s="4" t="s">
        <v>4447</v>
      </c>
      <c r="N1101" s="6" t="n">
        <v>56533</v>
      </c>
      <c r="O1101" s="6" t="n">
        <v>106822</v>
      </c>
      <c r="P1101" s="4" t="s">
        <v>46</v>
      </c>
      <c r="Q1101" s="6"/>
      <c r="R1101" s="15"/>
      <c r="S1101" s="6" t="n">
        <v>15000</v>
      </c>
      <c r="T1101" s="15" t="n">
        <v>40009</v>
      </c>
      <c r="U1101" s="6"/>
      <c r="V1101" s="15"/>
      <c r="W1101" s="4" t="s">
        <v>47</v>
      </c>
      <c r="X1101" s="4" t="s">
        <v>47</v>
      </c>
      <c r="Y1101" s="4" t="s">
        <v>4448</v>
      </c>
      <c r="Z1101" s="4" t="s">
        <v>4120</v>
      </c>
      <c r="AA1101" s="6" t="n">
        <v>0</v>
      </c>
      <c r="AB1101" s="6" t="n">
        <v>8722.56</v>
      </c>
      <c r="AC1101" s="6" t="n">
        <v>9321.34</v>
      </c>
      <c r="AD1101" s="14" t="b">
        <f aca="false">FALSE()</f>
        <v>0</v>
      </c>
    </row>
    <row r="1102" customFormat="false" ht="15" hidden="false" customHeight="false" outlineLevel="0" collapsed="false">
      <c r="A1102" s="14" t="b">
        <f aca="false">TRUE()</f>
        <v>1</v>
      </c>
      <c r="B1102" s="14" t="b">
        <f aca="false">FALSE()</f>
        <v>0</v>
      </c>
      <c r="C1102" s="4" t="n">
        <v>2</v>
      </c>
      <c r="D1102" s="4"/>
      <c r="E1102" s="4"/>
      <c r="F1102" s="4"/>
      <c r="G1102" s="4"/>
      <c r="H1102" s="14" t="b">
        <f aca="false">FALSE()</f>
        <v>0</v>
      </c>
      <c r="I1102" s="14" t="b">
        <f aca="false">FALSE()</f>
        <v>0</v>
      </c>
      <c r="J1102" s="4"/>
      <c r="K1102" s="4" t="s">
        <v>4449</v>
      </c>
      <c r="L1102" s="4" t="s">
        <v>4450</v>
      </c>
      <c r="M1102" s="4" t="s">
        <v>4451</v>
      </c>
      <c r="N1102" s="6" t="n">
        <v>79616</v>
      </c>
      <c r="O1102" s="6" t="n">
        <v>105702</v>
      </c>
      <c r="P1102" s="4" t="s">
        <v>46</v>
      </c>
      <c r="Q1102" s="6" t="n">
        <v>316000</v>
      </c>
      <c r="R1102" s="15" t="n">
        <v>34331</v>
      </c>
      <c r="S1102" s="6"/>
      <c r="T1102" s="15"/>
      <c r="U1102" s="6"/>
      <c r="V1102" s="15"/>
      <c r="W1102" s="4" t="s">
        <v>58</v>
      </c>
      <c r="X1102" s="4" t="s">
        <v>47</v>
      </c>
      <c r="Y1102" s="4" t="s">
        <v>4452</v>
      </c>
      <c r="Z1102" s="4" t="s">
        <v>4120</v>
      </c>
      <c r="AA1102" s="6" t="n">
        <v>0</v>
      </c>
      <c r="AB1102" s="6" t="n">
        <v>10595.82</v>
      </c>
      <c r="AC1102" s="6" t="n">
        <v>5546.32</v>
      </c>
      <c r="AD1102" s="14" t="b">
        <f aca="false">TRUE()</f>
        <v>1</v>
      </c>
    </row>
    <row r="1103" customFormat="false" ht="15" hidden="false" customHeight="false" outlineLevel="0" collapsed="false">
      <c r="A1103" s="14" t="b">
        <f aca="false">TRUE()</f>
        <v>1</v>
      </c>
      <c r="B1103" s="14" t="b">
        <f aca="false">FALSE()</f>
        <v>0</v>
      </c>
      <c r="C1103" s="4" t="n">
        <v>2</v>
      </c>
      <c r="D1103" s="4"/>
      <c r="E1103" s="4"/>
      <c r="F1103" s="4"/>
      <c r="G1103" s="4"/>
      <c r="H1103" s="14" t="b">
        <f aca="false">FALSE()</f>
        <v>0</v>
      </c>
      <c r="I1103" s="14" t="b">
        <f aca="false">FALSE()</f>
        <v>0</v>
      </c>
      <c r="J1103" s="4"/>
      <c r="K1103" s="4" t="s">
        <v>4453</v>
      </c>
      <c r="L1103" s="4" t="s">
        <v>4454</v>
      </c>
      <c r="M1103" s="4" t="s">
        <v>4455</v>
      </c>
      <c r="N1103" s="6" t="n">
        <v>10824</v>
      </c>
      <c r="O1103" s="6" t="n">
        <v>32786</v>
      </c>
      <c r="P1103" s="4" t="s">
        <v>46</v>
      </c>
      <c r="Q1103" s="6" t="n">
        <v>177000</v>
      </c>
      <c r="R1103" s="15" t="n">
        <v>45819</v>
      </c>
      <c r="S1103" s="6"/>
      <c r="T1103" s="15"/>
      <c r="U1103" s="6"/>
      <c r="V1103" s="15"/>
      <c r="W1103" s="4" t="s">
        <v>47</v>
      </c>
      <c r="X1103" s="4" t="s">
        <v>47</v>
      </c>
      <c r="Y1103" s="4" t="s">
        <v>4456</v>
      </c>
      <c r="Z1103" s="4" t="s">
        <v>4120</v>
      </c>
      <c r="AA1103" s="6" t="n">
        <v>0</v>
      </c>
      <c r="AB1103" s="6" t="n">
        <v>1719.92</v>
      </c>
      <c r="AC1103" s="6" t="n">
        <v>908.66</v>
      </c>
      <c r="AD1103" s="14" t="b">
        <f aca="false">TRUE()</f>
        <v>1</v>
      </c>
    </row>
    <row r="1104" customFormat="false" ht="15" hidden="false" customHeight="false" outlineLevel="0" collapsed="false">
      <c r="A1104" s="14" t="b">
        <f aca="false">TRUE()</f>
        <v>1</v>
      </c>
      <c r="B1104" s="14" t="b">
        <f aca="false">FALSE()</f>
        <v>0</v>
      </c>
      <c r="C1104" s="4" t="n">
        <v>2</v>
      </c>
      <c r="D1104" s="4"/>
      <c r="E1104" s="4"/>
      <c r="F1104" s="4"/>
      <c r="G1104" s="4"/>
      <c r="H1104" s="14" t="b">
        <f aca="false">FALSE()</f>
        <v>0</v>
      </c>
      <c r="I1104" s="14" t="b">
        <f aca="false">FALSE()</f>
        <v>0</v>
      </c>
      <c r="J1104" s="4"/>
      <c r="K1104" s="4" t="s">
        <v>4457</v>
      </c>
      <c r="L1104" s="4" t="s">
        <v>4458</v>
      </c>
      <c r="M1104" s="4" t="s">
        <v>4459</v>
      </c>
      <c r="N1104" s="6" t="n">
        <v>10824</v>
      </c>
      <c r="O1104" s="6" t="n">
        <v>32786</v>
      </c>
      <c r="P1104" s="4" t="s">
        <v>46</v>
      </c>
      <c r="Q1104" s="6" t="n">
        <v>51500</v>
      </c>
      <c r="R1104" s="15" t="n">
        <v>40953</v>
      </c>
      <c r="S1104" s="6"/>
      <c r="T1104" s="15"/>
      <c r="U1104" s="6"/>
      <c r="V1104" s="15"/>
      <c r="W1104" s="4" t="s">
        <v>58</v>
      </c>
      <c r="X1104" s="4" t="s">
        <v>47</v>
      </c>
      <c r="Y1104" s="4" t="s">
        <v>4460</v>
      </c>
      <c r="Z1104" s="4" t="s">
        <v>4120</v>
      </c>
      <c r="AA1104" s="6" t="n">
        <v>0</v>
      </c>
      <c r="AB1104" s="6" t="n">
        <v>2106.34</v>
      </c>
      <c r="AC1104" s="6" t="n">
        <v>1110.56</v>
      </c>
      <c r="AD1104" s="14" t="b">
        <f aca="false">TRUE()</f>
        <v>1</v>
      </c>
    </row>
    <row r="1105" customFormat="false" ht="15" hidden="false" customHeight="false" outlineLevel="0" collapsed="false">
      <c r="A1105" s="14" t="b">
        <f aca="false">TRUE()</f>
        <v>1</v>
      </c>
      <c r="B1105" s="14" t="b">
        <f aca="false">FALSE()</f>
        <v>0</v>
      </c>
      <c r="C1105" s="4" t="n">
        <v>2</v>
      </c>
      <c r="D1105" s="4"/>
      <c r="E1105" s="4"/>
      <c r="F1105" s="4"/>
      <c r="G1105" s="4"/>
      <c r="H1105" s="14" t="b">
        <f aca="false">FALSE()</f>
        <v>0</v>
      </c>
      <c r="I1105" s="14" t="b">
        <f aca="false">FALSE()</f>
        <v>0</v>
      </c>
      <c r="J1105" s="4"/>
      <c r="K1105" s="4" t="s">
        <v>4461</v>
      </c>
      <c r="L1105" s="4" t="s">
        <v>4462</v>
      </c>
      <c r="M1105" s="4" t="s">
        <v>4463</v>
      </c>
      <c r="N1105" s="6" t="n">
        <v>7473</v>
      </c>
      <c r="O1105" s="6" t="n">
        <v>24323</v>
      </c>
      <c r="P1105" s="4" t="s">
        <v>46</v>
      </c>
      <c r="Q1105" s="6"/>
      <c r="R1105" s="15"/>
      <c r="S1105" s="6"/>
      <c r="T1105" s="15"/>
      <c r="U1105" s="6"/>
      <c r="V1105" s="15"/>
      <c r="W1105" s="4" t="s">
        <v>58</v>
      </c>
      <c r="X1105" s="4" t="s">
        <v>58</v>
      </c>
      <c r="Y1105" s="4" t="s">
        <v>4464</v>
      </c>
      <c r="Z1105" s="4" t="s">
        <v>4120</v>
      </c>
      <c r="AA1105" s="6" t="n">
        <v>0</v>
      </c>
      <c r="AB1105" s="6" t="n">
        <v>1149.32</v>
      </c>
      <c r="AC1105" s="6" t="n">
        <v>610.52</v>
      </c>
      <c r="AD1105" s="14" t="b">
        <f aca="false">TRUE()</f>
        <v>1</v>
      </c>
    </row>
    <row r="1106" customFormat="false" ht="15" hidden="false" customHeight="false" outlineLevel="0" collapsed="false">
      <c r="A1106" s="14" t="b">
        <f aca="false">TRUE()</f>
        <v>1</v>
      </c>
      <c r="B1106" s="14" t="b">
        <f aca="false">FALSE()</f>
        <v>0</v>
      </c>
      <c r="C1106" s="4" t="n">
        <v>2</v>
      </c>
      <c r="D1106" s="4"/>
      <c r="E1106" s="4"/>
      <c r="F1106" s="4"/>
      <c r="G1106" s="4"/>
      <c r="H1106" s="14" t="b">
        <f aca="false">FALSE()</f>
        <v>0</v>
      </c>
      <c r="I1106" s="14" t="b">
        <f aca="false">FALSE()</f>
        <v>0</v>
      </c>
      <c r="J1106" s="4"/>
      <c r="K1106" s="4" t="s">
        <v>4465</v>
      </c>
      <c r="L1106" s="4" t="s">
        <v>4466</v>
      </c>
      <c r="M1106" s="4" t="s">
        <v>4467</v>
      </c>
      <c r="N1106" s="6" t="n">
        <v>10704</v>
      </c>
      <c r="O1106" s="6" t="n">
        <v>32786</v>
      </c>
      <c r="P1106" s="4" t="s">
        <v>46</v>
      </c>
      <c r="Q1106" s="6" t="n">
        <v>57500</v>
      </c>
      <c r="R1106" s="15" t="n">
        <v>35072</v>
      </c>
      <c r="S1106" s="6"/>
      <c r="T1106" s="15"/>
      <c r="U1106" s="6"/>
      <c r="V1106" s="15"/>
      <c r="W1106" s="4" t="s">
        <v>58</v>
      </c>
      <c r="X1106" s="4" t="s">
        <v>47</v>
      </c>
      <c r="Y1106" s="4" t="s">
        <v>4468</v>
      </c>
      <c r="Z1106" s="4" t="s">
        <v>4120</v>
      </c>
      <c r="AA1106" s="6" t="n">
        <v>0</v>
      </c>
      <c r="AB1106" s="6" t="n">
        <v>1714.14</v>
      </c>
      <c r="AC1106" s="6" t="n">
        <v>905.64</v>
      </c>
      <c r="AD1106" s="14" t="b">
        <f aca="false">TRUE()</f>
        <v>1</v>
      </c>
    </row>
    <row r="1107" customFormat="false" ht="15" hidden="false" customHeight="false" outlineLevel="0" collapsed="false">
      <c r="A1107" s="14" t="b">
        <f aca="false">TRUE()</f>
        <v>1</v>
      </c>
      <c r="B1107" s="14" t="b">
        <f aca="false">FALSE()</f>
        <v>0</v>
      </c>
      <c r="C1107" s="4" t="n">
        <v>2</v>
      </c>
      <c r="D1107" s="4"/>
      <c r="E1107" s="4"/>
      <c r="F1107" s="4"/>
      <c r="G1107" s="4"/>
      <c r="H1107" s="14" t="b">
        <f aca="false">FALSE()</f>
        <v>0</v>
      </c>
      <c r="I1107" s="14" t="b">
        <f aca="false">FALSE()</f>
        <v>0</v>
      </c>
      <c r="J1107" s="4"/>
      <c r="K1107" s="4" t="s">
        <v>4469</v>
      </c>
      <c r="L1107" s="4" t="s">
        <v>4470</v>
      </c>
      <c r="M1107" s="4" t="s">
        <v>4471</v>
      </c>
      <c r="N1107" s="6" t="n">
        <v>50604</v>
      </c>
      <c r="O1107" s="6" t="n">
        <v>107366</v>
      </c>
      <c r="P1107" s="4" t="s">
        <v>46</v>
      </c>
      <c r="Q1107" s="6"/>
      <c r="R1107" s="15"/>
      <c r="S1107" s="6"/>
      <c r="T1107" s="15"/>
      <c r="U1107" s="6"/>
      <c r="V1107" s="15"/>
      <c r="W1107" s="4" t="s">
        <v>58</v>
      </c>
      <c r="X1107" s="4" t="s">
        <v>58</v>
      </c>
      <c r="Y1107" s="4" t="s">
        <v>4472</v>
      </c>
      <c r="Z1107" s="4" t="s">
        <v>3853</v>
      </c>
      <c r="AA1107" s="6" t="n">
        <v>0</v>
      </c>
      <c r="AB1107" s="6" t="n">
        <v>8961.62</v>
      </c>
      <c r="AC1107" s="6" t="n">
        <v>4692.45</v>
      </c>
      <c r="AD1107" s="14" t="b">
        <f aca="false">TRUE()</f>
        <v>1</v>
      </c>
    </row>
    <row r="1108" customFormat="false" ht="15" hidden="false" customHeight="false" outlineLevel="0" collapsed="false">
      <c r="A1108" s="14" t="b">
        <f aca="false">TRUE()</f>
        <v>1</v>
      </c>
      <c r="B1108" s="14" t="b">
        <f aca="false">FALSE()</f>
        <v>0</v>
      </c>
      <c r="C1108" s="4" t="n">
        <v>2</v>
      </c>
      <c r="D1108" s="4"/>
      <c r="E1108" s="4"/>
      <c r="F1108" s="4"/>
      <c r="G1108" s="4"/>
      <c r="H1108" s="14" t="b">
        <f aca="false">FALSE()</f>
        <v>0</v>
      </c>
      <c r="I1108" s="14" t="b">
        <f aca="false">FALSE()</f>
        <v>0</v>
      </c>
      <c r="J1108" s="4"/>
      <c r="K1108" s="4" t="s">
        <v>4473</v>
      </c>
      <c r="L1108" s="4" t="s">
        <v>4474</v>
      </c>
      <c r="M1108" s="4" t="s">
        <v>4475</v>
      </c>
      <c r="N1108" s="6" t="n">
        <v>66660</v>
      </c>
      <c r="O1108" s="6" t="n">
        <v>87187</v>
      </c>
      <c r="P1108" s="4" t="s">
        <v>46</v>
      </c>
      <c r="Q1108" s="6" t="n">
        <v>490000</v>
      </c>
      <c r="R1108" s="15" t="n">
        <v>45100</v>
      </c>
      <c r="S1108" s="6"/>
      <c r="T1108" s="15"/>
      <c r="U1108" s="6"/>
      <c r="V1108" s="15"/>
      <c r="W1108" s="4" t="s">
        <v>47</v>
      </c>
      <c r="X1108" s="4" t="s">
        <v>47</v>
      </c>
      <c r="Y1108" s="4" t="s">
        <v>4476</v>
      </c>
      <c r="Z1108" s="4" t="s">
        <v>4270</v>
      </c>
      <c r="AA1108" s="6" t="n">
        <v>0</v>
      </c>
      <c r="AB1108" s="6" t="n">
        <v>8715.24</v>
      </c>
      <c r="AC1108" s="6" t="n">
        <v>4563.71</v>
      </c>
      <c r="AD1108" s="14" t="b">
        <f aca="false">TRUE()</f>
        <v>1</v>
      </c>
    </row>
    <row r="1109" customFormat="false" ht="15" hidden="false" customHeight="false" outlineLevel="0" collapsed="false">
      <c r="A1109" s="14" t="b">
        <f aca="false">TRUE()</f>
        <v>1</v>
      </c>
      <c r="B1109" s="14" t="b">
        <f aca="false">FALSE()</f>
        <v>0</v>
      </c>
      <c r="C1109" s="4" t="n">
        <v>2</v>
      </c>
      <c r="D1109" s="4"/>
      <c r="E1109" s="4"/>
      <c r="F1109" s="4"/>
      <c r="G1109" s="4"/>
      <c r="H1109" s="14" t="b">
        <f aca="false">FALSE()</f>
        <v>0</v>
      </c>
      <c r="I1109" s="14" t="b">
        <f aca="false">FALSE()</f>
        <v>0</v>
      </c>
      <c r="J1109" s="4"/>
      <c r="K1109" s="4" t="s">
        <v>4477</v>
      </c>
      <c r="L1109" s="4" t="s">
        <v>4478</v>
      </c>
      <c r="M1109" s="4" t="s">
        <v>4479</v>
      </c>
      <c r="N1109" s="6" t="n">
        <v>34875</v>
      </c>
      <c r="O1109" s="6" t="n">
        <v>93627</v>
      </c>
      <c r="P1109" s="4" t="s">
        <v>46</v>
      </c>
      <c r="Q1109" s="6" t="n">
        <v>430000</v>
      </c>
      <c r="R1109" s="15" t="n">
        <v>44789</v>
      </c>
      <c r="S1109" s="6"/>
      <c r="T1109" s="15"/>
      <c r="U1109" s="6"/>
      <c r="V1109" s="15"/>
      <c r="W1109" s="4" t="s">
        <v>47</v>
      </c>
      <c r="X1109" s="4" t="s">
        <v>47</v>
      </c>
      <c r="Y1109" s="4" t="s">
        <v>4480</v>
      </c>
      <c r="Z1109" s="4" t="s">
        <v>3853</v>
      </c>
      <c r="AA1109" s="6" t="n">
        <v>0</v>
      </c>
      <c r="AB1109" s="6" t="n">
        <v>7200.72</v>
      </c>
      <c r="AC1109" s="6" t="n">
        <v>3772.38</v>
      </c>
      <c r="AD1109" s="14" t="b">
        <f aca="false">TRUE()</f>
        <v>1</v>
      </c>
    </row>
    <row r="1110" customFormat="false" ht="15" hidden="false" customHeight="false" outlineLevel="0" collapsed="false">
      <c r="A1110" s="14" t="b">
        <f aca="false">TRUE()</f>
        <v>1</v>
      </c>
      <c r="B1110" s="14" t="b">
        <f aca="false">FALSE()</f>
        <v>0</v>
      </c>
      <c r="C1110" s="4" t="n">
        <v>2</v>
      </c>
      <c r="D1110" s="4"/>
      <c r="E1110" s="4"/>
      <c r="F1110" s="4"/>
      <c r="G1110" s="4"/>
      <c r="H1110" s="14" t="b">
        <f aca="false">FALSE()</f>
        <v>0</v>
      </c>
      <c r="I1110" s="14" t="b">
        <f aca="false">FALSE()</f>
        <v>0</v>
      </c>
      <c r="J1110" s="4"/>
      <c r="K1110" s="4" t="s">
        <v>4481</v>
      </c>
      <c r="L1110" s="4" t="s">
        <v>4482</v>
      </c>
      <c r="M1110" s="4" t="s">
        <v>4483</v>
      </c>
      <c r="N1110" s="6" t="n">
        <v>53803</v>
      </c>
      <c r="O1110" s="6" t="n">
        <v>77484</v>
      </c>
      <c r="P1110" s="4" t="s">
        <v>46</v>
      </c>
      <c r="Q1110" s="6"/>
      <c r="R1110" s="15" t="n">
        <v>38621</v>
      </c>
      <c r="S1110" s="6"/>
      <c r="T1110" s="15"/>
      <c r="U1110" s="6"/>
      <c r="V1110" s="15"/>
      <c r="W1110" s="4" t="s">
        <v>47</v>
      </c>
      <c r="X1110" s="4" t="s">
        <v>47</v>
      </c>
      <c r="Y1110" s="4" t="s">
        <v>4484</v>
      </c>
      <c r="Z1110" s="4" t="s">
        <v>4120</v>
      </c>
      <c r="AA1110" s="6" t="n">
        <v>0</v>
      </c>
      <c r="AB1110" s="6" t="n">
        <v>5568.28</v>
      </c>
      <c r="AC1110" s="6" t="n">
        <v>2919.43</v>
      </c>
      <c r="AD1110" s="14" t="b">
        <f aca="false">TRUE()</f>
        <v>1</v>
      </c>
    </row>
    <row r="1111" customFormat="false" ht="15" hidden="false" customHeight="false" outlineLevel="0" collapsed="false">
      <c r="A1111" s="14" t="b">
        <f aca="false">TRUE()</f>
        <v>1</v>
      </c>
      <c r="B1111" s="14" t="b">
        <f aca="false">FALSE()</f>
        <v>0</v>
      </c>
      <c r="C1111" s="4" t="n">
        <v>2</v>
      </c>
      <c r="D1111" s="4"/>
      <c r="E1111" s="4"/>
      <c r="F1111" s="4"/>
      <c r="G1111" s="4"/>
      <c r="H1111" s="14" t="b">
        <f aca="false">FALSE()</f>
        <v>0</v>
      </c>
      <c r="I1111" s="14" t="b">
        <f aca="false">FALSE()</f>
        <v>0</v>
      </c>
      <c r="J1111" s="4"/>
      <c r="K1111" s="4" t="s">
        <v>4485</v>
      </c>
      <c r="L1111" s="4" t="s">
        <v>4486</v>
      </c>
      <c r="M1111" s="4" t="s">
        <v>4487</v>
      </c>
      <c r="N1111" s="6" t="n">
        <v>41597</v>
      </c>
      <c r="O1111" s="6" t="n">
        <v>84381</v>
      </c>
      <c r="P1111" s="4" t="s">
        <v>46</v>
      </c>
      <c r="Q1111" s="6"/>
      <c r="R1111" s="15"/>
      <c r="S1111" s="6" t="n">
        <v>300000</v>
      </c>
      <c r="T1111" s="15" t="n">
        <v>45670</v>
      </c>
      <c r="U1111" s="6"/>
      <c r="V1111" s="15"/>
      <c r="W1111" s="4" t="s">
        <v>47</v>
      </c>
      <c r="X1111" s="4" t="s">
        <v>47</v>
      </c>
      <c r="Y1111" s="4" t="s">
        <v>4488</v>
      </c>
      <c r="Z1111" s="4" t="s">
        <v>4120</v>
      </c>
      <c r="AA1111" s="6" t="n">
        <v>0</v>
      </c>
      <c r="AB1111" s="6" t="n">
        <v>5698.22</v>
      </c>
      <c r="AC1111" s="6" t="n">
        <v>2987.32</v>
      </c>
      <c r="AD1111" s="14" t="b">
        <f aca="false">TRUE()</f>
        <v>1</v>
      </c>
    </row>
    <row r="1112" customFormat="false" ht="15" hidden="false" customHeight="false" outlineLevel="0" collapsed="false">
      <c r="A1112" s="14" t="b">
        <f aca="false">TRUE()</f>
        <v>1</v>
      </c>
      <c r="B1112" s="14" t="b">
        <f aca="false">FALSE()</f>
        <v>0</v>
      </c>
      <c r="C1112" s="4" t="n">
        <v>2</v>
      </c>
      <c r="D1112" s="4"/>
      <c r="E1112" s="4"/>
      <c r="F1112" s="4"/>
      <c r="G1112" s="4" t="n">
        <v>3</v>
      </c>
      <c r="H1112" s="14" t="b">
        <f aca="false">FALSE()</f>
        <v>0</v>
      </c>
      <c r="I1112" s="14" t="b">
        <f aca="false">FALSE()</f>
        <v>0</v>
      </c>
      <c r="J1112" s="4"/>
      <c r="K1112" s="4" t="s">
        <v>4489</v>
      </c>
      <c r="L1112" s="4" t="s">
        <v>4490</v>
      </c>
      <c r="M1112" s="4" t="s">
        <v>4491</v>
      </c>
      <c r="N1112" s="6" t="n">
        <v>32939</v>
      </c>
      <c r="O1112" s="6" t="n">
        <v>50844</v>
      </c>
      <c r="P1112" s="4" t="s">
        <v>46</v>
      </c>
      <c r="Q1112" s="6" t="n">
        <v>135000</v>
      </c>
      <c r="R1112" s="15" t="n">
        <v>36118</v>
      </c>
      <c r="S1112" s="6"/>
      <c r="T1112" s="15"/>
      <c r="U1112" s="6"/>
      <c r="V1112" s="15"/>
      <c r="W1112" s="4" t="s">
        <v>47</v>
      </c>
      <c r="X1112" s="4" t="s">
        <v>58</v>
      </c>
      <c r="Y1112" s="4" t="s">
        <v>4492</v>
      </c>
      <c r="Z1112" s="4" t="s">
        <v>3853</v>
      </c>
      <c r="AA1112" s="6" t="n">
        <v>0</v>
      </c>
      <c r="AB1112" s="6" t="n">
        <v>3660.26</v>
      </c>
      <c r="AC1112" s="6" t="n">
        <v>1922.49</v>
      </c>
      <c r="AD1112" s="14" t="b">
        <f aca="false">TRUE()</f>
        <v>1</v>
      </c>
    </row>
    <row r="1113" customFormat="false" ht="15" hidden="false" customHeight="false" outlineLevel="0" collapsed="false">
      <c r="A1113" s="14" t="b">
        <f aca="false">TRUE()</f>
        <v>1</v>
      </c>
      <c r="B1113" s="14" t="b">
        <f aca="false">FALSE()</f>
        <v>0</v>
      </c>
      <c r="C1113" s="4" t="n">
        <v>3</v>
      </c>
      <c r="D1113" s="4"/>
      <c r="E1113" s="4"/>
      <c r="F1113" s="4"/>
      <c r="G1113" s="4" t="n">
        <v>3</v>
      </c>
      <c r="H1113" s="14" t="b">
        <f aca="false">FALSE()</f>
        <v>0</v>
      </c>
      <c r="I1113" s="14" t="b">
        <f aca="false">FALSE()</f>
        <v>0</v>
      </c>
      <c r="J1113" s="4"/>
      <c r="K1113" s="4" t="s">
        <v>4493</v>
      </c>
      <c r="L1113" s="4" t="s">
        <v>4494</v>
      </c>
      <c r="M1113" s="4" t="s">
        <v>4495</v>
      </c>
      <c r="N1113" s="6" t="n">
        <v>54129</v>
      </c>
      <c r="O1113" s="6" t="n">
        <v>107834</v>
      </c>
      <c r="P1113" s="4" t="s">
        <v>46</v>
      </c>
      <c r="Q1113" s="6"/>
      <c r="R1113" s="15" t="n">
        <v>39959</v>
      </c>
      <c r="S1113" s="6" t="n">
        <v>260000</v>
      </c>
      <c r="T1113" s="15" t="n">
        <v>42059</v>
      </c>
      <c r="U1113" s="6"/>
      <c r="V1113" s="15"/>
      <c r="W1113" s="4" t="s">
        <v>58</v>
      </c>
      <c r="X1113" s="4" t="s">
        <v>58</v>
      </c>
      <c r="Y1113" s="4" t="s">
        <v>4496</v>
      </c>
      <c r="Z1113" s="4" t="s">
        <v>3853</v>
      </c>
      <c r="AA1113" s="6" t="n">
        <v>0</v>
      </c>
      <c r="AB1113" s="6" t="n">
        <v>8722.18</v>
      </c>
      <c r="AC1113" s="6" t="n">
        <v>9320.93</v>
      </c>
      <c r="AD1113" s="14" t="b">
        <f aca="false">FALSE()</f>
        <v>0</v>
      </c>
    </row>
    <row r="1114" customFormat="false" ht="15" hidden="false" customHeight="false" outlineLevel="0" collapsed="false">
      <c r="A1114" s="14" t="b">
        <f aca="false">TRUE()</f>
        <v>1</v>
      </c>
      <c r="B1114" s="14" t="b">
        <f aca="false">FALSE()</f>
        <v>0</v>
      </c>
      <c r="C1114" s="4" t="n">
        <v>2</v>
      </c>
      <c r="D1114" s="4"/>
      <c r="E1114" s="4"/>
      <c r="F1114" s="4"/>
      <c r="G1114" s="4"/>
      <c r="H1114" s="14" t="b">
        <f aca="false">FALSE()</f>
        <v>0</v>
      </c>
      <c r="I1114" s="14" t="b">
        <f aca="false">FALSE()</f>
        <v>0</v>
      </c>
      <c r="J1114" s="4"/>
      <c r="K1114" s="4" t="s">
        <v>4497</v>
      </c>
      <c r="L1114" s="4" t="s">
        <v>4498</v>
      </c>
      <c r="M1114" s="4" t="s">
        <v>4499</v>
      </c>
      <c r="N1114" s="6" t="n">
        <v>154576</v>
      </c>
      <c r="O1114" s="6" t="n">
        <v>1166230</v>
      </c>
      <c r="P1114" s="4" t="s">
        <v>46</v>
      </c>
      <c r="Q1114" s="6" t="n">
        <v>1700000</v>
      </c>
      <c r="R1114" s="15" t="n">
        <v>42558</v>
      </c>
      <c r="S1114" s="6"/>
      <c r="T1114" s="15"/>
      <c r="U1114" s="6"/>
      <c r="V1114" s="15"/>
      <c r="W1114" s="4" t="s">
        <v>47</v>
      </c>
      <c r="X1114" s="4" t="s">
        <v>58</v>
      </c>
      <c r="Y1114" s="4" t="s">
        <v>4500</v>
      </c>
      <c r="Z1114" s="4" t="s">
        <v>4270</v>
      </c>
      <c r="AA1114" s="6" t="n">
        <v>0</v>
      </c>
      <c r="AB1114" s="6" t="n">
        <v>63793.62</v>
      </c>
      <c r="AC1114" s="6" t="n">
        <v>33342.17</v>
      </c>
      <c r="AD1114" s="14" t="b">
        <f aca="false">TRUE()</f>
        <v>1</v>
      </c>
    </row>
    <row r="1115" customFormat="false" ht="15" hidden="false" customHeight="false" outlineLevel="0" collapsed="false">
      <c r="A1115" s="14" t="b">
        <f aca="false">TRUE()</f>
        <v>1</v>
      </c>
      <c r="B1115" s="14" t="b">
        <f aca="false">FALSE()</f>
        <v>0</v>
      </c>
      <c r="C1115" s="4" t="n">
        <v>2</v>
      </c>
      <c r="D1115" s="4"/>
      <c r="E1115" s="4"/>
      <c r="F1115" s="4"/>
      <c r="G1115" s="4"/>
      <c r="H1115" s="14" t="b">
        <f aca="false">FALSE()</f>
        <v>0</v>
      </c>
      <c r="I1115" s="14" t="b">
        <f aca="false">FALSE()</f>
        <v>0</v>
      </c>
      <c r="J1115" s="4"/>
      <c r="K1115" s="4" t="s">
        <v>4501</v>
      </c>
      <c r="L1115" s="4" t="s">
        <v>4502</v>
      </c>
      <c r="M1115" s="4" t="s">
        <v>4503</v>
      </c>
      <c r="N1115" s="6" t="n">
        <v>18699</v>
      </c>
      <c r="O1115" s="6" t="n">
        <v>74634</v>
      </c>
      <c r="P1115" s="4" t="s">
        <v>46</v>
      </c>
      <c r="Q1115" s="6"/>
      <c r="R1115" s="15"/>
      <c r="S1115" s="6"/>
      <c r="T1115" s="15"/>
      <c r="U1115" s="6"/>
      <c r="V1115" s="15"/>
      <c r="W1115" s="4" t="s">
        <v>47</v>
      </c>
      <c r="X1115" s="4" t="s">
        <v>47</v>
      </c>
      <c r="Y1115" s="4" t="s">
        <v>4504</v>
      </c>
      <c r="Z1115" s="4" t="s">
        <v>4270</v>
      </c>
      <c r="AA1115" s="6" t="n">
        <v>0</v>
      </c>
      <c r="AB1115" s="6" t="n">
        <v>4574.54</v>
      </c>
      <c r="AC1115" s="6" t="n">
        <v>4893.32</v>
      </c>
      <c r="AD1115" s="14" t="b">
        <f aca="false">FALSE()</f>
        <v>0</v>
      </c>
    </row>
    <row r="1116" customFormat="false" ht="15" hidden="false" customHeight="false" outlineLevel="0" collapsed="false">
      <c r="A1116" s="14" t="b">
        <f aca="false">TRUE()</f>
        <v>1</v>
      </c>
      <c r="B1116" s="14" t="b">
        <f aca="false">FALSE()</f>
        <v>0</v>
      </c>
      <c r="C1116" s="4" t="n">
        <v>2</v>
      </c>
      <c r="D1116" s="4"/>
      <c r="E1116" s="4"/>
      <c r="F1116" s="4"/>
      <c r="G1116" s="4" t="n">
        <v>2</v>
      </c>
      <c r="H1116" s="14" t="b">
        <f aca="false">TRUE()</f>
        <v>1</v>
      </c>
      <c r="I1116" s="14" t="b">
        <f aca="false">FALSE()</f>
        <v>0</v>
      </c>
      <c r="J1116" s="4"/>
      <c r="K1116" s="4" t="s">
        <v>4505</v>
      </c>
      <c r="L1116" s="4" t="s">
        <v>4506</v>
      </c>
      <c r="M1116" s="4" t="s">
        <v>4507</v>
      </c>
      <c r="N1116" s="6" t="n">
        <v>14881</v>
      </c>
      <c r="O1116" s="6" t="n">
        <v>59285</v>
      </c>
      <c r="P1116" s="4" t="s">
        <v>46</v>
      </c>
      <c r="Q1116" s="6" t="n">
        <v>217000</v>
      </c>
      <c r="R1116" s="15" t="n">
        <v>44587</v>
      </c>
      <c r="S1116" s="6"/>
      <c r="T1116" s="15"/>
      <c r="U1116" s="6"/>
      <c r="V1116" s="15"/>
      <c r="W1116" s="4" t="s">
        <v>47</v>
      </c>
      <c r="X1116" s="4" t="s">
        <v>47</v>
      </c>
      <c r="Y1116" s="4" t="s">
        <v>4508</v>
      </c>
      <c r="Z1116" s="4" t="s">
        <v>4270</v>
      </c>
      <c r="AA1116" s="6" t="n">
        <v>0</v>
      </c>
      <c r="AB1116" s="6" t="n">
        <v>3243</v>
      </c>
      <c r="AC1116" s="6" t="n">
        <v>3471.91</v>
      </c>
      <c r="AD1116" s="14" t="b">
        <f aca="false">FALSE()</f>
        <v>0</v>
      </c>
    </row>
    <row r="1117" customFormat="false" ht="15" hidden="false" customHeight="false" outlineLevel="0" collapsed="false">
      <c r="A1117" s="14" t="b">
        <f aca="false">TRUE()</f>
        <v>1</v>
      </c>
      <c r="B1117" s="14" t="b">
        <f aca="false">FALSE()</f>
        <v>0</v>
      </c>
      <c r="C1117" s="4" t="n">
        <v>2</v>
      </c>
      <c r="D1117" s="4"/>
      <c r="E1117" s="4"/>
      <c r="F1117" s="4"/>
      <c r="G1117" s="4"/>
      <c r="H1117" s="14" t="b">
        <f aca="false">FALSE()</f>
        <v>0</v>
      </c>
      <c r="I1117" s="14" t="b">
        <f aca="false">FALSE()</f>
        <v>0</v>
      </c>
      <c r="J1117" s="4"/>
      <c r="K1117" s="4" t="s">
        <v>4509</v>
      </c>
      <c r="L1117" s="4" t="s">
        <v>4510</v>
      </c>
      <c r="M1117" s="4" t="s">
        <v>4511</v>
      </c>
      <c r="N1117" s="6" t="n">
        <v>17622</v>
      </c>
      <c r="O1117" s="6" t="n">
        <v>70294</v>
      </c>
      <c r="P1117" s="4" t="s">
        <v>46</v>
      </c>
      <c r="Q1117" s="6" t="n">
        <v>192500</v>
      </c>
      <c r="R1117" s="15" t="n">
        <v>43837</v>
      </c>
      <c r="S1117" s="6"/>
      <c r="T1117" s="15"/>
      <c r="U1117" s="6"/>
      <c r="V1117" s="15"/>
      <c r="W1117" s="4" t="s">
        <v>58</v>
      </c>
      <c r="X1117" s="4" t="s">
        <v>47</v>
      </c>
      <c r="Y1117" s="4" t="s">
        <v>4512</v>
      </c>
      <c r="Z1117" s="4" t="s">
        <v>4270</v>
      </c>
      <c r="AA1117" s="6" t="n">
        <v>0</v>
      </c>
      <c r="AB1117" s="6" t="n">
        <v>3916.94</v>
      </c>
      <c r="AC1117" s="6" t="n">
        <v>2056.6</v>
      </c>
      <c r="AD1117" s="14" t="b">
        <f aca="false">TRUE()</f>
        <v>1</v>
      </c>
    </row>
    <row r="1118" customFormat="false" ht="15" hidden="false" customHeight="false" outlineLevel="0" collapsed="false">
      <c r="A1118" s="14" t="b">
        <f aca="false">TRUE()</f>
        <v>1</v>
      </c>
      <c r="B1118" s="14" t="b">
        <f aca="false">FALSE()</f>
        <v>0</v>
      </c>
      <c r="C1118" s="4" t="n">
        <v>3</v>
      </c>
      <c r="D1118" s="4"/>
      <c r="E1118" s="4"/>
      <c r="F1118" s="4"/>
      <c r="G1118" s="4" t="n">
        <v>3</v>
      </c>
      <c r="H1118" s="14" t="b">
        <f aca="false">FALSE()</f>
        <v>0</v>
      </c>
      <c r="I1118" s="14" t="b">
        <f aca="false">FALSE()</f>
        <v>0</v>
      </c>
      <c r="J1118" s="4"/>
      <c r="K1118" s="4" t="s">
        <v>4513</v>
      </c>
      <c r="L1118" s="4" t="s">
        <v>4514</v>
      </c>
      <c r="M1118" s="4" t="s">
        <v>4515</v>
      </c>
      <c r="N1118" s="6" t="n">
        <v>17720</v>
      </c>
      <c r="O1118" s="6" t="n">
        <v>70827</v>
      </c>
      <c r="P1118" s="4" t="s">
        <v>46</v>
      </c>
      <c r="Q1118" s="6"/>
      <c r="R1118" s="15"/>
      <c r="S1118" s="6" t="n">
        <v>100000</v>
      </c>
      <c r="T1118" s="15" t="n">
        <v>34099</v>
      </c>
      <c r="U1118" s="6"/>
      <c r="V1118" s="15"/>
      <c r="W1118" s="4" t="s">
        <v>58</v>
      </c>
      <c r="X1118" s="4" t="s">
        <v>58</v>
      </c>
      <c r="Y1118" s="4" t="s">
        <v>4516</v>
      </c>
      <c r="Z1118" s="4" t="s">
        <v>4270</v>
      </c>
      <c r="AA1118" s="6" t="n">
        <v>0</v>
      </c>
      <c r="AB1118" s="6" t="n">
        <v>4339.96</v>
      </c>
      <c r="AC1118" s="6" t="n">
        <v>4642.91</v>
      </c>
      <c r="AD1118" s="14" t="b">
        <f aca="false">FALSE()</f>
        <v>0</v>
      </c>
    </row>
    <row r="1119" customFormat="false" ht="15" hidden="false" customHeight="false" outlineLevel="0" collapsed="false">
      <c r="A1119" s="14" t="b">
        <f aca="false">TRUE()</f>
        <v>1</v>
      </c>
      <c r="B1119" s="14" t="b">
        <f aca="false">FALSE()</f>
        <v>0</v>
      </c>
      <c r="C1119" s="4" t="n">
        <v>2</v>
      </c>
      <c r="D1119" s="4"/>
      <c r="E1119" s="4"/>
      <c r="F1119" s="4"/>
      <c r="G1119" s="4"/>
      <c r="H1119" s="14" t="b">
        <f aca="false">FALSE()</f>
        <v>0</v>
      </c>
      <c r="I1119" s="14" t="b">
        <f aca="false">FALSE()</f>
        <v>0</v>
      </c>
      <c r="J1119" s="4"/>
      <c r="K1119" s="4" t="s">
        <v>4517</v>
      </c>
      <c r="L1119" s="4" t="s">
        <v>4518</v>
      </c>
      <c r="M1119" s="4" t="s">
        <v>4519</v>
      </c>
      <c r="N1119" s="6" t="n">
        <v>110096</v>
      </c>
      <c r="O1119" s="6" t="n">
        <v>200036</v>
      </c>
      <c r="P1119" s="4" t="s">
        <v>46</v>
      </c>
      <c r="Q1119" s="6" t="n">
        <v>640000</v>
      </c>
      <c r="R1119" s="15" t="n">
        <v>43872</v>
      </c>
      <c r="S1119" s="6"/>
      <c r="T1119" s="15"/>
      <c r="U1119" s="6"/>
      <c r="V1119" s="15"/>
      <c r="W1119" s="4" t="s">
        <v>58</v>
      </c>
      <c r="X1119" s="4" t="s">
        <v>47</v>
      </c>
      <c r="Y1119" s="4" t="s">
        <v>4520</v>
      </c>
      <c r="Z1119" s="4" t="s">
        <v>4270</v>
      </c>
      <c r="AA1119" s="6" t="n">
        <v>0</v>
      </c>
      <c r="AB1119" s="6" t="n">
        <v>17587.1</v>
      </c>
      <c r="AC1119" s="6" t="n">
        <v>9199.26</v>
      </c>
      <c r="AD1119" s="14" t="b">
        <f aca="false">TRUE()</f>
        <v>1</v>
      </c>
    </row>
    <row r="1120" customFormat="false" ht="15" hidden="false" customHeight="false" outlineLevel="0" collapsed="false">
      <c r="A1120" s="14" t="b">
        <f aca="false">TRUE()</f>
        <v>1</v>
      </c>
      <c r="B1120" s="14" t="b">
        <f aca="false">FALSE()</f>
        <v>0</v>
      </c>
      <c r="C1120" s="4" t="n">
        <v>2</v>
      </c>
      <c r="D1120" s="4"/>
      <c r="E1120" s="4"/>
      <c r="F1120" s="4"/>
      <c r="G1120" s="4"/>
      <c r="H1120" s="14" t="b">
        <f aca="false">FALSE()</f>
        <v>0</v>
      </c>
      <c r="I1120" s="14" t="b">
        <f aca="false">FALSE()</f>
        <v>0</v>
      </c>
      <c r="J1120" s="4"/>
      <c r="K1120" s="4" t="s">
        <v>4521</v>
      </c>
      <c r="L1120" s="4" t="s">
        <v>4522</v>
      </c>
      <c r="M1120" s="4" t="s">
        <v>4523</v>
      </c>
      <c r="N1120" s="6" t="n">
        <v>75395</v>
      </c>
      <c r="O1120" s="6" t="n">
        <v>61559</v>
      </c>
      <c r="P1120" s="4" t="s">
        <v>46</v>
      </c>
      <c r="Q1120" s="6"/>
      <c r="R1120" s="15" t="n">
        <v>45506</v>
      </c>
      <c r="S1120" s="6"/>
      <c r="T1120" s="15"/>
      <c r="U1120" s="6"/>
      <c r="V1120" s="15"/>
      <c r="W1120" s="4" t="s">
        <v>47</v>
      </c>
      <c r="X1120" s="4" t="s">
        <v>47</v>
      </c>
      <c r="Y1120" s="4" t="s">
        <v>4524</v>
      </c>
      <c r="Z1120" s="4" t="s">
        <v>4270</v>
      </c>
      <c r="AA1120" s="6" t="n">
        <v>0</v>
      </c>
      <c r="AB1120" s="6" t="n">
        <v>7127.24</v>
      </c>
      <c r="AC1120" s="6" t="n">
        <v>7618.33</v>
      </c>
      <c r="AD1120" s="14" t="b">
        <f aca="false">FALSE()</f>
        <v>0</v>
      </c>
    </row>
    <row r="1121" customFormat="false" ht="15" hidden="false" customHeight="false" outlineLevel="0" collapsed="false">
      <c r="A1121" s="14" t="b">
        <f aca="false">TRUE()</f>
        <v>1</v>
      </c>
      <c r="B1121" s="14" t="b">
        <f aca="false">FALSE()</f>
        <v>0</v>
      </c>
      <c r="C1121" s="4" t="n">
        <v>3</v>
      </c>
      <c r="D1121" s="4"/>
      <c r="E1121" s="4"/>
      <c r="F1121" s="4"/>
      <c r="G1121" s="4" t="n">
        <v>3</v>
      </c>
      <c r="H1121" s="14" t="b">
        <f aca="false">TRUE()</f>
        <v>1</v>
      </c>
      <c r="I1121" s="14" t="b">
        <f aca="false">FALSE()</f>
        <v>0</v>
      </c>
      <c r="J1121" s="4"/>
      <c r="K1121" s="4" t="s">
        <v>4525</v>
      </c>
      <c r="L1121" s="4" t="s">
        <v>4526</v>
      </c>
      <c r="M1121" s="4" t="s">
        <v>4527</v>
      </c>
      <c r="N1121" s="6" t="n">
        <v>14587</v>
      </c>
      <c r="O1121" s="6" t="n">
        <v>161745</v>
      </c>
      <c r="P1121" s="4" t="s">
        <v>46</v>
      </c>
      <c r="Q1121" s="6" t="n">
        <v>498000</v>
      </c>
      <c r="R1121" s="15" t="n">
        <v>44503</v>
      </c>
      <c r="S1121" s="6" t="n">
        <v>398400</v>
      </c>
      <c r="T1121" s="15" t="n">
        <v>44503</v>
      </c>
      <c r="U1121" s="6"/>
      <c r="V1121" s="15"/>
      <c r="W1121" s="4" t="s">
        <v>47</v>
      </c>
      <c r="X1121" s="4" t="s">
        <v>47</v>
      </c>
      <c r="Y1121" s="4" t="s">
        <v>4528</v>
      </c>
      <c r="Z1121" s="4" t="s">
        <v>4270</v>
      </c>
      <c r="AA1121" s="6" t="n">
        <v>0</v>
      </c>
      <c r="AB1121" s="6" t="n">
        <v>10085.78</v>
      </c>
      <c r="AC1121" s="6" t="n">
        <v>10776.57</v>
      </c>
      <c r="AD1121" s="14" t="b">
        <f aca="false">FALSE()</f>
        <v>0</v>
      </c>
    </row>
    <row r="1122" customFormat="false" ht="15" hidden="false" customHeight="false" outlineLevel="0" collapsed="false">
      <c r="A1122" s="14" t="b">
        <f aca="false">TRUE()</f>
        <v>1</v>
      </c>
      <c r="B1122" s="14" t="b">
        <f aca="false">FALSE()</f>
        <v>0</v>
      </c>
      <c r="C1122" s="4" t="n">
        <v>3</v>
      </c>
      <c r="D1122" s="4"/>
      <c r="E1122" s="4"/>
      <c r="F1122" s="4"/>
      <c r="G1122" s="4" t="n">
        <v>3</v>
      </c>
      <c r="H1122" s="14" t="b">
        <f aca="false">TRUE()</f>
        <v>1</v>
      </c>
      <c r="I1122" s="14" t="b">
        <f aca="false">FALSE()</f>
        <v>0</v>
      </c>
      <c r="J1122" s="4"/>
      <c r="K1122" s="4" t="s">
        <v>4529</v>
      </c>
      <c r="L1122" s="4" t="s">
        <v>4530</v>
      </c>
      <c r="M1122" s="4" t="s">
        <v>4531</v>
      </c>
      <c r="N1122" s="6" t="n">
        <v>102819</v>
      </c>
      <c r="O1122" s="6" t="n">
        <v>130601</v>
      </c>
      <c r="P1122" s="4" t="s">
        <v>46</v>
      </c>
      <c r="Q1122" s="6" t="n">
        <v>318000</v>
      </c>
      <c r="R1122" s="15" t="n">
        <v>44018</v>
      </c>
      <c r="S1122" s="6"/>
      <c r="T1122" s="15"/>
      <c r="U1122" s="6"/>
      <c r="V1122" s="15"/>
      <c r="W1122" s="4" t="s">
        <v>58</v>
      </c>
      <c r="X1122" s="4" t="s">
        <v>58</v>
      </c>
      <c r="Y1122" s="4" t="s">
        <v>4532</v>
      </c>
      <c r="Z1122" s="4" t="s">
        <v>3853</v>
      </c>
      <c r="AA1122" s="6" t="n">
        <v>0</v>
      </c>
      <c r="AB1122" s="6" t="n">
        <v>11799.32</v>
      </c>
      <c r="AC1122" s="6" t="n">
        <v>12605.77</v>
      </c>
      <c r="AD1122" s="14" t="b">
        <f aca="false">FALSE()</f>
        <v>0</v>
      </c>
    </row>
    <row r="1123" customFormat="false" ht="15" hidden="false" customHeight="false" outlineLevel="0" collapsed="false">
      <c r="A1123" s="14" t="b">
        <f aca="false">TRUE()</f>
        <v>1</v>
      </c>
      <c r="B1123" s="14" t="b">
        <f aca="false">FALSE()</f>
        <v>0</v>
      </c>
      <c r="C1123" s="4" t="n">
        <v>2</v>
      </c>
      <c r="D1123" s="4"/>
      <c r="E1123" s="4"/>
      <c r="F1123" s="4"/>
      <c r="G1123" s="4"/>
      <c r="H1123" s="14" t="b">
        <f aca="false">FALSE()</f>
        <v>0</v>
      </c>
      <c r="I1123" s="14" t="b">
        <f aca="false">FALSE()</f>
        <v>0</v>
      </c>
      <c r="J1123" s="4"/>
      <c r="K1123" s="4" t="s">
        <v>4533</v>
      </c>
      <c r="L1123" s="4" t="s">
        <v>4534</v>
      </c>
      <c r="M1123" s="4" t="s">
        <v>4535</v>
      </c>
      <c r="N1123" s="6" t="n">
        <v>62864</v>
      </c>
      <c r="O1123" s="6" t="n">
        <v>120452</v>
      </c>
      <c r="P1123" s="4" t="s">
        <v>46</v>
      </c>
      <c r="Q1123" s="6"/>
      <c r="R1123" s="15" t="n">
        <v>40133</v>
      </c>
      <c r="S1123" s="6"/>
      <c r="T1123" s="15"/>
      <c r="U1123" s="6"/>
      <c r="V1123" s="15"/>
      <c r="W1123" s="4" t="s">
        <v>47</v>
      </c>
      <c r="X1123" s="4" t="s">
        <v>47</v>
      </c>
      <c r="Y1123" s="4" t="s">
        <v>4536</v>
      </c>
      <c r="Z1123" s="4" t="s">
        <v>3853</v>
      </c>
      <c r="AA1123" s="6" t="n">
        <v>0</v>
      </c>
      <c r="AB1123" s="6" t="n">
        <v>9620</v>
      </c>
      <c r="AC1123" s="6" t="n">
        <v>5036.45</v>
      </c>
      <c r="AD1123" s="14" t="b">
        <f aca="false">TRUE()</f>
        <v>1</v>
      </c>
    </row>
    <row r="1124" customFormat="false" ht="15" hidden="false" customHeight="false" outlineLevel="0" collapsed="false">
      <c r="A1124" s="14" t="b">
        <f aca="false">TRUE()</f>
        <v>1</v>
      </c>
      <c r="B1124" s="14" t="b">
        <f aca="false">FALSE()</f>
        <v>0</v>
      </c>
      <c r="C1124" s="4" t="n">
        <v>2</v>
      </c>
      <c r="D1124" s="4"/>
      <c r="E1124" s="4"/>
      <c r="F1124" s="4"/>
      <c r="G1124" s="4"/>
      <c r="H1124" s="14" t="b">
        <f aca="false">FALSE()</f>
        <v>0</v>
      </c>
      <c r="I1124" s="14" t="b">
        <f aca="false">FALSE()</f>
        <v>0</v>
      </c>
      <c r="J1124" s="4"/>
      <c r="K1124" s="4" t="s">
        <v>4537</v>
      </c>
      <c r="L1124" s="4" t="s">
        <v>4538</v>
      </c>
      <c r="M1124" s="4" t="s">
        <v>4539</v>
      </c>
      <c r="N1124" s="6" t="n">
        <v>45209</v>
      </c>
      <c r="O1124" s="6" t="n">
        <v>19428</v>
      </c>
      <c r="P1124" s="4" t="s">
        <v>46</v>
      </c>
      <c r="Q1124" s="6"/>
      <c r="R1124" s="15"/>
      <c r="S1124" s="6"/>
      <c r="T1124" s="15"/>
      <c r="U1124" s="6"/>
      <c r="V1124" s="15"/>
      <c r="W1124" s="4" t="s">
        <v>58</v>
      </c>
      <c r="X1124" s="4" t="s">
        <v>58</v>
      </c>
      <c r="Y1124" s="4" t="s">
        <v>4540</v>
      </c>
      <c r="Z1124" s="4" t="s">
        <v>4270</v>
      </c>
      <c r="AA1124" s="6" t="n">
        <v>0</v>
      </c>
      <c r="AB1124" s="6" t="n">
        <v>3224.58</v>
      </c>
      <c r="AC1124" s="6" t="n">
        <v>3452.24</v>
      </c>
      <c r="AD1124" s="14" t="b">
        <f aca="false">FALSE()</f>
        <v>0</v>
      </c>
    </row>
    <row r="1125" customFormat="false" ht="15" hidden="false" customHeight="false" outlineLevel="0" collapsed="false">
      <c r="A1125" s="14" t="b">
        <f aca="false">TRUE()</f>
        <v>1</v>
      </c>
      <c r="B1125" s="14" t="b">
        <f aca="false">FALSE()</f>
        <v>0</v>
      </c>
      <c r="C1125" s="4" t="n">
        <v>3</v>
      </c>
      <c r="D1125" s="4"/>
      <c r="E1125" s="4"/>
      <c r="F1125" s="4"/>
      <c r="G1125" s="4" t="n">
        <v>3</v>
      </c>
      <c r="H1125" s="14" t="b">
        <f aca="false">TRUE()</f>
        <v>1</v>
      </c>
      <c r="I1125" s="14" t="b">
        <f aca="false">FALSE()</f>
        <v>0</v>
      </c>
      <c r="J1125" s="4"/>
      <c r="K1125" s="4" t="s">
        <v>4541</v>
      </c>
      <c r="L1125" s="4" t="s">
        <v>4542</v>
      </c>
      <c r="M1125" s="4" t="s">
        <v>4543</v>
      </c>
      <c r="N1125" s="6" t="n">
        <v>348944</v>
      </c>
      <c r="O1125" s="6" t="n">
        <v>451524</v>
      </c>
      <c r="P1125" s="4" t="s">
        <v>46</v>
      </c>
      <c r="Q1125" s="6"/>
      <c r="R1125" s="15" t="n">
        <v>43280</v>
      </c>
      <c r="S1125" s="6" t="n">
        <v>1485000</v>
      </c>
      <c r="T1125" s="15" t="n">
        <v>43280</v>
      </c>
      <c r="U1125" s="6"/>
      <c r="V1125" s="15"/>
      <c r="W1125" s="4" t="s">
        <v>47</v>
      </c>
      <c r="X1125" s="4" t="s">
        <v>47</v>
      </c>
      <c r="Y1125" s="4" t="s">
        <v>4544</v>
      </c>
      <c r="Z1125" s="4" t="s">
        <v>4270</v>
      </c>
      <c r="AA1125" s="6" t="n">
        <v>0</v>
      </c>
      <c r="AB1125" s="6" t="n">
        <v>45858.54</v>
      </c>
      <c r="AC1125" s="6" t="n">
        <v>48963.99</v>
      </c>
      <c r="AD1125" s="14" t="b">
        <f aca="false">FALSE()</f>
        <v>0</v>
      </c>
    </row>
    <row r="1126" customFormat="false" ht="15" hidden="false" customHeight="false" outlineLevel="0" collapsed="false">
      <c r="A1126" s="14" t="b">
        <f aca="false">TRUE()</f>
        <v>1</v>
      </c>
      <c r="B1126" s="14" t="b">
        <f aca="false">FALSE()</f>
        <v>0</v>
      </c>
      <c r="C1126" s="4" t="n">
        <v>3</v>
      </c>
      <c r="D1126" s="4"/>
      <c r="E1126" s="4"/>
      <c r="F1126" s="4"/>
      <c r="G1126" s="4"/>
      <c r="H1126" s="14" t="b">
        <f aca="false">FALSE()</f>
        <v>0</v>
      </c>
      <c r="I1126" s="14" t="b">
        <f aca="false">FALSE()</f>
        <v>0</v>
      </c>
      <c r="J1126" s="4"/>
      <c r="K1126" s="4" t="s">
        <v>4545</v>
      </c>
      <c r="L1126" s="4" t="s">
        <v>4546</v>
      </c>
      <c r="M1126" s="4" t="s">
        <v>4547</v>
      </c>
      <c r="N1126" s="6" t="n">
        <v>56751</v>
      </c>
      <c r="O1126" s="6" t="n">
        <v>163431</v>
      </c>
      <c r="P1126" s="4" t="s">
        <v>46</v>
      </c>
      <c r="Q1126" s="6" t="n">
        <v>480000</v>
      </c>
      <c r="R1126" s="15" t="n">
        <v>38574</v>
      </c>
      <c r="S1126" s="6" t="n">
        <v>323500</v>
      </c>
      <c r="T1126" s="15" t="n">
        <v>42885</v>
      </c>
      <c r="U1126" s="6"/>
      <c r="V1126" s="15"/>
      <c r="W1126" s="4" t="s">
        <v>47</v>
      </c>
      <c r="X1126" s="4" t="s">
        <v>47</v>
      </c>
      <c r="Y1126" s="4" t="s">
        <v>4548</v>
      </c>
      <c r="Z1126" s="4" t="s">
        <v>4120</v>
      </c>
      <c r="AA1126" s="6" t="n">
        <v>0</v>
      </c>
      <c r="AB1126" s="6" t="n">
        <v>12535.84</v>
      </c>
      <c r="AC1126" s="6" t="n">
        <v>13392.01</v>
      </c>
      <c r="AD1126" s="14" t="b">
        <f aca="false">FALSE()</f>
        <v>0</v>
      </c>
    </row>
    <row r="1127" customFormat="false" ht="15" hidden="false" customHeight="false" outlineLevel="0" collapsed="false">
      <c r="A1127" s="14" t="b">
        <f aca="false">TRUE()</f>
        <v>1</v>
      </c>
      <c r="B1127" s="14" t="b">
        <f aca="false">FALSE()</f>
        <v>0</v>
      </c>
      <c r="C1127" s="4" t="n">
        <v>2</v>
      </c>
      <c r="D1127" s="4"/>
      <c r="E1127" s="4"/>
      <c r="F1127" s="4"/>
      <c r="G1127" s="4"/>
      <c r="H1127" s="14" t="b">
        <f aca="false">FALSE()</f>
        <v>0</v>
      </c>
      <c r="I1127" s="14" t="b">
        <f aca="false">FALSE()</f>
        <v>0</v>
      </c>
      <c r="J1127" s="4"/>
      <c r="K1127" s="4" t="s">
        <v>4549</v>
      </c>
      <c r="L1127" s="4" t="s">
        <v>4550</v>
      </c>
      <c r="M1127" s="4" t="s">
        <v>4551</v>
      </c>
      <c r="N1127" s="6" t="n">
        <v>8615</v>
      </c>
      <c r="O1127" s="6" t="n">
        <v>37910</v>
      </c>
      <c r="P1127" s="4" t="s">
        <v>46</v>
      </c>
      <c r="Q1127" s="6" t="n">
        <v>190000</v>
      </c>
      <c r="R1127" s="15" t="n">
        <v>45869</v>
      </c>
      <c r="S1127" s="6"/>
      <c r="T1127" s="15"/>
      <c r="U1127" s="6"/>
      <c r="V1127" s="15"/>
      <c r="W1127" s="4" t="s">
        <v>58</v>
      </c>
      <c r="X1127" s="4" t="s">
        <v>47</v>
      </c>
      <c r="Y1127" s="4" t="s">
        <v>4552</v>
      </c>
      <c r="Z1127" s="4" t="s">
        <v>4120</v>
      </c>
      <c r="AA1127" s="6" t="n">
        <v>0</v>
      </c>
      <c r="AB1127" s="6" t="n">
        <v>2193.36</v>
      </c>
      <c r="AC1127" s="6" t="n">
        <v>1156.03</v>
      </c>
      <c r="AD1127" s="14" t="b">
        <f aca="false">TRUE()</f>
        <v>1</v>
      </c>
    </row>
    <row r="1128" customFormat="false" ht="15" hidden="false" customHeight="false" outlineLevel="0" collapsed="false">
      <c r="A1128" s="14" t="b">
        <f aca="false">TRUE()</f>
        <v>1</v>
      </c>
      <c r="B1128" s="14" t="b">
        <f aca="false">FALSE()</f>
        <v>0</v>
      </c>
      <c r="C1128" s="4" t="n">
        <v>2</v>
      </c>
      <c r="D1128" s="4"/>
      <c r="E1128" s="4"/>
      <c r="F1128" s="4"/>
      <c r="G1128" s="4"/>
      <c r="H1128" s="14" t="b">
        <f aca="false">FALSE()</f>
        <v>0</v>
      </c>
      <c r="I1128" s="14" t="b">
        <f aca="false">FALSE()</f>
        <v>0</v>
      </c>
      <c r="J1128" s="4"/>
      <c r="K1128" s="4" t="s">
        <v>4553</v>
      </c>
      <c r="L1128" s="4" t="s">
        <v>4554</v>
      </c>
      <c r="M1128" s="4" t="s">
        <v>4555</v>
      </c>
      <c r="N1128" s="6" t="n">
        <v>44360</v>
      </c>
      <c r="O1128" s="6" t="n">
        <v>63702</v>
      </c>
      <c r="P1128" s="4" t="s">
        <v>46</v>
      </c>
      <c r="Q1128" s="6"/>
      <c r="R1128" s="15" t="n">
        <v>45882</v>
      </c>
      <c r="S1128" s="6" t="n">
        <v>385750</v>
      </c>
      <c r="T1128" s="15" t="n">
        <v>45882</v>
      </c>
      <c r="U1128" s="6"/>
      <c r="V1128" s="15"/>
      <c r="W1128" s="4" t="s">
        <v>47</v>
      </c>
      <c r="X1128" s="4" t="s">
        <v>47</v>
      </c>
      <c r="Y1128" s="4" t="s">
        <v>4556</v>
      </c>
      <c r="Z1128" s="4" t="s">
        <v>4270</v>
      </c>
      <c r="AA1128" s="6" t="n">
        <v>0</v>
      </c>
      <c r="AB1128" s="6" t="n">
        <v>5327.46</v>
      </c>
      <c r="AC1128" s="6" t="n">
        <v>2793.6</v>
      </c>
      <c r="AD1128" s="14" t="b">
        <f aca="false">TRUE()</f>
        <v>1</v>
      </c>
    </row>
    <row r="1129" customFormat="false" ht="15" hidden="false" customHeight="false" outlineLevel="0" collapsed="false">
      <c r="A1129" s="14" t="b">
        <f aca="false">TRUE()</f>
        <v>1</v>
      </c>
      <c r="B1129" s="14" t="b">
        <f aca="false">FALSE()</f>
        <v>0</v>
      </c>
      <c r="C1129" s="4" t="n">
        <v>3</v>
      </c>
      <c r="D1129" s="4"/>
      <c r="E1129" s="4"/>
      <c r="F1129" s="4"/>
      <c r="G1129" s="4" t="n">
        <v>3</v>
      </c>
      <c r="H1129" s="14" t="b">
        <f aca="false">TRUE()</f>
        <v>1</v>
      </c>
      <c r="I1129" s="14" t="b">
        <f aca="false">FALSE()</f>
        <v>0</v>
      </c>
      <c r="J1129" s="4"/>
      <c r="K1129" s="4" t="s">
        <v>4557</v>
      </c>
      <c r="L1129" s="4" t="s">
        <v>4558</v>
      </c>
      <c r="M1129" s="4" t="s">
        <v>4559</v>
      </c>
      <c r="N1129" s="6" t="n">
        <v>149573</v>
      </c>
      <c r="O1129" s="6" t="n">
        <v>325850</v>
      </c>
      <c r="P1129" s="4" t="s">
        <v>46</v>
      </c>
      <c r="Q1129" s="6" t="n">
        <v>250000</v>
      </c>
      <c r="R1129" s="15" t="n">
        <v>43181</v>
      </c>
      <c r="S1129" s="6" t="n">
        <v>1499999</v>
      </c>
      <c r="T1129" s="15" t="n">
        <v>44690</v>
      </c>
      <c r="U1129" s="6"/>
      <c r="V1129" s="15"/>
      <c r="W1129" s="4" t="s">
        <v>58</v>
      </c>
      <c r="X1129" s="4" t="s">
        <v>58</v>
      </c>
      <c r="Y1129" s="4" t="s">
        <v>4560</v>
      </c>
      <c r="Z1129" s="4" t="s">
        <v>4270</v>
      </c>
      <c r="AA1129" s="6" t="n">
        <v>0</v>
      </c>
      <c r="AB1129" s="6" t="n">
        <v>28485.46</v>
      </c>
      <c r="AC1129" s="6" t="n">
        <v>30418.23</v>
      </c>
      <c r="AD1129" s="14" t="b">
        <f aca="false">FALSE()</f>
        <v>0</v>
      </c>
    </row>
    <row r="1130" customFormat="false" ht="15" hidden="false" customHeight="false" outlineLevel="0" collapsed="false">
      <c r="A1130" s="14" t="b">
        <f aca="false">TRUE()</f>
        <v>1</v>
      </c>
      <c r="B1130" s="14" t="b">
        <f aca="false">FALSE()</f>
        <v>0</v>
      </c>
      <c r="C1130" s="4" t="n">
        <v>3</v>
      </c>
      <c r="D1130" s="4"/>
      <c r="E1130" s="4"/>
      <c r="F1130" s="4"/>
      <c r="G1130" s="4"/>
      <c r="H1130" s="14" t="b">
        <f aca="false">FALSE()</f>
        <v>0</v>
      </c>
      <c r="I1130" s="14" t="b">
        <f aca="false">FALSE()</f>
        <v>0</v>
      </c>
      <c r="J1130" s="4"/>
      <c r="K1130" s="4" t="s">
        <v>4561</v>
      </c>
      <c r="L1130" s="4" t="s">
        <v>4562</v>
      </c>
      <c r="M1130" s="4" t="s">
        <v>4563</v>
      </c>
      <c r="N1130" s="6" t="n">
        <v>72752</v>
      </c>
      <c r="O1130" s="6" t="n">
        <v>113381</v>
      </c>
      <c r="P1130" s="4" t="s">
        <v>46</v>
      </c>
      <c r="Q1130" s="6"/>
      <c r="R1130" s="15" t="n">
        <v>37879</v>
      </c>
      <c r="S1130" s="6"/>
      <c r="T1130" s="15"/>
      <c r="U1130" s="6"/>
      <c r="V1130" s="15"/>
      <c r="W1130" s="4" t="s">
        <v>47</v>
      </c>
      <c r="X1130" s="4" t="s">
        <v>58</v>
      </c>
      <c r="Y1130" s="4" t="s">
        <v>4564</v>
      </c>
      <c r="Z1130" s="4" t="s">
        <v>4233</v>
      </c>
      <c r="AA1130" s="6" t="n">
        <v>0</v>
      </c>
      <c r="AB1130" s="6" t="n">
        <v>10964.4</v>
      </c>
      <c r="AC1130" s="6" t="n">
        <v>11714.5</v>
      </c>
      <c r="AD1130" s="14" t="b">
        <f aca="false">FALSE()</f>
        <v>0</v>
      </c>
    </row>
    <row r="1131" customFormat="false" ht="15" hidden="false" customHeight="false" outlineLevel="0" collapsed="false">
      <c r="A1131" s="14" t="b">
        <f aca="false">TRUE()</f>
        <v>1</v>
      </c>
      <c r="B1131" s="14" t="b">
        <f aca="false">FALSE()</f>
        <v>0</v>
      </c>
      <c r="C1131" s="4" t="n">
        <v>2</v>
      </c>
      <c r="D1131" s="4"/>
      <c r="E1131" s="4"/>
      <c r="F1131" s="4"/>
      <c r="G1131" s="4"/>
      <c r="H1131" s="14" t="b">
        <f aca="false">TRUE()</f>
        <v>1</v>
      </c>
      <c r="I1131" s="14" t="b">
        <f aca="false">FALSE()</f>
        <v>0</v>
      </c>
      <c r="J1131" s="4"/>
      <c r="K1131" s="4" t="s">
        <v>4565</v>
      </c>
      <c r="L1131" s="4" t="s">
        <v>4566</v>
      </c>
      <c r="M1131" s="4" t="s">
        <v>4567</v>
      </c>
      <c r="N1131" s="6" t="n">
        <v>76440</v>
      </c>
      <c r="O1131" s="6" t="n">
        <v>201678</v>
      </c>
      <c r="P1131" s="4" t="s">
        <v>46</v>
      </c>
      <c r="Q1131" s="6" t="n">
        <v>650000</v>
      </c>
      <c r="R1131" s="15" t="n">
        <v>45721</v>
      </c>
      <c r="S1131" s="6" t="n">
        <v>450000</v>
      </c>
      <c r="T1131" s="15" t="n">
        <v>45721</v>
      </c>
      <c r="U1131" s="6" t="n">
        <v>80000</v>
      </c>
      <c r="V1131" s="15" t="n">
        <v>45798</v>
      </c>
      <c r="W1131" s="4" t="s">
        <v>47</v>
      </c>
      <c r="X1131" s="4" t="s">
        <v>58</v>
      </c>
      <c r="Y1131" s="4" t="s">
        <v>4568</v>
      </c>
      <c r="Z1131" s="4" t="s">
        <v>4233</v>
      </c>
      <c r="AA1131" s="6" t="n">
        <v>0</v>
      </c>
      <c r="AB1131" s="6" t="n">
        <v>17435.44</v>
      </c>
      <c r="AC1131" s="6" t="n">
        <v>9120.02</v>
      </c>
      <c r="AD1131" s="14" t="b">
        <f aca="false">TRUE()</f>
        <v>1</v>
      </c>
    </row>
    <row r="1132" customFormat="false" ht="15" hidden="false" customHeight="false" outlineLevel="0" collapsed="false">
      <c r="A1132" s="14" t="b">
        <f aca="false">TRUE()</f>
        <v>1</v>
      </c>
      <c r="B1132" s="14" t="b">
        <f aca="false">FALSE()</f>
        <v>0</v>
      </c>
      <c r="C1132" s="4" t="n">
        <v>3</v>
      </c>
      <c r="D1132" s="4"/>
      <c r="E1132" s="4"/>
      <c r="F1132" s="4"/>
      <c r="G1132" s="4"/>
      <c r="H1132" s="14" t="b">
        <f aca="false">FALSE()</f>
        <v>0</v>
      </c>
      <c r="I1132" s="14" t="b">
        <f aca="false">FALSE()</f>
        <v>0</v>
      </c>
      <c r="J1132" s="4"/>
      <c r="K1132" s="4" t="s">
        <v>4569</v>
      </c>
      <c r="L1132" s="4" t="s">
        <v>4570</v>
      </c>
      <c r="M1132" s="4" t="s">
        <v>4571</v>
      </c>
      <c r="N1132" s="6" t="n">
        <v>28598</v>
      </c>
      <c r="O1132" s="6" t="n">
        <v>95998</v>
      </c>
      <c r="P1132" s="4" t="s">
        <v>46</v>
      </c>
      <c r="Q1132" s="6" t="n">
        <v>355000</v>
      </c>
      <c r="R1132" s="15" t="n">
        <v>44369</v>
      </c>
      <c r="S1132" s="6" t="n">
        <v>284000</v>
      </c>
      <c r="T1132" s="15" t="n">
        <v>44369</v>
      </c>
      <c r="U1132" s="6"/>
      <c r="V1132" s="15"/>
      <c r="W1132" s="4" t="s">
        <v>47</v>
      </c>
      <c r="X1132" s="4" t="s">
        <v>47</v>
      </c>
      <c r="Y1132" s="4" t="s">
        <v>4572</v>
      </c>
      <c r="Z1132" s="4" t="s">
        <v>4233</v>
      </c>
      <c r="AA1132" s="6" t="n">
        <v>0</v>
      </c>
      <c r="AB1132" s="6" t="n">
        <v>5901.74</v>
      </c>
      <c r="AC1132" s="6" t="n">
        <v>6310.11</v>
      </c>
      <c r="AD1132" s="14" t="b">
        <f aca="false">FALSE()</f>
        <v>0</v>
      </c>
    </row>
    <row r="1133" customFormat="false" ht="15" hidden="false" customHeight="false" outlineLevel="0" collapsed="false">
      <c r="A1133" s="14" t="b">
        <f aca="false">TRUE()</f>
        <v>1</v>
      </c>
      <c r="B1133" s="14" t="b">
        <f aca="false">FALSE()</f>
        <v>0</v>
      </c>
      <c r="C1133" s="4" t="n">
        <v>2</v>
      </c>
      <c r="D1133" s="4"/>
      <c r="E1133" s="4"/>
      <c r="F1133" s="4"/>
      <c r="G1133" s="4"/>
      <c r="H1133" s="14" t="b">
        <f aca="false">FALSE()</f>
        <v>0</v>
      </c>
      <c r="I1133" s="14" t="b">
        <f aca="false">FALSE()</f>
        <v>0</v>
      </c>
      <c r="J1133" s="4"/>
      <c r="K1133" s="4" t="s">
        <v>4573</v>
      </c>
      <c r="L1133" s="4" t="s">
        <v>4574</v>
      </c>
      <c r="M1133" s="4" t="s">
        <v>4575</v>
      </c>
      <c r="N1133" s="6" t="n">
        <v>68564</v>
      </c>
      <c r="O1133" s="6" t="n">
        <v>93932</v>
      </c>
      <c r="P1133" s="4" t="s">
        <v>46</v>
      </c>
      <c r="Q1133" s="6" t="n">
        <v>430000</v>
      </c>
      <c r="R1133" s="15" t="n">
        <v>42605</v>
      </c>
      <c r="S1133" s="6"/>
      <c r="T1133" s="15"/>
      <c r="U1133" s="6"/>
      <c r="V1133" s="15"/>
      <c r="W1133" s="4" t="s">
        <v>58</v>
      </c>
      <c r="X1133" s="4" t="s">
        <v>47</v>
      </c>
      <c r="Y1133" s="4" t="s">
        <v>4576</v>
      </c>
      <c r="Z1133" s="4" t="s">
        <v>2911</v>
      </c>
      <c r="AA1133" s="6" t="n">
        <v>0</v>
      </c>
      <c r="AB1133" s="6" t="n">
        <v>8701.08</v>
      </c>
      <c r="AC1133" s="6" t="n">
        <v>4556.31</v>
      </c>
      <c r="AD1133" s="14" t="b">
        <f aca="false">TRUE()</f>
        <v>1</v>
      </c>
    </row>
    <row r="1134" customFormat="false" ht="15" hidden="false" customHeight="false" outlineLevel="0" collapsed="false">
      <c r="A1134" s="14" t="b">
        <f aca="false">TRUE()</f>
        <v>1</v>
      </c>
      <c r="B1134" s="14" t="b">
        <f aca="false">FALSE()</f>
        <v>0</v>
      </c>
      <c r="C1134" s="4" t="n">
        <v>3</v>
      </c>
      <c r="D1134" s="4"/>
      <c r="E1134" s="4"/>
      <c r="F1134" s="4"/>
      <c r="G1134" s="4"/>
      <c r="H1134" s="14" t="b">
        <f aca="false">TRUE()</f>
        <v>1</v>
      </c>
      <c r="I1134" s="14" t="b">
        <f aca="false">FALSE()</f>
        <v>0</v>
      </c>
      <c r="J1134" s="4"/>
      <c r="K1134" s="4" t="s">
        <v>4577</v>
      </c>
      <c r="L1134" s="4" t="s">
        <v>4578</v>
      </c>
      <c r="M1134" s="4" t="s">
        <v>4579</v>
      </c>
      <c r="N1134" s="6" t="n">
        <v>68792</v>
      </c>
      <c r="O1134" s="6" t="n">
        <v>155545</v>
      </c>
      <c r="P1134" s="4" t="s">
        <v>46</v>
      </c>
      <c r="Q1134" s="6" t="n">
        <v>334000</v>
      </c>
      <c r="R1134" s="15" t="n">
        <v>36483</v>
      </c>
      <c r="S1134" s="6"/>
      <c r="T1134" s="15"/>
      <c r="U1134" s="6"/>
      <c r="V1134" s="15"/>
      <c r="W1134" s="4" t="s">
        <v>47</v>
      </c>
      <c r="X1134" s="4" t="s">
        <v>47</v>
      </c>
      <c r="Y1134" s="4" t="s">
        <v>4580</v>
      </c>
      <c r="Z1134" s="4" t="s">
        <v>3588</v>
      </c>
      <c r="AA1134" s="6" t="n">
        <v>0</v>
      </c>
      <c r="AB1134" s="6" t="n">
        <v>14372.56</v>
      </c>
      <c r="AC1134" s="6" t="n">
        <v>15352.71</v>
      </c>
      <c r="AD1134" s="14" t="b">
        <f aca="false">FALSE()</f>
        <v>0</v>
      </c>
    </row>
    <row r="1135" customFormat="false" ht="15" hidden="false" customHeight="false" outlineLevel="0" collapsed="false">
      <c r="A1135" s="14" t="b">
        <f aca="false">TRUE()</f>
        <v>1</v>
      </c>
      <c r="B1135" s="14" t="b">
        <f aca="false">FALSE()</f>
        <v>0</v>
      </c>
      <c r="C1135" s="4" t="n">
        <v>3</v>
      </c>
      <c r="D1135" s="4"/>
      <c r="E1135" s="4"/>
      <c r="F1135" s="4"/>
      <c r="G1135" s="4"/>
      <c r="H1135" s="14" t="b">
        <f aca="false">TRUE()</f>
        <v>1</v>
      </c>
      <c r="I1135" s="14" t="b">
        <f aca="false">FALSE()</f>
        <v>0</v>
      </c>
      <c r="J1135" s="4"/>
      <c r="K1135" s="4" t="s">
        <v>4581</v>
      </c>
      <c r="L1135" s="4" t="s">
        <v>4582</v>
      </c>
      <c r="M1135" s="4" t="s">
        <v>4583</v>
      </c>
      <c r="N1135" s="6" t="n">
        <v>55293</v>
      </c>
      <c r="O1135" s="6" t="n">
        <v>140076</v>
      </c>
      <c r="P1135" s="4" t="s">
        <v>46</v>
      </c>
      <c r="Q1135" s="6" t="n">
        <v>292500</v>
      </c>
      <c r="R1135" s="15" t="n">
        <v>36507</v>
      </c>
      <c r="S1135" s="6"/>
      <c r="T1135" s="15"/>
      <c r="U1135" s="6"/>
      <c r="V1135" s="15"/>
      <c r="W1135" s="4" t="s">
        <v>58</v>
      </c>
      <c r="X1135" s="4" t="s">
        <v>47</v>
      </c>
      <c r="Y1135" s="4" t="s">
        <v>4584</v>
      </c>
      <c r="Z1135" s="4" t="s">
        <v>3588</v>
      </c>
      <c r="AA1135" s="6" t="n">
        <v>0</v>
      </c>
      <c r="AB1135" s="6" t="n">
        <v>9611.28</v>
      </c>
      <c r="AC1135" s="6" t="n">
        <v>10270.04</v>
      </c>
      <c r="AD1135" s="14" t="b">
        <f aca="false">FALSE()</f>
        <v>0</v>
      </c>
    </row>
    <row r="1136" customFormat="false" ht="15" hidden="false" customHeight="false" outlineLevel="0" collapsed="false">
      <c r="A1136" s="14" t="b">
        <f aca="false">TRUE()</f>
        <v>1</v>
      </c>
      <c r="B1136" s="14" t="b">
        <f aca="false">FALSE()</f>
        <v>0</v>
      </c>
      <c r="C1136" s="4" t="n">
        <v>2</v>
      </c>
      <c r="D1136" s="4"/>
      <c r="E1136" s="4"/>
      <c r="F1136" s="4"/>
      <c r="G1136" s="4"/>
      <c r="H1136" s="14" t="b">
        <f aca="false">FALSE()</f>
        <v>0</v>
      </c>
      <c r="I1136" s="14" t="b">
        <f aca="false">FALSE()</f>
        <v>0</v>
      </c>
      <c r="J1136" s="4"/>
      <c r="K1136" s="4" t="s">
        <v>4585</v>
      </c>
      <c r="L1136" s="4" t="s">
        <v>4586</v>
      </c>
      <c r="M1136" s="4" t="s">
        <v>4587</v>
      </c>
      <c r="N1136" s="6" t="n">
        <v>60427</v>
      </c>
      <c r="O1136" s="6" t="n">
        <v>144166</v>
      </c>
      <c r="P1136" s="4" t="s">
        <v>46</v>
      </c>
      <c r="Q1136" s="6" t="n">
        <v>697000</v>
      </c>
      <c r="R1136" s="15" t="n">
        <v>45265</v>
      </c>
      <c r="S1136" s="6" t="n">
        <v>486750</v>
      </c>
      <c r="T1136" s="15" t="n">
        <v>45861</v>
      </c>
      <c r="U1136" s="6"/>
      <c r="V1136" s="15"/>
      <c r="W1136" s="4" t="s">
        <v>47</v>
      </c>
      <c r="X1136" s="4" t="s">
        <v>47</v>
      </c>
      <c r="Y1136" s="4" t="s">
        <v>4588</v>
      </c>
      <c r="Z1136" s="4" t="s">
        <v>3588</v>
      </c>
      <c r="AA1136" s="6" t="n">
        <v>0</v>
      </c>
      <c r="AB1136" s="6" t="n">
        <v>13060.86</v>
      </c>
      <c r="AC1136" s="6" t="n">
        <v>6834.3</v>
      </c>
      <c r="AD1136" s="14" t="b">
        <f aca="false">TRUE()</f>
        <v>1</v>
      </c>
    </row>
    <row r="1137" customFormat="false" ht="15" hidden="false" customHeight="false" outlineLevel="0" collapsed="false">
      <c r="A1137" s="14" t="b">
        <f aca="false">TRUE()</f>
        <v>1</v>
      </c>
      <c r="B1137" s="14" t="b">
        <f aca="false">FALSE()</f>
        <v>0</v>
      </c>
      <c r="C1137" s="4" t="n">
        <v>3</v>
      </c>
      <c r="D1137" s="4"/>
      <c r="E1137" s="4"/>
      <c r="F1137" s="4"/>
      <c r="G1137" s="4"/>
      <c r="H1137" s="14" t="b">
        <f aca="false">FALSE()</f>
        <v>0</v>
      </c>
      <c r="I1137" s="14" t="b">
        <f aca="false">FALSE()</f>
        <v>0</v>
      </c>
      <c r="J1137" s="4"/>
      <c r="K1137" s="4" t="s">
        <v>4589</v>
      </c>
      <c r="L1137" s="4" t="s">
        <v>4590</v>
      </c>
      <c r="M1137" s="4" t="s">
        <v>4591</v>
      </c>
      <c r="N1137" s="6" t="n">
        <v>51518</v>
      </c>
      <c r="O1137" s="6" t="n">
        <v>66269</v>
      </c>
      <c r="P1137" s="4" t="s">
        <v>46</v>
      </c>
      <c r="Q1137" s="6" t="n">
        <v>285000</v>
      </c>
      <c r="R1137" s="15" t="n">
        <v>41766</v>
      </c>
      <c r="S1137" s="6" t="n">
        <v>150000</v>
      </c>
      <c r="T1137" s="15" t="n">
        <v>41766</v>
      </c>
      <c r="U1137" s="6"/>
      <c r="V1137" s="15"/>
      <c r="W1137" s="4" t="s">
        <v>47</v>
      </c>
      <c r="X1137" s="4" t="s">
        <v>58</v>
      </c>
      <c r="Y1137" s="4" t="s">
        <v>4592</v>
      </c>
      <c r="Z1137" s="4" t="s">
        <v>4593</v>
      </c>
      <c r="AA1137" s="6" t="n">
        <v>0</v>
      </c>
      <c r="AB1137" s="6" t="n">
        <v>4776.28</v>
      </c>
      <c r="AC1137" s="6" t="n">
        <v>5108.68</v>
      </c>
      <c r="AD1137" s="14" t="b">
        <f aca="false">FALSE()</f>
        <v>0</v>
      </c>
    </row>
    <row r="1138" customFormat="false" ht="15" hidden="false" customHeight="false" outlineLevel="0" collapsed="false">
      <c r="A1138" s="14" t="b">
        <f aca="false">TRUE()</f>
        <v>1</v>
      </c>
      <c r="B1138" s="14" t="b">
        <f aca="false">FALSE()</f>
        <v>0</v>
      </c>
      <c r="C1138" s="4" t="n">
        <v>2</v>
      </c>
      <c r="D1138" s="4"/>
      <c r="E1138" s="4"/>
      <c r="F1138" s="4"/>
      <c r="G1138" s="4" t="n">
        <v>2</v>
      </c>
      <c r="H1138" s="14" t="b">
        <f aca="false">FALSE()</f>
        <v>0</v>
      </c>
      <c r="I1138" s="14" t="b">
        <f aca="false">FALSE()</f>
        <v>0</v>
      </c>
      <c r="J1138" s="4"/>
      <c r="K1138" s="4" t="s">
        <v>2475</v>
      </c>
      <c r="L1138" s="4" t="s">
        <v>4594</v>
      </c>
      <c r="M1138" s="4" t="s">
        <v>4595</v>
      </c>
      <c r="N1138" s="6" t="n">
        <v>43849</v>
      </c>
      <c r="O1138" s="6" t="n">
        <v>46765</v>
      </c>
      <c r="P1138" s="4" t="s">
        <v>46</v>
      </c>
      <c r="Q1138" s="6" t="n">
        <v>184000</v>
      </c>
      <c r="R1138" s="15" t="n">
        <v>45909</v>
      </c>
      <c r="S1138" s="6"/>
      <c r="T1138" s="15"/>
      <c r="U1138" s="6"/>
      <c r="V1138" s="15"/>
      <c r="W1138" s="4" t="s">
        <v>47</v>
      </c>
      <c r="X1138" s="4" t="s">
        <v>58</v>
      </c>
      <c r="Y1138" s="4" t="s">
        <v>4596</v>
      </c>
      <c r="Z1138" s="4" t="s">
        <v>4593</v>
      </c>
      <c r="AA1138" s="6" t="n">
        <v>0</v>
      </c>
      <c r="AB1138" s="6" t="n">
        <v>3594.12</v>
      </c>
      <c r="AC1138" s="6" t="n">
        <v>3846.73</v>
      </c>
      <c r="AD1138" s="14" t="b">
        <f aca="false">FALSE()</f>
        <v>0</v>
      </c>
    </row>
    <row r="1139" customFormat="false" ht="15" hidden="false" customHeight="false" outlineLevel="0" collapsed="false">
      <c r="A1139" s="14" t="b">
        <f aca="false">TRUE()</f>
        <v>1</v>
      </c>
      <c r="B1139" s="14" t="b">
        <f aca="false">FALSE()</f>
        <v>0</v>
      </c>
      <c r="C1139" s="4" t="n">
        <v>2</v>
      </c>
      <c r="D1139" s="4"/>
      <c r="E1139" s="4"/>
      <c r="F1139" s="4"/>
      <c r="G1139" s="4"/>
      <c r="H1139" s="14" t="b">
        <f aca="false">FALSE()</f>
        <v>0</v>
      </c>
      <c r="I1139" s="14" t="b">
        <f aca="false">FALSE()</f>
        <v>0</v>
      </c>
      <c r="J1139" s="4"/>
      <c r="K1139" s="4" t="s">
        <v>3901</v>
      </c>
      <c r="L1139" s="4" t="s">
        <v>4597</v>
      </c>
      <c r="M1139" s="4" t="s">
        <v>4598</v>
      </c>
      <c r="N1139" s="6" t="n">
        <v>67955</v>
      </c>
      <c r="O1139" s="6" t="n">
        <v>90897</v>
      </c>
      <c r="P1139" s="4" t="s">
        <v>46</v>
      </c>
      <c r="Q1139" s="6" t="n">
        <v>292000</v>
      </c>
      <c r="R1139" s="15" t="n">
        <v>45265</v>
      </c>
      <c r="S1139" s="6" t="n">
        <v>250000</v>
      </c>
      <c r="T1139" s="15" t="n">
        <v>45265</v>
      </c>
      <c r="U1139" s="6"/>
      <c r="V1139" s="15"/>
      <c r="W1139" s="4" t="s">
        <v>47</v>
      </c>
      <c r="X1139" s="4" t="s">
        <v>58</v>
      </c>
      <c r="Y1139" s="4" t="s">
        <v>4599</v>
      </c>
      <c r="Z1139" s="4" t="s">
        <v>4593</v>
      </c>
      <c r="AA1139" s="6" t="n">
        <v>0</v>
      </c>
      <c r="AB1139" s="6" t="n">
        <v>6562.82</v>
      </c>
      <c r="AC1139" s="6" t="n">
        <v>3439.07</v>
      </c>
      <c r="AD1139" s="14" t="b">
        <f aca="false">TRUE()</f>
        <v>1</v>
      </c>
    </row>
    <row r="1140" customFormat="false" ht="15" hidden="false" customHeight="false" outlineLevel="0" collapsed="false">
      <c r="A1140" s="14" t="b">
        <f aca="false">TRUE()</f>
        <v>1</v>
      </c>
      <c r="B1140" s="14" t="b">
        <f aca="false">FALSE()</f>
        <v>0</v>
      </c>
      <c r="C1140" s="4" t="n">
        <v>2</v>
      </c>
      <c r="D1140" s="4"/>
      <c r="E1140" s="4"/>
      <c r="F1140" s="4"/>
      <c r="G1140" s="4"/>
      <c r="H1140" s="14" t="b">
        <f aca="false">FALSE()</f>
        <v>0</v>
      </c>
      <c r="I1140" s="14" t="b">
        <f aca="false">FALSE()</f>
        <v>0</v>
      </c>
      <c r="J1140" s="4"/>
      <c r="K1140" s="4" t="s">
        <v>4600</v>
      </c>
      <c r="L1140" s="4" t="s">
        <v>4601</v>
      </c>
      <c r="M1140" s="4" t="s">
        <v>4602</v>
      </c>
      <c r="N1140" s="6" t="n">
        <v>45263</v>
      </c>
      <c r="O1140" s="6" t="n">
        <v>72665</v>
      </c>
      <c r="P1140" s="4" t="s">
        <v>46</v>
      </c>
      <c r="Q1140" s="6" t="n">
        <v>525000</v>
      </c>
      <c r="R1140" s="15" t="n">
        <v>44547</v>
      </c>
      <c r="S1140" s="6"/>
      <c r="T1140" s="15"/>
      <c r="U1140" s="6"/>
      <c r="V1140" s="15"/>
      <c r="W1140" s="4" t="s">
        <v>47</v>
      </c>
      <c r="X1140" s="4" t="s">
        <v>47</v>
      </c>
      <c r="Y1140" s="4" t="s">
        <v>4603</v>
      </c>
      <c r="Z1140" s="4" t="s">
        <v>4270</v>
      </c>
      <c r="AA1140" s="6" t="n">
        <v>0</v>
      </c>
      <c r="AB1140" s="6" t="n">
        <v>6361.32</v>
      </c>
      <c r="AC1140" s="6" t="n">
        <v>6800.71</v>
      </c>
      <c r="AD1140" s="14" t="b">
        <f aca="false">FALSE()</f>
        <v>0</v>
      </c>
    </row>
    <row r="1141" customFormat="false" ht="15" hidden="false" customHeight="false" outlineLevel="0" collapsed="false">
      <c r="A1141" s="14" t="b">
        <f aca="false">TRUE()</f>
        <v>1</v>
      </c>
      <c r="B1141" s="14" t="b">
        <f aca="false">FALSE()</f>
        <v>0</v>
      </c>
      <c r="C1141" s="4" t="n">
        <v>2</v>
      </c>
      <c r="D1141" s="4"/>
      <c r="E1141" s="4"/>
      <c r="F1141" s="4"/>
      <c r="G1141" s="4"/>
      <c r="H1141" s="14" t="b">
        <f aca="false">FALSE()</f>
        <v>0</v>
      </c>
      <c r="I1141" s="14" t="b">
        <f aca="false">FALSE()</f>
        <v>0</v>
      </c>
      <c r="J1141" s="4"/>
      <c r="K1141" s="4" t="s">
        <v>4604</v>
      </c>
      <c r="L1141" s="4" t="s">
        <v>4605</v>
      </c>
      <c r="M1141" s="4" t="s">
        <v>4606</v>
      </c>
      <c r="N1141" s="6" t="n">
        <v>17829</v>
      </c>
      <c r="O1141" s="6" t="n">
        <v>75591</v>
      </c>
      <c r="P1141" s="4" t="s">
        <v>46</v>
      </c>
      <c r="Q1141" s="6" t="n">
        <v>182000</v>
      </c>
      <c r="R1141" s="15" t="n">
        <v>36684</v>
      </c>
      <c r="S1141" s="6"/>
      <c r="T1141" s="15"/>
      <c r="U1141" s="6"/>
      <c r="V1141" s="15"/>
      <c r="W1141" s="4" t="s">
        <v>58</v>
      </c>
      <c r="X1141" s="4" t="s">
        <v>58</v>
      </c>
      <c r="Y1141" s="4" t="s">
        <v>4607</v>
      </c>
      <c r="Z1141" s="4" t="s">
        <v>3853</v>
      </c>
      <c r="AA1141" s="6" t="n">
        <v>0</v>
      </c>
      <c r="AB1141" s="6" t="n">
        <v>5318.78</v>
      </c>
      <c r="AC1141" s="6" t="n">
        <v>5687.8</v>
      </c>
      <c r="AD1141" s="14" t="b">
        <f aca="false">FALSE()</f>
        <v>0</v>
      </c>
    </row>
    <row r="1142" customFormat="false" ht="15" hidden="false" customHeight="false" outlineLevel="0" collapsed="false">
      <c r="A1142" s="14" t="b">
        <f aca="false">TRUE()</f>
        <v>1</v>
      </c>
      <c r="B1142" s="14" t="b">
        <f aca="false">FALSE()</f>
        <v>0</v>
      </c>
      <c r="C1142" s="4" t="n">
        <v>2</v>
      </c>
      <c r="D1142" s="4"/>
      <c r="E1142" s="4"/>
      <c r="F1142" s="4"/>
      <c r="G1142" s="4" t="n">
        <v>3</v>
      </c>
      <c r="H1142" s="14" t="b">
        <f aca="false">TRUE()</f>
        <v>1</v>
      </c>
      <c r="I1142" s="14" t="b">
        <f aca="false">FALSE()</f>
        <v>0</v>
      </c>
      <c r="J1142" s="4"/>
      <c r="K1142" s="4" t="s">
        <v>4608</v>
      </c>
      <c r="L1142" s="4" t="s">
        <v>4609</v>
      </c>
      <c r="M1142" s="4" t="s">
        <v>4610</v>
      </c>
      <c r="N1142" s="6" t="n">
        <v>63397</v>
      </c>
      <c r="O1142" s="6" t="n">
        <v>133168</v>
      </c>
      <c r="P1142" s="4" t="s">
        <v>46</v>
      </c>
      <c r="Q1142" s="6" t="n">
        <v>540000</v>
      </c>
      <c r="R1142" s="15" t="n">
        <v>44515</v>
      </c>
      <c r="S1142" s="6"/>
      <c r="T1142" s="15"/>
      <c r="U1142" s="6"/>
      <c r="V1142" s="15"/>
      <c r="W1142" s="4" t="s">
        <v>47</v>
      </c>
      <c r="X1142" s="4" t="s">
        <v>47</v>
      </c>
      <c r="Y1142" s="4" t="s">
        <v>4611</v>
      </c>
      <c r="Z1142" s="4" t="s">
        <v>4593</v>
      </c>
      <c r="AA1142" s="6" t="n">
        <v>0</v>
      </c>
      <c r="AB1142" s="6" t="n">
        <v>10111.24</v>
      </c>
      <c r="AC1142" s="6" t="n">
        <v>5293.12</v>
      </c>
      <c r="AD1142" s="14" t="b">
        <f aca="false">TRUE()</f>
        <v>1</v>
      </c>
    </row>
    <row r="1143" customFormat="false" ht="15" hidden="false" customHeight="false" outlineLevel="0" collapsed="false">
      <c r="A1143" s="14" t="b">
        <f aca="false">TRUE()</f>
        <v>1</v>
      </c>
      <c r="B1143" s="14" t="b">
        <f aca="false">FALSE()</f>
        <v>0</v>
      </c>
      <c r="C1143" s="4" t="n">
        <v>3</v>
      </c>
      <c r="D1143" s="4"/>
      <c r="E1143" s="4"/>
      <c r="F1143" s="4"/>
      <c r="G1143" s="4"/>
      <c r="H1143" s="14" t="b">
        <f aca="false">FALSE()</f>
        <v>0</v>
      </c>
      <c r="I1143" s="14" t="b">
        <f aca="false">FALSE()</f>
        <v>0</v>
      </c>
      <c r="J1143" s="4"/>
      <c r="K1143" s="4" t="s">
        <v>4612</v>
      </c>
      <c r="L1143" s="4" t="s">
        <v>4613</v>
      </c>
      <c r="M1143" s="4" t="s">
        <v>4614</v>
      </c>
      <c r="N1143" s="6" t="n">
        <v>66660</v>
      </c>
      <c r="O1143" s="6" t="n">
        <v>245919</v>
      </c>
      <c r="P1143" s="4" t="s">
        <v>46</v>
      </c>
      <c r="Q1143" s="6" t="n">
        <v>216000</v>
      </c>
      <c r="R1143" s="15" t="n">
        <v>38516</v>
      </c>
      <c r="S1143" s="6" t="n">
        <v>655000</v>
      </c>
      <c r="T1143" s="15" t="n">
        <v>44440</v>
      </c>
      <c r="U1143" s="6" t="n">
        <v>360000</v>
      </c>
      <c r="V1143" s="15" t="n">
        <v>44895</v>
      </c>
      <c r="W1143" s="4" t="s">
        <v>47</v>
      </c>
      <c r="X1143" s="4" t="s">
        <v>47</v>
      </c>
      <c r="Y1143" s="4" t="s">
        <v>4615</v>
      </c>
      <c r="Z1143" s="4" t="s">
        <v>3588</v>
      </c>
      <c r="AA1143" s="6" t="n">
        <v>0</v>
      </c>
      <c r="AB1143" s="6" t="n">
        <v>16284.9</v>
      </c>
      <c r="AC1143" s="6" t="n">
        <v>17394.13</v>
      </c>
      <c r="AD1143" s="14" t="b">
        <f aca="false">FALSE()</f>
        <v>0</v>
      </c>
    </row>
    <row r="1145" customFormat="false" ht="15" hidden="false" customHeight="false" outlineLevel="0" collapsed="false">
      <c r="AB1145" s="10" t="s">
        <v>4616</v>
      </c>
      <c r="AC1145" s="12" t="n">
        <f aca="false">SUM(AC2:AC1143)</f>
        <v>8273859.2</v>
      </c>
    </row>
  </sheetData>
  <autoFilter ref="A1:AD11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1" topLeftCell="L2" activePane="bottomRight" state="frozen"/>
      <selection pane="topLeft" activeCell="A1" activeCellId="0" sqref="A1"/>
      <selection pane="topRight" activeCell="L1" activeCellId="0" sqref="L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3"/>
    <col collapsed="false" customWidth="true" hidden="false" outlineLevel="0" max="6" min="6" style="0" width="22"/>
    <col collapsed="false" customWidth="true" hidden="false" outlineLevel="0" max="10" min="7" style="0" width="13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5" min="13" style="0" width="13"/>
    <col collapsed="false" customWidth="true" hidden="false" outlineLevel="0" max="16" min="16" style="0" width="26"/>
    <col collapsed="false" customWidth="true" hidden="false" outlineLevel="0" max="24" min="17" style="0" width="13"/>
    <col collapsed="false" customWidth="true" hidden="false" outlineLevel="0" max="25" min="25" style="0" width="26"/>
    <col collapsed="false" customWidth="true" hidden="false" outlineLevel="0" max="26" min="26" style="0" width="18"/>
    <col collapsed="false" customWidth="true" hidden="false" outlineLevel="0" max="30" min="27" style="0" width="13"/>
  </cols>
  <sheetData>
    <row r="1" customFormat="false" ht="30" hidden="false" customHeight="true" outlineLevel="0" collapsed="false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3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 t="n">
        <v>4</v>
      </c>
      <c r="D2" s="4" t="n">
        <v>4</v>
      </c>
      <c r="E2" s="4"/>
      <c r="F2" s="4" t="s">
        <v>4617</v>
      </c>
      <c r="G2" s="4" t="n">
        <v>4</v>
      </c>
      <c r="H2" s="14" t="b">
        <f aca="false">FALSE()</f>
        <v>0</v>
      </c>
      <c r="I2" s="14" t="b">
        <f aca="false">FALSE()</f>
        <v>0</v>
      </c>
      <c r="J2" s="4"/>
      <c r="K2" s="4" t="s">
        <v>4618</v>
      </c>
      <c r="L2" s="4" t="s">
        <v>4619</v>
      </c>
      <c r="M2" s="4" t="s">
        <v>4620</v>
      </c>
      <c r="N2" s="6" t="n">
        <v>291035</v>
      </c>
      <c r="O2" s="6" t="n">
        <v>763001</v>
      </c>
      <c r="P2" s="4" t="s">
        <v>4621</v>
      </c>
      <c r="Q2" s="6" t="n">
        <v>3000000</v>
      </c>
      <c r="R2" s="15" t="n">
        <v>43662</v>
      </c>
      <c r="S2" s="6"/>
      <c r="T2" s="15"/>
      <c r="U2" s="6"/>
      <c r="V2" s="15"/>
      <c r="W2" s="4" t="s">
        <v>47</v>
      </c>
      <c r="X2" s="4" t="s">
        <v>47</v>
      </c>
      <c r="Y2" s="4" t="s">
        <v>4622</v>
      </c>
      <c r="Z2" s="4" t="s">
        <v>317</v>
      </c>
      <c r="AA2" s="6" t="n">
        <v>0</v>
      </c>
      <c r="AB2" s="6" t="n">
        <v>67316.02</v>
      </c>
      <c r="AC2" s="6" t="n">
        <v>71869.85</v>
      </c>
      <c r="AD2" s="14" t="b">
        <f aca="false">FALSE()</f>
        <v>0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 t="n">
        <v>3</v>
      </c>
      <c r="D3" s="4" t="n">
        <v>3</v>
      </c>
      <c r="E3" s="4"/>
      <c r="F3" s="4"/>
      <c r="G3" s="4" t="n">
        <v>3</v>
      </c>
      <c r="H3" s="14" t="b">
        <f aca="false">TRUE()</f>
        <v>1</v>
      </c>
      <c r="I3" s="14" t="b">
        <f aca="false">FALSE()</f>
        <v>0</v>
      </c>
      <c r="J3" s="4"/>
      <c r="K3" s="4" t="s">
        <v>4623</v>
      </c>
      <c r="L3" s="4" t="s">
        <v>4624</v>
      </c>
      <c r="M3" s="4" t="s">
        <v>4625</v>
      </c>
      <c r="N3" s="6" t="n">
        <v>17540</v>
      </c>
      <c r="O3" s="6" t="n">
        <v>229865</v>
      </c>
      <c r="P3" s="4" t="s">
        <v>4621</v>
      </c>
      <c r="Q3" s="6" t="n">
        <v>625000</v>
      </c>
      <c r="R3" s="15" t="n">
        <v>43894</v>
      </c>
      <c r="S3" s="6"/>
      <c r="T3" s="15"/>
      <c r="U3" s="6"/>
      <c r="V3" s="15"/>
      <c r="W3" s="4" t="s">
        <v>58</v>
      </c>
      <c r="X3" s="4" t="s">
        <v>47</v>
      </c>
      <c r="Y3" s="4" t="s">
        <v>4626</v>
      </c>
      <c r="Z3" s="4" t="s">
        <v>317</v>
      </c>
      <c r="AA3" s="6" t="n">
        <v>0</v>
      </c>
      <c r="AB3" s="6" t="n">
        <v>18591.76</v>
      </c>
      <c r="AC3" s="6" t="n">
        <v>9724.19</v>
      </c>
      <c r="AD3" s="14" t="b">
        <f aca="false">TRUE()</f>
        <v>1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 t="n">
        <v>5</v>
      </c>
      <c r="D4" s="4" t="n">
        <v>5</v>
      </c>
      <c r="E4" s="4" t="s">
        <v>4627</v>
      </c>
      <c r="F4" s="4"/>
      <c r="G4" s="4"/>
      <c r="H4" s="14" t="b">
        <f aca="false">TRUE()</f>
        <v>1</v>
      </c>
      <c r="I4" s="14" t="b">
        <f aca="false">FALSE()</f>
        <v>0</v>
      </c>
      <c r="J4" s="4"/>
      <c r="K4" s="4" t="s">
        <v>4628</v>
      </c>
      <c r="L4" s="4" t="s">
        <v>4629</v>
      </c>
      <c r="M4" s="4" t="s">
        <v>4630</v>
      </c>
      <c r="N4" s="6" t="n">
        <v>882130</v>
      </c>
      <c r="O4" s="6" t="n">
        <v>1968140</v>
      </c>
      <c r="P4" s="4" t="s">
        <v>4621</v>
      </c>
      <c r="Q4" s="6" t="n">
        <v>7375000</v>
      </c>
      <c r="R4" s="15" t="n">
        <v>44755</v>
      </c>
      <c r="S4" s="6" t="n">
        <v>3923700</v>
      </c>
      <c r="T4" s="15" t="n">
        <v>44755</v>
      </c>
      <c r="U4" s="6" t="n">
        <v>2419000</v>
      </c>
      <c r="V4" s="15" t="n">
        <v>44820</v>
      </c>
      <c r="W4" s="4" t="s">
        <v>58</v>
      </c>
      <c r="X4" s="4" t="s">
        <v>47</v>
      </c>
      <c r="Y4" s="4" t="s">
        <v>4631</v>
      </c>
      <c r="Z4" s="4" t="s">
        <v>531</v>
      </c>
      <c r="AA4" s="6" t="n">
        <v>0</v>
      </c>
      <c r="AB4" s="6" t="n">
        <v>206433.66</v>
      </c>
      <c r="AC4" s="6" t="n">
        <v>220377.93</v>
      </c>
      <c r="AD4" s="14" t="b">
        <f aca="false">FALSE()</f>
        <v>0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 t="n">
        <v>3</v>
      </c>
      <c r="D5" s="4" t="n">
        <v>3</v>
      </c>
      <c r="E5" s="4"/>
      <c r="F5" s="4"/>
      <c r="G5" s="4"/>
      <c r="H5" s="14" t="b">
        <f aca="false">TRUE()</f>
        <v>1</v>
      </c>
      <c r="I5" s="14" t="b">
        <f aca="false">FALSE()</f>
        <v>0</v>
      </c>
      <c r="J5" s="4"/>
      <c r="K5" s="4" t="s">
        <v>4632</v>
      </c>
      <c r="L5" s="4" t="s">
        <v>4633</v>
      </c>
      <c r="M5" s="4" t="s">
        <v>4634</v>
      </c>
      <c r="N5" s="6" t="n">
        <v>49866</v>
      </c>
      <c r="O5" s="6" t="n">
        <v>129162</v>
      </c>
      <c r="P5" s="4" t="s">
        <v>4621</v>
      </c>
      <c r="Q5" s="6" t="n">
        <v>490000</v>
      </c>
      <c r="R5" s="15" t="n">
        <v>44140</v>
      </c>
      <c r="S5" s="6" t="n">
        <v>450000</v>
      </c>
      <c r="T5" s="15" t="n">
        <v>44140</v>
      </c>
      <c r="U5" s="6" t="n">
        <v>208000</v>
      </c>
      <c r="V5" s="15" t="n">
        <v>44144</v>
      </c>
      <c r="W5" s="4" t="s">
        <v>47</v>
      </c>
      <c r="X5" s="4" t="s">
        <v>47</v>
      </c>
      <c r="Y5" s="4" t="s">
        <v>4635</v>
      </c>
      <c r="Z5" s="4" t="s">
        <v>1624</v>
      </c>
      <c r="AA5" s="6" t="n">
        <v>0</v>
      </c>
      <c r="AB5" s="6" t="n">
        <v>11538.72</v>
      </c>
      <c r="AC5" s="6" t="n">
        <v>12327.58</v>
      </c>
      <c r="AD5" s="14" t="b">
        <f aca="false">FALSE()</f>
        <v>0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 t="n">
        <v>3</v>
      </c>
      <c r="D6" s="4" t="n">
        <v>3</v>
      </c>
      <c r="E6" s="4"/>
      <c r="F6" s="4" t="s">
        <v>4636</v>
      </c>
      <c r="G6" s="4" t="n">
        <v>4</v>
      </c>
      <c r="H6" s="14" t="b">
        <f aca="false">FALSE()</f>
        <v>0</v>
      </c>
      <c r="I6" s="14" t="b">
        <f aca="false">FALSE()</f>
        <v>0</v>
      </c>
      <c r="J6" s="4"/>
      <c r="K6" s="4" t="s">
        <v>4618</v>
      </c>
      <c r="L6" s="4" t="s">
        <v>4637</v>
      </c>
      <c r="M6" s="4" t="s">
        <v>4638</v>
      </c>
      <c r="N6" s="6" t="n">
        <v>35427</v>
      </c>
      <c r="O6" s="6" t="n">
        <v>362312</v>
      </c>
      <c r="P6" s="4" t="s">
        <v>4621</v>
      </c>
      <c r="Q6" s="6"/>
      <c r="R6" s="15" t="n">
        <v>43157</v>
      </c>
      <c r="S6" s="6" t="n">
        <v>2000000</v>
      </c>
      <c r="T6" s="15" t="n">
        <v>44230</v>
      </c>
      <c r="U6" s="6"/>
      <c r="V6" s="15"/>
      <c r="W6" s="4" t="s">
        <v>58</v>
      </c>
      <c r="X6" s="4" t="s">
        <v>58</v>
      </c>
      <c r="Y6" s="4" t="s">
        <v>4639</v>
      </c>
      <c r="Z6" s="4" t="s">
        <v>910</v>
      </c>
      <c r="AA6" s="6" t="n">
        <v>0</v>
      </c>
      <c r="AB6" s="6" t="n">
        <v>30902.32</v>
      </c>
      <c r="AC6" s="6" t="n">
        <v>32998.22</v>
      </c>
      <c r="AD6" s="14" t="b">
        <f aca="false">FALSE()</f>
        <v>0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 t="n">
        <v>3</v>
      </c>
      <c r="D7" s="4" t="n">
        <v>3</v>
      </c>
      <c r="E7" s="4"/>
      <c r="F7" s="4" t="s">
        <v>4640</v>
      </c>
      <c r="G7" s="4" t="n">
        <v>3</v>
      </c>
      <c r="H7" s="14" t="b">
        <f aca="false">FALSE()</f>
        <v>0</v>
      </c>
      <c r="I7" s="14" t="b">
        <f aca="false">FALSE()</f>
        <v>0</v>
      </c>
      <c r="J7" s="4"/>
      <c r="K7" s="4" t="s">
        <v>4641</v>
      </c>
      <c r="L7" s="4" t="s">
        <v>4642</v>
      </c>
      <c r="M7" s="4" t="s">
        <v>4643</v>
      </c>
      <c r="N7" s="6" t="n">
        <v>68139</v>
      </c>
      <c r="O7" s="6" t="n">
        <v>70410</v>
      </c>
      <c r="P7" s="4" t="s">
        <v>4621</v>
      </c>
      <c r="Q7" s="6" t="n">
        <v>470000</v>
      </c>
      <c r="R7" s="15" t="n">
        <v>38995</v>
      </c>
      <c r="S7" s="6"/>
      <c r="T7" s="15"/>
      <c r="U7" s="6"/>
      <c r="V7" s="15"/>
      <c r="W7" s="4" t="s">
        <v>58</v>
      </c>
      <c r="X7" s="4" t="s">
        <v>47</v>
      </c>
      <c r="Y7" s="4" t="s">
        <v>4644</v>
      </c>
      <c r="Z7" s="4" t="s">
        <v>910</v>
      </c>
      <c r="AA7" s="6" t="n">
        <v>0</v>
      </c>
      <c r="AB7" s="6" t="n">
        <v>10764.56</v>
      </c>
      <c r="AC7" s="6" t="n">
        <v>5634.48</v>
      </c>
      <c r="AD7" s="14" t="b">
        <f aca="false">TRUE()</f>
        <v>1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 t="n">
        <v>3</v>
      </c>
      <c r="D8" s="4" t="n">
        <v>3</v>
      </c>
      <c r="E8" s="4"/>
      <c r="F8" s="4"/>
      <c r="G8" s="4"/>
      <c r="H8" s="14" t="b">
        <f aca="false">TRUE()</f>
        <v>1</v>
      </c>
      <c r="I8" s="14" t="b">
        <f aca="false">FALSE()</f>
        <v>0</v>
      </c>
      <c r="J8" s="4"/>
      <c r="K8" s="4" t="s">
        <v>1323</v>
      </c>
      <c r="L8" s="4" t="s">
        <v>4645</v>
      </c>
      <c r="M8" s="4" t="s">
        <v>4646</v>
      </c>
      <c r="N8" s="6" t="n">
        <v>97423</v>
      </c>
      <c r="O8" s="6" t="n">
        <v>147698</v>
      </c>
      <c r="P8" s="4" t="s">
        <v>4621</v>
      </c>
      <c r="Q8" s="6"/>
      <c r="R8" s="15"/>
      <c r="S8" s="6"/>
      <c r="T8" s="15"/>
      <c r="U8" s="6"/>
      <c r="V8" s="15"/>
      <c r="W8" s="4" t="s">
        <v>47</v>
      </c>
      <c r="X8" s="4" t="s">
        <v>47</v>
      </c>
      <c r="Y8" s="4" t="s">
        <v>4647</v>
      </c>
      <c r="Z8" s="4" t="s">
        <v>910</v>
      </c>
      <c r="AA8" s="6" t="n">
        <v>0</v>
      </c>
      <c r="AB8" s="6" t="n">
        <v>19044.68</v>
      </c>
      <c r="AC8" s="6" t="n">
        <v>20340.2</v>
      </c>
      <c r="AD8" s="14" t="b">
        <f aca="false">FALSE()</f>
        <v>0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 t="n">
        <v>3</v>
      </c>
      <c r="D9" s="4" t="n">
        <v>3</v>
      </c>
      <c r="E9" s="4"/>
      <c r="F9" s="4" t="s">
        <v>4648</v>
      </c>
      <c r="G9" s="4" t="n">
        <v>3</v>
      </c>
      <c r="H9" s="14" t="b">
        <f aca="false">FALSE()</f>
        <v>0</v>
      </c>
      <c r="I9" s="14" t="b">
        <f aca="false">TRUE()</f>
        <v>1</v>
      </c>
      <c r="J9" s="4"/>
      <c r="K9" s="4" t="s">
        <v>4641</v>
      </c>
      <c r="L9" s="4" t="s">
        <v>4649</v>
      </c>
      <c r="M9" s="4" t="s">
        <v>4650</v>
      </c>
      <c r="N9" s="6" t="n">
        <v>28679</v>
      </c>
      <c r="O9" s="6" t="n">
        <v>99359</v>
      </c>
      <c r="P9" s="4" t="s">
        <v>4621</v>
      </c>
      <c r="Q9" s="6" t="n">
        <v>550000</v>
      </c>
      <c r="R9" s="15" t="n">
        <v>39437</v>
      </c>
      <c r="S9" s="6"/>
      <c r="T9" s="15"/>
      <c r="U9" s="6"/>
      <c r="V9" s="15"/>
      <c r="W9" s="4" t="s">
        <v>47</v>
      </c>
      <c r="X9" s="4" t="s">
        <v>47</v>
      </c>
      <c r="Y9" s="4" t="s">
        <v>4651</v>
      </c>
      <c r="Z9" s="4" t="s">
        <v>910</v>
      </c>
      <c r="AA9" s="6" t="n">
        <v>0</v>
      </c>
      <c r="AB9" s="6" t="n">
        <v>9947.92</v>
      </c>
      <c r="AC9" s="6" t="n">
        <v>5207.79</v>
      </c>
      <c r="AD9" s="14" t="b">
        <f aca="false">TRUE()</f>
        <v>1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 t="n">
        <v>3</v>
      </c>
      <c r="D10" s="4" t="n">
        <v>3</v>
      </c>
      <c r="E10" s="4"/>
      <c r="F10" s="4" t="s">
        <v>4652</v>
      </c>
      <c r="G10" s="4" t="n">
        <v>3</v>
      </c>
      <c r="H10" s="14" t="b">
        <f aca="false">FALSE()</f>
        <v>0</v>
      </c>
      <c r="I10" s="14" t="b">
        <f aca="false">FALSE()</f>
        <v>0</v>
      </c>
      <c r="J10" s="4"/>
      <c r="K10" s="4" t="s">
        <v>4653</v>
      </c>
      <c r="L10" s="4" t="s">
        <v>4654</v>
      </c>
      <c r="M10" s="4" t="s">
        <v>4655</v>
      </c>
      <c r="N10" s="6" t="n">
        <v>11063</v>
      </c>
      <c r="O10" s="6" t="n">
        <v>106691</v>
      </c>
      <c r="P10" s="4" t="s">
        <v>4621</v>
      </c>
      <c r="Q10" s="6" t="n">
        <v>200000</v>
      </c>
      <c r="R10" s="15" t="n">
        <v>42647</v>
      </c>
      <c r="S10" s="6" t="n">
        <v>149500</v>
      </c>
      <c r="T10" s="15" t="n">
        <v>42647</v>
      </c>
      <c r="U10" s="6"/>
      <c r="V10" s="15"/>
      <c r="W10" s="4" t="s">
        <v>58</v>
      </c>
      <c r="X10" s="4" t="s">
        <v>47</v>
      </c>
      <c r="Y10" s="4" t="s">
        <v>4656</v>
      </c>
      <c r="Z10" s="4" t="s">
        <v>2181</v>
      </c>
      <c r="AA10" s="6" t="n">
        <v>0</v>
      </c>
      <c r="AB10" s="6" t="n">
        <v>8899.98</v>
      </c>
      <c r="AC10" s="6" t="n">
        <v>9510.73</v>
      </c>
      <c r="AD10" s="14" t="b">
        <f aca="false">FALSE()</f>
        <v>0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 t="n">
        <v>4</v>
      </c>
      <c r="D11" s="4" t="n">
        <v>4</v>
      </c>
      <c r="E11" s="4"/>
      <c r="F11" s="4" t="s">
        <v>4657</v>
      </c>
      <c r="G11" s="4" t="n">
        <v>3</v>
      </c>
      <c r="H11" s="14" t="b">
        <f aca="false">FALSE()</f>
        <v>0</v>
      </c>
      <c r="I11" s="14" t="b">
        <f aca="false">FALSE()</f>
        <v>0</v>
      </c>
      <c r="J11" s="4"/>
      <c r="K11" s="4" t="s">
        <v>4658</v>
      </c>
      <c r="L11" s="4" t="s">
        <v>4659</v>
      </c>
      <c r="M11" s="4" t="s">
        <v>4660</v>
      </c>
      <c r="N11" s="6" t="n">
        <v>253469</v>
      </c>
      <c r="O11" s="6" t="n">
        <v>577359</v>
      </c>
      <c r="P11" s="4" t="s">
        <v>4621</v>
      </c>
      <c r="Q11" s="6" t="n">
        <v>2530000</v>
      </c>
      <c r="R11" s="15" t="n">
        <v>43413</v>
      </c>
      <c r="S11" s="6" t="n">
        <v>2640000</v>
      </c>
      <c r="T11" s="15" t="n">
        <v>43413</v>
      </c>
      <c r="U11" s="6"/>
      <c r="V11" s="15"/>
      <c r="W11" s="4" t="s">
        <v>58</v>
      </c>
      <c r="X11" s="4" t="s">
        <v>47</v>
      </c>
      <c r="Y11" s="4" t="s">
        <v>4661</v>
      </c>
      <c r="Z11" s="4" t="s">
        <v>910</v>
      </c>
      <c r="AA11" s="6" t="n">
        <v>0</v>
      </c>
      <c r="AB11" s="6" t="n">
        <v>65128.62</v>
      </c>
      <c r="AC11" s="6" t="n">
        <v>69534.8</v>
      </c>
      <c r="AD11" s="14" t="b">
        <f aca="false">FALSE()</f>
        <v>0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 t="n">
        <v>3</v>
      </c>
      <c r="D12" s="4" t="n">
        <v>3</v>
      </c>
      <c r="E12" s="4"/>
      <c r="F12" s="4" t="s">
        <v>4662</v>
      </c>
      <c r="G12" s="4" t="n">
        <v>4</v>
      </c>
      <c r="H12" s="14" t="b">
        <f aca="false">FALSE()</f>
        <v>0</v>
      </c>
      <c r="I12" s="14" t="b">
        <f aca="false">FALSE()</f>
        <v>0</v>
      </c>
      <c r="J12" s="4"/>
      <c r="K12" s="4" t="s">
        <v>4663</v>
      </c>
      <c r="L12" s="4" t="s">
        <v>4664</v>
      </c>
      <c r="M12" s="4" t="s">
        <v>4665</v>
      </c>
      <c r="N12" s="6" t="n">
        <v>7819</v>
      </c>
      <c r="O12" s="6" t="n">
        <v>70367</v>
      </c>
      <c r="P12" s="4" t="s">
        <v>4621</v>
      </c>
      <c r="Q12" s="6" t="n">
        <v>235000</v>
      </c>
      <c r="R12" s="15" t="n">
        <v>42284</v>
      </c>
      <c r="S12" s="6"/>
      <c r="T12" s="15"/>
      <c r="U12" s="6"/>
      <c r="V12" s="15"/>
      <c r="W12" s="4" t="s">
        <v>58</v>
      </c>
      <c r="X12" s="4" t="s">
        <v>47</v>
      </c>
      <c r="Y12" s="4" t="s">
        <v>4666</v>
      </c>
      <c r="Z12" s="4" t="s">
        <v>2715</v>
      </c>
      <c r="AA12" s="6" t="n">
        <v>0</v>
      </c>
      <c r="AB12" s="6" t="n">
        <v>6047.92</v>
      </c>
      <c r="AC12" s="6" t="n">
        <v>3170.04</v>
      </c>
      <c r="AD12" s="14" t="b">
        <f aca="false">TRUE()</f>
        <v>1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 t="n">
        <v>3</v>
      </c>
      <c r="D13" s="4" t="n">
        <v>3</v>
      </c>
      <c r="E13" s="4"/>
      <c r="F13" s="4" t="s">
        <v>4667</v>
      </c>
      <c r="G13" s="4" t="n">
        <v>4</v>
      </c>
      <c r="H13" s="14" t="b">
        <f aca="false">FALSE()</f>
        <v>0</v>
      </c>
      <c r="I13" s="14" t="b">
        <f aca="false">FALSE()</f>
        <v>0</v>
      </c>
      <c r="J13" s="4"/>
      <c r="K13" s="4" t="s">
        <v>4668</v>
      </c>
      <c r="L13" s="4" t="s">
        <v>4669</v>
      </c>
      <c r="M13" s="4" t="s">
        <v>4670</v>
      </c>
      <c r="N13" s="6" t="n">
        <v>214085</v>
      </c>
      <c r="O13" s="6" t="n">
        <v>227137</v>
      </c>
      <c r="P13" s="4" t="s">
        <v>4621</v>
      </c>
      <c r="Q13" s="6" t="n">
        <v>1670000</v>
      </c>
      <c r="R13" s="15" t="n">
        <v>44958</v>
      </c>
      <c r="S13" s="6"/>
      <c r="T13" s="15"/>
      <c r="U13" s="6"/>
      <c r="V13" s="15"/>
      <c r="W13" s="4" t="s">
        <v>58</v>
      </c>
      <c r="X13" s="4" t="s">
        <v>47</v>
      </c>
      <c r="Y13" s="4" t="s">
        <v>4671</v>
      </c>
      <c r="Z13" s="4" t="s">
        <v>2715</v>
      </c>
      <c r="AA13" s="6" t="n">
        <v>0</v>
      </c>
      <c r="AB13" s="6" t="n">
        <v>26176.36</v>
      </c>
      <c r="AC13" s="6" t="n">
        <v>27953.27</v>
      </c>
      <c r="AD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 t="n">
        <v>4</v>
      </c>
      <c r="D14" s="4" t="n">
        <v>4</v>
      </c>
      <c r="E14" s="4"/>
      <c r="F14" s="4" t="s">
        <v>4672</v>
      </c>
      <c r="G14" s="4" t="n">
        <v>3</v>
      </c>
      <c r="H14" s="14" t="b">
        <f aca="false">FALSE()</f>
        <v>0</v>
      </c>
      <c r="I14" s="14" t="b">
        <f aca="false">FALSE()</f>
        <v>0</v>
      </c>
      <c r="J14" s="4"/>
      <c r="K14" s="4" t="s">
        <v>4673</v>
      </c>
      <c r="L14" s="4" t="s">
        <v>4674</v>
      </c>
      <c r="M14" s="4" t="s">
        <v>4675</v>
      </c>
      <c r="N14" s="6" t="n">
        <v>788470</v>
      </c>
      <c r="O14" s="6" t="n">
        <v>899680</v>
      </c>
      <c r="P14" s="4" t="s">
        <v>4621</v>
      </c>
      <c r="Q14" s="6" t="n">
        <v>3045000</v>
      </c>
      <c r="R14" s="15" t="n">
        <v>42551</v>
      </c>
      <c r="S14" s="6"/>
      <c r="T14" s="15"/>
      <c r="U14" s="6"/>
      <c r="V14" s="15"/>
      <c r="W14" s="4" t="s">
        <v>58</v>
      </c>
      <c r="X14" s="4" t="s">
        <v>58</v>
      </c>
      <c r="Y14" s="4" t="s">
        <v>4676</v>
      </c>
      <c r="Z14" s="4" t="s">
        <v>2911</v>
      </c>
      <c r="AA14" s="6" t="n">
        <v>0</v>
      </c>
      <c r="AB14" s="6" t="n">
        <v>96783.34</v>
      </c>
      <c r="AC14" s="6" t="n">
        <v>50579.3</v>
      </c>
      <c r="AD14" s="14" t="b">
        <f aca="false">TRUE()</f>
        <v>1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 t="n">
        <v>3</v>
      </c>
      <c r="D15" s="4" t="n">
        <v>3</v>
      </c>
      <c r="E15" s="4"/>
      <c r="F15" s="4" t="s">
        <v>4677</v>
      </c>
      <c r="G15" s="4" t="n">
        <v>3</v>
      </c>
      <c r="H15" s="14" t="b">
        <f aca="false">FALSE()</f>
        <v>0</v>
      </c>
      <c r="I15" s="14" t="b">
        <f aca="false">FALSE()</f>
        <v>0</v>
      </c>
      <c r="J15" s="4"/>
      <c r="K15" s="4" t="s">
        <v>4678</v>
      </c>
      <c r="L15" s="4" t="s">
        <v>4679</v>
      </c>
      <c r="M15" s="4" t="s">
        <v>4680</v>
      </c>
      <c r="N15" s="6" t="n">
        <v>208880</v>
      </c>
      <c r="O15" s="6" t="n">
        <v>219486</v>
      </c>
      <c r="P15" s="4" t="s">
        <v>4621</v>
      </c>
      <c r="Q15" s="6" t="n">
        <v>2783000</v>
      </c>
      <c r="R15" s="15" t="n">
        <v>43474</v>
      </c>
      <c r="S15" s="6"/>
      <c r="T15" s="15"/>
      <c r="U15" s="6"/>
      <c r="V15" s="15"/>
      <c r="W15" s="4" t="s">
        <v>47</v>
      </c>
      <c r="X15" s="4" t="s">
        <v>47</v>
      </c>
      <c r="Y15" s="4" t="s">
        <v>4681</v>
      </c>
      <c r="Z15" s="4" t="s">
        <v>2108</v>
      </c>
      <c r="AA15" s="6" t="n">
        <v>0</v>
      </c>
      <c r="AB15" s="6" t="n">
        <v>26738.18</v>
      </c>
      <c r="AC15" s="6" t="n">
        <v>28553.01</v>
      </c>
      <c r="AD15" s="14" t="b">
        <f aca="false">FALSE()</f>
        <v>0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 t="n">
        <v>5</v>
      </c>
      <c r="D16" s="4" t="n">
        <v>5</v>
      </c>
      <c r="E16" s="4"/>
      <c r="F16" s="4" t="s">
        <v>4682</v>
      </c>
      <c r="G16" s="4" t="n">
        <v>3</v>
      </c>
      <c r="H16" s="14" t="b">
        <f aca="false">FALSE()</f>
        <v>0</v>
      </c>
      <c r="I16" s="14" t="b">
        <f aca="false">FALSE()</f>
        <v>0</v>
      </c>
      <c r="J16" s="4"/>
      <c r="K16" s="4" t="s">
        <v>4683</v>
      </c>
      <c r="L16" s="4" t="s">
        <v>4684</v>
      </c>
      <c r="M16" s="4" t="s">
        <v>4685</v>
      </c>
      <c r="N16" s="6" t="n">
        <v>628310</v>
      </c>
      <c r="O16" s="6" t="n">
        <v>1724338</v>
      </c>
      <c r="P16" s="4" t="s">
        <v>4621</v>
      </c>
      <c r="Q16" s="6" t="n">
        <v>10600000</v>
      </c>
      <c r="R16" s="15" t="n">
        <v>43636</v>
      </c>
      <c r="S16" s="6" t="n">
        <v>12000000</v>
      </c>
      <c r="T16" s="15" t="n">
        <v>43636</v>
      </c>
      <c r="U16" s="6"/>
      <c r="V16" s="15"/>
      <c r="W16" s="4" t="s">
        <v>58</v>
      </c>
      <c r="X16" s="4" t="s">
        <v>58</v>
      </c>
      <c r="Y16" s="4" t="s">
        <v>4686</v>
      </c>
      <c r="Z16" s="4" t="s">
        <v>2108</v>
      </c>
      <c r="AA16" s="6" t="n">
        <v>0</v>
      </c>
      <c r="AB16" s="6" t="n">
        <v>144283.2</v>
      </c>
      <c r="AC16" s="6" t="n">
        <v>154032.31</v>
      </c>
      <c r="AD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 t="n">
        <v>3</v>
      </c>
      <c r="D17" s="4" t="n">
        <v>3</v>
      </c>
      <c r="E17" s="4"/>
      <c r="F17" s="4" t="s">
        <v>4687</v>
      </c>
      <c r="G17" s="4" t="n">
        <v>4</v>
      </c>
      <c r="H17" s="14" t="b">
        <f aca="false">FALSE()</f>
        <v>0</v>
      </c>
      <c r="I17" s="14" t="b">
        <f aca="false">TRUE()</f>
        <v>1</v>
      </c>
      <c r="J17" s="4"/>
      <c r="K17" s="4" t="s">
        <v>4688</v>
      </c>
      <c r="L17" s="4" t="s">
        <v>4689</v>
      </c>
      <c r="M17" s="4" t="s">
        <v>4690</v>
      </c>
      <c r="N17" s="6" t="n">
        <v>52963</v>
      </c>
      <c r="O17" s="6" t="n">
        <v>370507</v>
      </c>
      <c r="P17" s="4" t="s">
        <v>4621</v>
      </c>
      <c r="Q17" s="6" t="n">
        <v>1300000</v>
      </c>
      <c r="R17" s="15" t="n">
        <v>41669</v>
      </c>
      <c r="S17" s="6" t="n">
        <v>2975000</v>
      </c>
      <c r="T17" s="15" t="n">
        <v>42248</v>
      </c>
      <c r="U17" s="6" t="n">
        <v>1512000</v>
      </c>
      <c r="V17" s="15" t="n">
        <v>43224</v>
      </c>
      <c r="W17" s="4" t="s">
        <v>58</v>
      </c>
      <c r="X17" s="4" t="s">
        <v>58</v>
      </c>
      <c r="Y17" s="4" t="s">
        <v>4691</v>
      </c>
      <c r="Z17" s="4" t="s">
        <v>2108</v>
      </c>
      <c r="AA17" s="6" t="n">
        <v>0</v>
      </c>
      <c r="AB17" s="6" t="n">
        <v>31547.26</v>
      </c>
      <c r="AC17" s="6" t="n">
        <v>33686.7</v>
      </c>
      <c r="AD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 t="n">
        <v>3</v>
      </c>
      <c r="D18" s="4" t="n">
        <v>3</v>
      </c>
      <c r="E18" s="4"/>
      <c r="F18" s="4" t="s">
        <v>4692</v>
      </c>
      <c r="G18" s="4" t="n">
        <v>4</v>
      </c>
      <c r="H18" s="14" t="b">
        <f aca="false">FALSE()</f>
        <v>0</v>
      </c>
      <c r="I18" s="14" t="b">
        <f aca="false">TRUE()</f>
        <v>1</v>
      </c>
      <c r="J18" s="4"/>
      <c r="K18" s="4" t="s">
        <v>4693</v>
      </c>
      <c r="L18" s="4" t="s">
        <v>4694</v>
      </c>
      <c r="M18" s="4" t="s">
        <v>4695</v>
      </c>
      <c r="N18" s="6" t="n">
        <v>123409</v>
      </c>
      <c r="O18" s="6" t="n">
        <v>141394</v>
      </c>
      <c r="P18" s="4" t="s">
        <v>4621</v>
      </c>
      <c r="Q18" s="6" t="n">
        <v>608500</v>
      </c>
      <c r="R18" s="15" t="n">
        <v>44862</v>
      </c>
      <c r="S18" s="6"/>
      <c r="T18" s="15"/>
      <c r="U18" s="6"/>
      <c r="V18" s="15"/>
      <c r="W18" s="4" t="s">
        <v>58</v>
      </c>
      <c r="X18" s="4" t="s">
        <v>47</v>
      </c>
      <c r="Y18" s="4" t="s">
        <v>4696</v>
      </c>
      <c r="Z18" s="4" t="s">
        <v>1641</v>
      </c>
      <c r="AA18" s="6" t="n">
        <v>0</v>
      </c>
      <c r="AB18" s="6" t="n">
        <v>20134.04</v>
      </c>
      <c r="AC18" s="6" t="n">
        <v>21503.09</v>
      </c>
      <c r="AD18" s="14" t="b">
        <f aca="false">FALSE()</f>
        <v>0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 t="n">
        <v>3</v>
      </c>
      <c r="D19" s="4" t="n">
        <v>3</v>
      </c>
      <c r="E19" s="4"/>
      <c r="F19" s="4"/>
      <c r="G19" s="4"/>
      <c r="H19" s="14" t="b">
        <f aca="false">TRUE()</f>
        <v>1</v>
      </c>
      <c r="I19" s="14" t="b">
        <f aca="false">FALSE()</f>
        <v>0</v>
      </c>
      <c r="J19" s="4"/>
      <c r="K19" s="4" t="s">
        <v>4697</v>
      </c>
      <c r="L19" s="4" t="s">
        <v>4698</v>
      </c>
      <c r="M19" s="4" t="s">
        <v>4699</v>
      </c>
      <c r="N19" s="6" t="n">
        <v>269890</v>
      </c>
      <c r="O19" s="6" t="n">
        <v>416180</v>
      </c>
      <c r="P19" s="4" t="s">
        <v>4621</v>
      </c>
      <c r="Q19" s="6" t="n">
        <v>2973333.33</v>
      </c>
      <c r="R19" s="15" t="n">
        <v>44893</v>
      </c>
      <c r="S19" s="6" t="n">
        <v>20000000</v>
      </c>
      <c r="T19" s="15" t="n">
        <v>44893</v>
      </c>
      <c r="U19" s="6"/>
      <c r="V19" s="15"/>
      <c r="W19" s="4" t="s">
        <v>47</v>
      </c>
      <c r="X19" s="4" t="s">
        <v>47</v>
      </c>
      <c r="Y19" s="4" t="s">
        <v>4700</v>
      </c>
      <c r="Z19" s="4" t="s">
        <v>2940</v>
      </c>
      <c r="AA19" s="6" t="n">
        <v>0</v>
      </c>
      <c r="AB19" s="6" t="n">
        <v>44589.76</v>
      </c>
      <c r="AC19" s="6" t="n">
        <v>47609.57</v>
      </c>
      <c r="AD19" s="14" t="b">
        <f aca="false">FALSE()</f>
        <v>0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 t="n">
        <v>3</v>
      </c>
      <c r="D20" s="4" t="n">
        <v>3</v>
      </c>
      <c r="E20" s="4"/>
      <c r="F20" s="4" t="s">
        <v>4657</v>
      </c>
      <c r="G20" s="4" t="n">
        <v>4</v>
      </c>
      <c r="H20" s="14" t="b">
        <f aca="false">FALSE()</f>
        <v>0</v>
      </c>
      <c r="I20" s="14" t="b">
        <f aca="false">FALSE()</f>
        <v>0</v>
      </c>
      <c r="J20" s="4"/>
      <c r="K20" s="4" t="s">
        <v>4701</v>
      </c>
      <c r="L20" s="4" t="s">
        <v>4702</v>
      </c>
      <c r="M20" s="4" t="s">
        <v>4703</v>
      </c>
      <c r="N20" s="6" t="n">
        <v>90733</v>
      </c>
      <c r="O20" s="6" t="n">
        <v>65758</v>
      </c>
      <c r="P20" s="4" t="s">
        <v>4621</v>
      </c>
      <c r="Q20" s="6" t="n">
        <v>300000</v>
      </c>
      <c r="R20" s="15" t="n">
        <v>43475</v>
      </c>
      <c r="S20" s="6" t="n">
        <v>412000</v>
      </c>
      <c r="T20" s="15" t="n">
        <v>43476</v>
      </c>
      <c r="U20" s="6"/>
      <c r="V20" s="15"/>
      <c r="W20" s="4" t="s">
        <v>47</v>
      </c>
      <c r="X20" s="4" t="s">
        <v>47</v>
      </c>
      <c r="Y20" s="4" t="s">
        <v>4704</v>
      </c>
      <c r="Z20" s="4" t="s">
        <v>2911</v>
      </c>
      <c r="AA20" s="6" t="n">
        <v>0</v>
      </c>
      <c r="AB20" s="6" t="n">
        <v>10035.14</v>
      </c>
      <c r="AC20" s="6" t="n">
        <v>10722.51</v>
      </c>
      <c r="AD20" s="14" t="b">
        <f aca="false">FALSE()</f>
        <v>0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 t="n">
        <v>3</v>
      </c>
      <c r="D21" s="4" t="n">
        <v>3</v>
      </c>
      <c r="E21" s="4"/>
      <c r="F21" s="4"/>
      <c r="G21" s="4"/>
      <c r="H21" s="14" t="b">
        <f aca="false">TRUE()</f>
        <v>1</v>
      </c>
      <c r="I21" s="14" t="b">
        <f aca="false">FALSE()</f>
        <v>0</v>
      </c>
      <c r="J21" s="4"/>
      <c r="K21" s="4" t="s">
        <v>4705</v>
      </c>
      <c r="L21" s="4" t="s">
        <v>4706</v>
      </c>
      <c r="M21" s="4" t="s">
        <v>4707</v>
      </c>
      <c r="N21" s="6" t="n">
        <v>200730</v>
      </c>
      <c r="O21" s="6" t="n">
        <v>163570</v>
      </c>
      <c r="P21" s="4" t="s">
        <v>4621</v>
      </c>
      <c r="Q21" s="6" t="n">
        <v>1200040</v>
      </c>
      <c r="R21" s="15" t="n">
        <v>45007</v>
      </c>
      <c r="S21" s="6"/>
      <c r="T21" s="15"/>
      <c r="U21" s="6"/>
      <c r="V21" s="15"/>
      <c r="W21" s="4" t="s">
        <v>58</v>
      </c>
      <c r="X21" s="4" t="s">
        <v>58</v>
      </c>
      <c r="Y21" s="4" t="s">
        <v>4708</v>
      </c>
      <c r="Z21" s="4" t="s">
        <v>2940</v>
      </c>
      <c r="AA21" s="6" t="n">
        <v>0</v>
      </c>
      <c r="AB21" s="6" t="n">
        <v>24518.86</v>
      </c>
      <c r="AC21" s="6" t="n">
        <v>26183.88</v>
      </c>
      <c r="AD21" s="14" t="b">
        <f aca="false">FALSE()</f>
        <v>0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 t="n">
        <v>3</v>
      </c>
      <c r="D22" s="4" t="n">
        <v>3</v>
      </c>
      <c r="E22" s="4"/>
      <c r="F22" s="4" t="s">
        <v>4709</v>
      </c>
      <c r="G22" s="4" t="n">
        <v>4</v>
      </c>
      <c r="H22" s="14" t="b">
        <f aca="false">FALSE()</f>
        <v>0</v>
      </c>
      <c r="I22" s="14" t="b">
        <f aca="false">FALSE()</f>
        <v>0</v>
      </c>
      <c r="J22" s="4"/>
      <c r="K22" s="4" t="s">
        <v>4710</v>
      </c>
      <c r="L22" s="4" t="s">
        <v>4711</v>
      </c>
      <c r="M22" s="4" t="s">
        <v>4712</v>
      </c>
      <c r="N22" s="6" t="n">
        <v>22224</v>
      </c>
      <c r="O22" s="6" t="n">
        <v>41173</v>
      </c>
      <c r="P22" s="4" t="s">
        <v>4621</v>
      </c>
      <c r="Q22" s="6" t="n">
        <v>185000</v>
      </c>
      <c r="R22" s="15" t="n">
        <v>45105</v>
      </c>
      <c r="S22" s="6"/>
      <c r="T22" s="15"/>
      <c r="U22" s="6"/>
      <c r="V22" s="15"/>
      <c r="W22" s="4" t="s">
        <v>58</v>
      </c>
      <c r="X22" s="4" t="s">
        <v>47</v>
      </c>
      <c r="Y22" s="4" t="s">
        <v>4713</v>
      </c>
      <c r="Z22" s="4" t="s">
        <v>2940</v>
      </c>
      <c r="AA22" s="6" t="n">
        <v>0</v>
      </c>
      <c r="AB22" s="6" t="n">
        <v>4266.86</v>
      </c>
      <c r="AC22" s="6" t="n">
        <v>4564.87</v>
      </c>
      <c r="AD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 t="n">
        <v>5</v>
      </c>
      <c r="D23" s="4" t="n">
        <v>5</v>
      </c>
      <c r="E23" s="4"/>
      <c r="F23" s="4" t="s">
        <v>4714</v>
      </c>
      <c r="G23" s="4" t="n">
        <v>5</v>
      </c>
      <c r="H23" s="14" t="b">
        <f aca="false">FALSE()</f>
        <v>0</v>
      </c>
      <c r="I23" s="14" t="b">
        <f aca="false">FALSE()</f>
        <v>0</v>
      </c>
      <c r="J23" s="4"/>
      <c r="K23" s="4" t="s">
        <v>4715</v>
      </c>
      <c r="L23" s="4" t="s">
        <v>4716</v>
      </c>
      <c r="M23" s="4" t="s">
        <v>4717</v>
      </c>
      <c r="N23" s="6" t="n">
        <v>801980</v>
      </c>
      <c r="O23" s="6" t="n">
        <v>2622060</v>
      </c>
      <c r="P23" s="4" t="s">
        <v>4621</v>
      </c>
      <c r="Q23" s="6" t="n">
        <v>4080000</v>
      </c>
      <c r="R23" s="15" t="n">
        <v>41558</v>
      </c>
      <c r="S23" s="6" t="n">
        <v>8250000</v>
      </c>
      <c r="T23" s="15" t="n">
        <v>42738</v>
      </c>
      <c r="U23" s="6" t="n">
        <v>1270000</v>
      </c>
      <c r="V23" s="15" t="n">
        <v>43770</v>
      </c>
      <c r="W23" s="4" t="s">
        <v>58</v>
      </c>
      <c r="X23" s="4" t="s">
        <v>58</v>
      </c>
      <c r="Y23" s="4" t="s">
        <v>4718</v>
      </c>
      <c r="Z23" s="4" t="s">
        <v>4120</v>
      </c>
      <c r="AA23" s="6" t="n">
        <v>0</v>
      </c>
      <c r="AB23" s="6" t="n">
        <v>163857.44</v>
      </c>
      <c r="AC23" s="6" t="n">
        <v>174927.81</v>
      </c>
      <c r="AD23" s="14" t="b">
        <f aca="false">FALSE()</f>
        <v>0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 t="n">
        <v>3</v>
      </c>
      <c r="D24" s="4" t="n">
        <v>3</v>
      </c>
      <c r="E24" s="4"/>
      <c r="F24" s="4"/>
      <c r="G24" s="4"/>
      <c r="H24" s="14" t="b">
        <f aca="false">TRUE()</f>
        <v>1</v>
      </c>
      <c r="I24" s="14" t="b">
        <f aca="false">FALSE()</f>
        <v>0</v>
      </c>
      <c r="J24" s="4"/>
      <c r="K24" s="4" t="s">
        <v>4719</v>
      </c>
      <c r="L24" s="4" t="s">
        <v>4720</v>
      </c>
      <c r="M24" s="4" t="s">
        <v>4721</v>
      </c>
      <c r="N24" s="6" t="n">
        <v>144503</v>
      </c>
      <c r="O24" s="6" t="n">
        <v>203255</v>
      </c>
      <c r="P24" s="4" t="s">
        <v>4621</v>
      </c>
      <c r="Q24" s="6"/>
      <c r="R24" s="15"/>
      <c r="S24" s="6"/>
      <c r="T24" s="15"/>
      <c r="U24" s="6"/>
      <c r="V24" s="15"/>
      <c r="W24" s="4"/>
      <c r="X24" s="4"/>
      <c r="Y24" s="4" t="s">
        <v>4722</v>
      </c>
      <c r="Z24" s="4" t="s">
        <v>3588</v>
      </c>
      <c r="AA24" s="6" t="n">
        <v>0</v>
      </c>
      <c r="AB24" s="6" t="n">
        <v>23103.68</v>
      </c>
      <c r="AC24" s="6" t="n">
        <v>12081.67</v>
      </c>
      <c r="AD24" s="14" t="b">
        <f aca="false">TRUE()</f>
        <v>1</v>
      </c>
    </row>
    <row r="26" customFormat="false" ht="15" hidden="false" customHeight="false" outlineLevel="0" collapsed="false">
      <c r="AB26" s="10" t="s">
        <v>4616</v>
      </c>
      <c r="AC26" s="12" t="n">
        <f aca="false">SUM(AC2:AC24)</f>
        <v>1053093.8</v>
      </c>
    </row>
  </sheetData>
  <autoFilter ref="A1:AD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1" topLeftCell="L2" activePane="bottomRight" state="frozen"/>
      <selection pane="topLeft" activeCell="A1" activeCellId="0" sqref="A1"/>
      <selection pane="topRight" activeCell="L1" activeCellId="0" sqref="L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3"/>
    <col collapsed="false" customWidth="true" hidden="false" outlineLevel="0" max="6" min="6" style="0" width="22"/>
    <col collapsed="false" customWidth="true" hidden="false" outlineLevel="0" max="10" min="7" style="0" width="13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5" min="13" style="0" width="13"/>
    <col collapsed="false" customWidth="true" hidden="false" outlineLevel="0" max="16" min="16" style="0" width="26"/>
    <col collapsed="false" customWidth="true" hidden="false" outlineLevel="0" max="24" min="17" style="0" width="13"/>
    <col collapsed="false" customWidth="true" hidden="false" outlineLevel="0" max="25" min="25" style="0" width="26"/>
    <col collapsed="false" customWidth="true" hidden="false" outlineLevel="0" max="26" min="26" style="0" width="18"/>
    <col collapsed="false" customWidth="true" hidden="false" outlineLevel="0" max="30" min="27" style="0" width="13"/>
  </cols>
  <sheetData>
    <row r="1" customFormat="false" ht="30" hidden="false" customHeight="true" outlineLevel="0" collapsed="false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3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 t="n">
        <v>3</v>
      </c>
      <c r="D2" s="4"/>
      <c r="E2" s="4"/>
      <c r="F2" s="4"/>
      <c r="G2" s="4"/>
      <c r="H2" s="14" t="b">
        <f aca="false">FALSE()</f>
        <v>0</v>
      </c>
      <c r="I2" s="14" t="b">
        <f aca="false">FALSE()</f>
        <v>0</v>
      </c>
      <c r="J2" s="4"/>
      <c r="K2" s="4" t="s">
        <v>4723</v>
      </c>
      <c r="L2" s="4" t="s">
        <v>4724</v>
      </c>
      <c r="M2" s="4" t="s">
        <v>4725</v>
      </c>
      <c r="N2" s="6" t="n">
        <v>33518</v>
      </c>
      <c r="O2" s="6" t="n">
        <v>81804</v>
      </c>
      <c r="P2" s="4" t="s">
        <v>46</v>
      </c>
      <c r="Q2" s="6" t="n">
        <v>346000</v>
      </c>
      <c r="R2" s="15" t="n">
        <v>45322</v>
      </c>
      <c r="S2" s="6" t="n">
        <v>356500</v>
      </c>
      <c r="T2" s="15" t="n">
        <v>45600</v>
      </c>
      <c r="U2" s="6"/>
      <c r="V2" s="15"/>
      <c r="W2" s="4" t="s">
        <v>47</v>
      </c>
      <c r="X2" s="4" t="s">
        <v>47</v>
      </c>
      <c r="Y2" s="4" t="s">
        <v>4726</v>
      </c>
      <c r="Z2" s="4" t="s">
        <v>54</v>
      </c>
      <c r="AA2" s="6" t="n">
        <v>0</v>
      </c>
      <c r="AB2" s="6" t="n">
        <v>142.96</v>
      </c>
      <c r="AC2" s="6" t="n">
        <v>162.61</v>
      </c>
      <c r="AD2" s="14" t="b">
        <f aca="false">FALSE()</f>
        <v>0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 t="n">
        <v>2</v>
      </c>
      <c r="D3" s="4"/>
      <c r="E3" s="4"/>
      <c r="F3" s="4"/>
      <c r="G3" s="4"/>
      <c r="H3" s="14" t="b">
        <f aca="false">FALSE()</f>
        <v>0</v>
      </c>
      <c r="I3" s="14" t="b">
        <f aca="false">FALSE()</f>
        <v>0</v>
      </c>
      <c r="J3" s="4"/>
      <c r="K3" s="4" t="s">
        <v>4727</v>
      </c>
      <c r="L3" s="4" t="s">
        <v>4728</v>
      </c>
      <c r="M3" s="4" t="s">
        <v>4729</v>
      </c>
      <c r="N3" s="6" t="n">
        <v>6780</v>
      </c>
      <c r="O3" s="6" t="n">
        <v>31362</v>
      </c>
      <c r="P3" s="4" t="s">
        <v>46</v>
      </c>
      <c r="Q3" s="6"/>
      <c r="R3" s="15" t="n">
        <v>40214</v>
      </c>
      <c r="S3" s="6"/>
      <c r="T3" s="15"/>
      <c r="U3" s="6"/>
      <c r="V3" s="15"/>
      <c r="W3" s="4" t="s">
        <v>47</v>
      </c>
      <c r="X3" s="4" t="s">
        <v>58</v>
      </c>
      <c r="Y3" s="4" t="s">
        <v>4730</v>
      </c>
      <c r="Z3" s="4" t="s">
        <v>317</v>
      </c>
      <c r="AA3" s="6" t="n">
        <v>0</v>
      </c>
      <c r="AB3" s="6" t="n">
        <v>2265.08</v>
      </c>
      <c r="AC3" s="6" t="n">
        <v>2427.97</v>
      </c>
      <c r="AD3" s="14" t="b">
        <f aca="false">FALSE()</f>
        <v>0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 t="n">
        <v>2</v>
      </c>
      <c r="D4" s="4"/>
      <c r="E4" s="4"/>
      <c r="F4" s="4"/>
      <c r="G4" s="4"/>
      <c r="H4" s="14" t="b">
        <f aca="false">FALSE()</f>
        <v>0</v>
      </c>
      <c r="I4" s="14" t="b">
        <f aca="false">FALSE()</f>
        <v>0</v>
      </c>
      <c r="J4" s="4"/>
      <c r="K4" s="4" t="s">
        <v>4731</v>
      </c>
      <c r="L4" s="4" t="s">
        <v>4732</v>
      </c>
      <c r="M4" s="4" t="s">
        <v>4733</v>
      </c>
      <c r="N4" s="6" t="n">
        <v>5369</v>
      </c>
      <c r="O4" s="6" t="n">
        <v>36031</v>
      </c>
      <c r="P4" s="4" t="s">
        <v>46</v>
      </c>
      <c r="Q4" s="6" t="n">
        <v>130000</v>
      </c>
      <c r="R4" s="15" t="n">
        <v>45526</v>
      </c>
      <c r="S4" s="6"/>
      <c r="T4" s="15"/>
      <c r="U4" s="6"/>
      <c r="V4" s="15"/>
      <c r="W4" s="4" t="s">
        <v>47</v>
      </c>
      <c r="X4" s="4" t="s">
        <v>47</v>
      </c>
      <c r="Y4" s="4" t="s">
        <v>4734</v>
      </c>
      <c r="Z4" s="4" t="s">
        <v>632</v>
      </c>
      <c r="AA4" s="6" t="n">
        <v>0</v>
      </c>
      <c r="AB4" s="6" t="n">
        <v>2339.48</v>
      </c>
      <c r="AC4" s="6" t="n">
        <v>2507.4</v>
      </c>
      <c r="AD4" s="14" t="b">
        <f aca="false">FALSE()</f>
        <v>0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 t="n">
        <v>2</v>
      </c>
      <c r="D5" s="4"/>
      <c r="E5" s="4"/>
      <c r="F5" s="4"/>
      <c r="G5" s="4"/>
      <c r="H5" s="14" t="b">
        <f aca="false">FALSE()</f>
        <v>0</v>
      </c>
      <c r="I5" s="14" t="b">
        <f aca="false">FALSE()</f>
        <v>0</v>
      </c>
      <c r="J5" s="4"/>
      <c r="K5" s="4" t="s">
        <v>4735</v>
      </c>
      <c r="L5" s="4" t="s">
        <v>4736</v>
      </c>
      <c r="M5" s="4" t="s">
        <v>4737</v>
      </c>
      <c r="N5" s="6" t="n">
        <v>5369</v>
      </c>
      <c r="O5" s="6" t="n">
        <v>39104</v>
      </c>
      <c r="P5" s="4" t="s">
        <v>46</v>
      </c>
      <c r="Q5" s="6" t="n">
        <v>129000</v>
      </c>
      <c r="R5" s="15" t="n">
        <v>38162</v>
      </c>
      <c r="S5" s="6"/>
      <c r="T5" s="15"/>
      <c r="U5" s="6"/>
      <c r="V5" s="15"/>
      <c r="W5" s="4" t="s">
        <v>47</v>
      </c>
      <c r="X5" s="4" t="s">
        <v>47</v>
      </c>
      <c r="Y5" s="4" t="s">
        <v>4738</v>
      </c>
      <c r="Z5" s="4" t="s">
        <v>632</v>
      </c>
      <c r="AA5" s="6" t="n">
        <v>0</v>
      </c>
      <c r="AB5" s="6" t="n">
        <v>2622.52</v>
      </c>
      <c r="AC5" s="6" t="n">
        <v>2809.54</v>
      </c>
      <c r="AD5" s="14" t="b">
        <f aca="false">FALSE()</f>
        <v>0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 t="n">
        <v>2</v>
      </c>
      <c r="D6" s="4"/>
      <c r="E6" s="4"/>
      <c r="F6" s="4"/>
      <c r="G6" s="4"/>
      <c r="H6" s="14" t="b">
        <f aca="false">FALSE()</f>
        <v>0</v>
      </c>
      <c r="I6" s="14" t="b">
        <f aca="false">FALSE()</f>
        <v>0</v>
      </c>
      <c r="J6" s="4"/>
      <c r="K6" s="4" t="s">
        <v>4739</v>
      </c>
      <c r="L6" s="4" t="s">
        <v>4740</v>
      </c>
      <c r="M6" s="4" t="s">
        <v>4741</v>
      </c>
      <c r="N6" s="6" t="n">
        <v>5861</v>
      </c>
      <c r="O6" s="6" t="n">
        <v>26299</v>
      </c>
      <c r="P6" s="4" t="s">
        <v>46</v>
      </c>
      <c r="Q6" s="6"/>
      <c r="R6" s="15" t="n">
        <v>36985</v>
      </c>
      <c r="S6" s="6"/>
      <c r="T6" s="15"/>
      <c r="U6" s="6"/>
      <c r="V6" s="15"/>
      <c r="W6" s="4" t="s">
        <v>47</v>
      </c>
      <c r="X6" s="4" t="s">
        <v>47</v>
      </c>
      <c r="Y6" s="4" t="s">
        <v>4742</v>
      </c>
      <c r="Z6" s="4" t="s">
        <v>518</v>
      </c>
      <c r="AA6" s="6" t="n">
        <v>0</v>
      </c>
      <c r="AB6" s="6" t="n">
        <v>2168.7</v>
      </c>
      <c r="AC6" s="6" t="n">
        <v>2325.09</v>
      </c>
      <c r="AD6" s="14" t="b">
        <f aca="false">FALSE()</f>
        <v>0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 t="n">
        <v>2</v>
      </c>
      <c r="D7" s="4"/>
      <c r="E7" s="4"/>
      <c r="F7" s="4"/>
      <c r="G7" s="4"/>
      <c r="H7" s="14" t="b">
        <f aca="false">FALSE()</f>
        <v>0</v>
      </c>
      <c r="I7" s="14" t="b">
        <f aca="false">FALSE()</f>
        <v>0</v>
      </c>
      <c r="J7" s="4"/>
      <c r="K7" s="4" t="s">
        <v>4743</v>
      </c>
      <c r="L7" s="4" t="s">
        <v>4744</v>
      </c>
      <c r="M7" s="4" t="s">
        <v>4745</v>
      </c>
      <c r="N7" s="6" t="n">
        <v>5861</v>
      </c>
      <c r="O7" s="6" t="n">
        <v>29021</v>
      </c>
      <c r="P7" s="4" t="s">
        <v>46</v>
      </c>
      <c r="Q7" s="6"/>
      <c r="R7" s="15" t="n">
        <v>36985</v>
      </c>
      <c r="S7" s="6"/>
      <c r="T7" s="15"/>
      <c r="U7" s="6"/>
      <c r="V7" s="15"/>
      <c r="W7" s="4" t="s">
        <v>47</v>
      </c>
      <c r="X7" s="4" t="s">
        <v>47</v>
      </c>
      <c r="Y7" s="4" t="s">
        <v>4746</v>
      </c>
      <c r="Z7" s="4" t="s">
        <v>518</v>
      </c>
      <c r="AA7" s="6" t="n">
        <v>0</v>
      </c>
      <c r="AB7" s="6" t="n">
        <v>2413.04</v>
      </c>
      <c r="AC7" s="6" t="n">
        <v>2585.92</v>
      </c>
      <c r="AD7" s="14" t="b">
        <f aca="false">FALSE()</f>
        <v>0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 t="n">
        <v>3</v>
      </c>
      <c r="D8" s="4"/>
      <c r="E8" s="4"/>
      <c r="F8" s="4"/>
      <c r="G8" s="4"/>
      <c r="H8" s="14" t="b">
        <f aca="false">FALSE()</f>
        <v>0</v>
      </c>
      <c r="I8" s="14" t="b">
        <f aca="false">FALSE()</f>
        <v>0</v>
      </c>
      <c r="J8" s="4"/>
      <c r="K8" s="4" t="s">
        <v>4747</v>
      </c>
      <c r="L8" s="4" t="s">
        <v>4748</v>
      </c>
      <c r="M8" s="4" t="s">
        <v>4749</v>
      </c>
      <c r="N8" s="6" t="n">
        <v>5500</v>
      </c>
      <c r="O8" s="6" t="n">
        <v>35134</v>
      </c>
      <c r="P8" s="4" t="s">
        <v>46</v>
      </c>
      <c r="Q8" s="6" t="n">
        <v>21000</v>
      </c>
      <c r="R8" s="15" t="n">
        <v>41002</v>
      </c>
      <c r="S8" s="6" t="n">
        <v>6000</v>
      </c>
      <c r="T8" s="15" t="n">
        <v>41002</v>
      </c>
      <c r="U8" s="6"/>
      <c r="V8" s="15"/>
      <c r="W8" s="4" t="s">
        <v>47</v>
      </c>
      <c r="X8" s="4" t="s">
        <v>58</v>
      </c>
      <c r="Y8" s="4" t="s">
        <v>4750</v>
      </c>
      <c r="Z8" s="4" t="s">
        <v>697</v>
      </c>
      <c r="AA8" s="6" t="n">
        <v>0</v>
      </c>
      <c r="AB8" s="6" t="n">
        <v>1727.18</v>
      </c>
      <c r="AC8" s="6" t="n">
        <v>1853.76</v>
      </c>
      <c r="AD8" s="14" t="b">
        <f aca="false">FALSE()</f>
        <v>0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 t="n">
        <v>3</v>
      </c>
      <c r="D9" s="4"/>
      <c r="E9" s="4"/>
      <c r="F9" s="4"/>
      <c r="G9" s="4"/>
      <c r="H9" s="14" t="b">
        <f aca="false">FALSE()</f>
        <v>0</v>
      </c>
      <c r="I9" s="14" t="b">
        <f aca="false">FALSE()</f>
        <v>0</v>
      </c>
      <c r="J9" s="4"/>
      <c r="K9" s="4" t="s">
        <v>4751</v>
      </c>
      <c r="L9" s="4" t="s">
        <v>4752</v>
      </c>
      <c r="M9" s="4" t="s">
        <v>4753</v>
      </c>
      <c r="N9" s="6" t="n">
        <v>9492</v>
      </c>
      <c r="O9" s="6" t="n">
        <v>28475</v>
      </c>
      <c r="P9" s="4" t="s">
        <v>46</v>
      </c>
      <c r="Q9" s="6" t="n">
        <v>186000</v>
      </c>
      <c r="R9" s="15" t="n">
        <v>45768</v>
      </c>
      <c r="S9" s="6" t="n">
        <v>139500</v>
      </c>
      <c r="T9" s="15" t="n">
        <v>45768</v>
      </c>
      <c r="U9" s="6"/>
      <c r="V9" s="15"/>
      <c r="W9" s="4" t="s">
        <v>47</v>
      </c>
      <c r="X9" s="4" t="s">
        <v>47</v>
      </c>
      <c r="Y9" s="4" t="s">
        <v>4754</v>
      </c>
      <c r="Z9" s="4" t="s">
        <v>186</v>
      </c>
      <c r="AA9" s="6" t="n">
        <v>0</v>
      </c>
      <c r="AB9" s="6" t="n">
        <v>2570.88</v>
      </c>
      <c r="AC9" s="6" t="n">
        <v>2754.41</v>
      </c>
      <c r="AD9" s="14" t="b">
        <f aca="false">FALSE()</f>
        <v>0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 t="n">
        <v>3</v>
      </c>
      <c r="D10" s="4"/>
      <c r="E10" s="4"/>
      <c r="F10" s="4"/>
      <c r="G10" s="4"/>
      <c r="H10" s="14" t="b">
        <f aca="false">FALSE()</f>
        <v>0</v>
      </c>
      <c r="I10" s="14" t="b">
        <f aca="false">FALSE()</f>
        <v>0</v>
      </c>
      <c r="J10" s="4"/>
      <c r="K10" s="4" t="s">
        <v>4755</v>
      </c>
      <c r="L10" s="4" t="s">
        <v>4756</v>
      </c>
      <c r="M10" s="4" t="s">
        <v>4757</v>
      </c>
      <c r="N10" s="6" t="n">
        <v>9492</v>
      </c>
      <c r="O10" s="6" t="n">
        <v>13249</v>
      </c>
      <c r="P10" s="4" t="s">
        <v>46</v>
      </c>
      <c r="Q10" s="6" t="n">
        <v>172000</v>
      </c>
      <c r="R10" s="15" t="n">
        <v>45754</v>
      </c>
      <c r="S10" s="6" t="n">
        <v>154800</v>
      </c>
      <c r="T10" s="15" t="n">
        <v>45754</v>
      </c>
      <c r="U10" s="6"/>
      <c r="V10" s="15"/>
      <c r="W10" s="4" t="s">
        <v>47</v>
      </c>
      <c r="X10" s="4" t="s">
        <v>47</v>
      </c>
      <c r="Y10" s="4" t="s">
        <v>4758</v>
      </c>
      <c r="Z10" s="4" t="s">
        <v>186</v>
      </c>
      <c r="AA10" s="6" t="n">
        <v>0</v>
      </c>
      <c r="AB10" s="6" t="n">
        <v>1264.64</v>
      </c>
      <c r="AC10" s="6" t="n">
        <v>1360</v>
      </c>
      <c r="AD10" s="14" t="b">
        <f aca="false">FALSE()</f>
        <v>0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 t="n">
        <v>3</v>
      </c>
      <c r="D11" s="4"/>
      <c r="E11" s="4"/>
      <c r="F11" s="4"/>
      <c r="G11" s="4"/>
      <c r="H11" s="14" t="b">
        <f aca="false">FALSE()</f>
        <v>0</v>
      </c>
      <c r="I11" s="14" t="b">
        <f aca="false">FALSE()</f>
        <v>0</v>
      </c>
      <c r="J11" s="4"/>
      <c r="K11" s="4" t="s">
        <v>4759</v>
      </c>
      <c r="L11" s="4" t="s">
        <v>4760</v>
      </c>
      <c r="M11" s="4" t="s">
        <v>4761</v>
      </c>
      <c r="N11" s="6" t="n">
        <v>8562</v>
      </c>
      <c r="O11" s="6" t="n">
        <v>34467</v>
      </c>
      <c r="P11" s="4" t="s">
        <v>46</v>
      </c>
      <c r="Q11" s="6" t="n">
        <v>181000</v>
      </c>
      <c r="R11" s="15" t="n">
        <v>45414</v>
      </c>
      <c r="S11" s="6" t="n">
        <v>183750</v>
      </c>
      <c r="T11" s="15" t="n">
        <v>45700</v>
      </c>
      <c r="U11" s="6"/>
      <c r="V11" s="15"/>
      <c r="W11" s="4" t="s">
        <v>47</v>
      </c>
      <c r="X11" s="4" t="s">
        <v>47</v>
      </c>
      <c r="Y11" s="4" t="s">
        <v>4762</v>
      </c>
      <c r="Z11" s="4" t="s">
        <v>186</v>
      </c>
      <c r="AA11" s="6" t="n">
        <v>0</v>
      </c>
      <c r="AB11" s="6" t="n">
        <v>534.04</v>
      </c>
      <c r="AC11" s="6" t="n">
        <v>580.09</v>
      </c>
      <c r="AD11" s="14" t="b">
        <f aca="false">FALSE()</f>
        <v>0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 t="n">
        <v>3</v>
      </c>
      <c r="D12" s="4"/>
      <c r="E12" s="4"/>
      <c r="F12" s="4"/>
      <c r="G12" s="4"/>
      <c r="H12" s="14" t="b">
        <f aca="false">FALSE()</f>
        <v>0</v>
      </c>
      <c r="I12" s="14" t="b">
        <f aca="false">FALSE()</f>
        <v>0</v>
      </c>
      <c r="J12" s="4"/>
      <c r="K12" s="4" t="s">
        <v>4763</v>
      </c>
      <c r="L12" s="4" t="s">
        <v>4764</v>
      </c>
      <c r="M12" s="4" t="s">
        <v>4765</v>
      </c>
      <c r="N12" s="6" t="n">
        <v>12105</v>
      </c>
      <c r="O12" s="6" t="n">
        <v>26000</v>
      </c>
      <c r="P12" s="4" t="s">
        <v>46</v>
      </c>
      <c r="Q12" s="6" t="n">
        <v>335000</v>
      </c>
      <c r="R12" s="15" t="n">
        <v>45562</v>
      </c>
      <c r="S12" s="6" t="n">
        <v>288000</v>
      </c>
      <c r="T12" s="15" t="n">
        <v>45562</v>
      </c>
      <c r="U12" s="6"/>
      <c r="V12" s="15"/>
      <c r="W12" s="4" t="s">
        <v>47</v>
      </c>
      <c r="X12" s="4" t="s">
        <v>47</v>
      </c>
      <c r="Y12" s="4" t="s">
        <v>4766</v>
      </c>
      <c r="Z12" s="4" t="s">
        <v>632</v>
      </c>
      <c r="AA12" s="6" t="n">
        <v>0</v>
      </c>
      <c r="AB12" s="6" t="n">
        <v>2022.42</v>
      </c>
      <c r="AC12" s="6" t="n">
        <v>2168.93</v>
      </c>
      <c r="AD12" s="14" t="b">
        <f aca="false">FALSE()</f>
        <v>0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 t="n">
        <v>2</v>
      </c>
      <c r="D13" s="4"/>
      <c r="E13" s="4"/>
      <c r="F13" s="4"/>
      <c r="G13" s="4"/>
      <c r="H13" s="14" t="b">
        <f aca="false">FALSE()</f>
        <v>0</v>
      </c>
      <c r="I13" s="14" t="b">
        <f aca="false">FALSE()</f>
        <v>0</v>
      </c>
      <c r="J13" s="4"/>
      <c r="K13" s="4" t="s">
        <v>4767</v>
      </c>
      <c r="L13" s="4" t="s">
        <v>4768</v>
      </c>
      <c r="M13" s="4" t="s">
        <v>4769</v>
      </c>
      <c r="N13" s="6" t="n">
        <v>41141</v>
      </c>
      <c r="O13" s="6" t="n">
        <v>59383</v>
      </c>
      <c r="P13" s="4" t="s">
        <v>46</v>
      </c>
      <c r="Q13" s="6"/>
      <c r="R13" s="15"/>
      <c r="S13" s="6"/>
      <c r="T13" s="15"/>
      <c r="U13" s="6"/>
      <c r="V13" s="15"/>
      <c r="W13" s="4" t="s">
        <v>47</v>
      </c>
      <c r="X13" s="4" t="s">
        <v>47</v>
      </c>
      <c r="Y13" s="4" t="s">
        <v>4770</v>
      </c>
      <c r="Z13" s="4" t="s">
        <v>697</v>
      </c>
      <c r="AA13" s="6" t="n">
        <v>0</v>
      </c>
      <c r="AB13" s="6" t="n">
        <v>1700.7</v>
      </c>
      <c r="AC13" s="6" t="n">
        <v>1825.5</v>
      </c>
      <c r="AD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 t="n">
        <v>2</v>
      </c>
      <c r="D14" s="4"/>
      <c r="E14" s="4"/>
      <c r="F14" s="4"/>
      <c r="G14" s="4" t="n">
        <v>2</v>
      </c>
      <c r="H14" s="14" t="b">
        <f aca="false">FALSE()</f>
        <v>0</v>
      </c>
      <c r="I14" s="14" t="b">
        <f aca="false">FALSE()</f>
        <v>0</v>
      </c>
      <c r="J14" s="4"/>
      <c r="K14" s="4" t="s">
        <v>4771</v>
      </c>
      <c r="L14" s="4" t="s">
        <v>4772</v>
      </c>
      <c r="M14" s="4" t="s">
        <v>4773</v>
      </c>
      <c r="N14" s="6" t="n">
        <v>5265</v>
      </c>
      <c r="O14" s="6" t="n">
        <v>33602</v>
      </c>
      <c r="P14" s="4" t="s">
        <v>46</v>
      </c>
      <c r="Q14" s="6" t="n">
        <v>85000</v>
      </c>
      <c r="R14" s="15" t="n">
        <v>44482</v>
      </c>
      <c r="S14" s="6"/>
      <c r="T14" s="15"/>
      <c r="U14" s="6"/>
      <c r="V14" s="15"/>
      <c r="W14" s="4" t="s">
        <v>47</v>
      </c>
      <c r="X14" s="4" t="s">
        <v>58</v>
      </c>
      <c r="Y14" s="4" t="s">
        <v>4774</v>
      </c>
      <c r="Z14" s="4" t="s">
        <v>987</v>
      </c>
      <c r="AA14" s="6" t="n">
        <v>0</v>
      </c>
      <c r="AB14" s="6" t="n">
        <v>2683.82</v>
      </c>
      <c r="AC14" s="6" t="n">
        <v>2874.98</v>
      </c>
      <c r="AD14" s="14" t="b">
        <f aca="false">FALSE()</f>
        <v>0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 t="n">
        <v>2</v>
      </c>
      <c r="D15" s="4"/>
      <c r="E15" s="4"/>
      <c r="F15" s="4"/>
      <c r="G15" s="4"/>
      <c r="H15" s="14" t="b">
        <f aca="false">FALSE()</f>
        <v>0</v>
      </c>
      <c r="I15" s="14" t="b">
        <f aca="false">FALSE()</f>
        <v>0</v>
      </c>
      <c r="J15" s="4"/>
      <c r="K15" s="4" t="s">
        <v>4775</v>
      </c>
      <c r="L15" s="4" t="s">
        <v>4776</v>
      </c>
      <c r="M15" s="4" t="s">
        <v>4777</v>
      </c>
      <c r="N15" s="6" t="n">
        <v>5994</v>
      </c>
      <c r="O15" s="6" t="n">
        <v>23953</v>
      </c>
      <c r="P15" s="4" t="s">
        <v>46</v>
      </c>
      <c r="Q15" s="6" t="n">
        <v>139000</v>
      </c>
      <c r="R15" s="15" t="n">
        <v>45768</v>
      </c>
      <c r="S15" s="6"/>
      <c r="T15" s="15"/>
      <c r="U15" s="6"/>
      <c r="V15" s="15"/>
      <c r="W15" s="4" t="s">
        <v>47</v>
      </c>
      <c r="X15" s="4" t="s">
        <v>47</v>
      </c>
      <c r="Y15" s="4" t="s">
        <v>4778</v>
      </c>
      <c r="Z15" s="4" t="s">
        <v>987</v>
      </c>
      <c r="AA15" s="6" t="n">
        <v>0</v>
      </c>
      <c r="AB15" s="6" t="n">
        <v>2183.92</v>
      </c>
      <c r="AC15" s="6" t="n">
        <v>2341.34</v>
      </c>
      <c r="AD15" s="14" t="b">
        <f aca="false">FALSE()</f>
        <v>0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 t="n">
        <v>3</v>
      </c>
      <c r="D16" s="4"/>
      <c r="E16" s="4"/>
      <c r="F16" s="4"/>
      <c r="G16" s="4" t="n">
        <v>2</v>
      </c>
      <c r="H16" s="14" t="b">
        <f aca="false">TRUE()</f>
        <v>1</v>
      </c>
      <c r="I16" s="14" t="b">
        <f aca="false">FALSE()</f>
        <v>0</v>
      </c>
      <c r="J16" s="4"/>
      <c r="K16" s="4" t="s">
        <v>4779</v>
      </c>
      <c r="L16" s="4" t="s">
        <v>4780</v>
      </c>
      <c r="M16" s="4" t="s">
        <v>4781</v>
      </c>
      <c r="N16" s="6" t="n">
        <v>43240</v>
      </c>
      <c r="O16" s="6" t="n">
        <v>64844</v>
      </c>
      <c r="P16" s="4" t="s">
        <v>46</v>
      </c>
      <c r="Q16" s="6"/>
      <c r="R16" s="15" t="n">
        <v>34655</v>
      </c>
      <c r="S16" s="6" t="n">
        <v>275000</v>
      </c>
      <c r="T16" s="15" t="n">
        <v>38579</v>
      </c>
      <c r="U16" s="6"/>
      <c r="V16" s="15"/>
      <c r="W16" s="4" t="s">
        <v>47</v>
      </c>
      <c r="X16" s="4" t="s">
        <v>58</v>
      </c>
      <c r="Y16" s="4" t="s">
        <v>4782</v>
      </c>
      <c r="Z16" s="4" t="s">
        <v>697</v>
      </c>
      <c r="AA16" s="6" t="n">
        <v>0</v>
      </c>
      <c r="AB16" s="6" t="n">
        <v>2853.78</v>
      </c>
      <c r="AC16" s="6" t="n">
        <v>2992.2</v>
      </c>
      <c r="AD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 t="n">
        <v>2</v>
      </c>
      <c r="D17" s="4"/>
      <c r="E17" s="4"/>
      <c r="F17" s="4"/>
      <c r="G17" s="4"/>
      <c r="H17" s="14" t="b">
        <f aca="false">FALSE()</f>
        <v>0</v>
      </c>
      <c r="I17" s="14" t="b">
        <f aca="false">FALSE()</f>
        <v>0</v>
      </c>
      <c r="J17" s="4"/>
      <c r="K17" s="4" t="s">
        <v>4783</v>
      </c>
      <c r="L17" s="4" t="s">
        <v>4784</v>
      </c>
      <c r="M17" s="4" t="s">
        <v>4785</v>
      </c>
      <c r="N17" s="6" t="n">
        <v>3209</v>
      </c>
      <c r="O17" s="6" t="n">
        <v>28914</v>
      </c>
      <c r="P17" s="4" t="s">
        <v>46</v>
      </c>
      <c r="Q17" s="6" t="n">
        <v>101000</v>
      </c>
      <c r="R17" s="15" t="n">
        <v>45559</v>
      </c>
      <c r="S17" s="6"/>
      <c r="T17" s="15"/>
      <c r="U17" s="6"/>
      <c r="V17" s="15"/>
      <c r="W17" s="4" t="s">
        <v>47</v>
      </c>
      <c r="X17" s="4" t="s">
        <v>47</v>
      </c>
      <c r="Y17" s="4" t="s">
        <v>4786</v>
      </c>
      <c r="Z17" s="4" t="s">
        <v>697</v>
      </c>
      <c r="AA17" s="6" t="n">
        <v>0</v>
      </c>
      <c r="AB17" s="6" t="n">
        <v>2264.08</v>
      </c>
      <c r="AC17" s="6" t="n">
        <v>2426.9</v>
      </c>
      <c r="AD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 t="n">
        <v>2</v>
      </c>
      <c r="D18" s="4"/>
      <c r="E18" s="4"/>
      <c r="F18" s="4"/>
      <c r="G18" s="4"/>
      <c r="H18" s="14" t="b">
        <f aca="false">FALSE()</f>
        <v>0</v>
      </c>
      <c r="I18" s="14" t="b">
        <f aca="false">FALSE()</f>
        <v>0</v>
      </c>
      <c r="J18" s="4"/>
      <c r="K18" s="4" t="s">
        <v>4787</v>
      </c>
      <c r="L18" s="4" t="s">
        <v>4788</v>
      </c>
      <c r="M18" s="4" t="s">
        <v>4789</v>
      </c>
      <c r="N18" s="6" t="n">
        <v>42250</v>
      </c>
      <c r="O18" s="6" t="n">
        <v>43294</v>
      </c>
      <c r="P18" s="4" t="s">
        <v>46</v>
      </c>
      <c r="Q18" s="6" t="n">
        <v>116000</v>
      </c>
      <c r="R18" s="15" t="n">
        <v>45686</v>
      </c>
      <c r="S18" s="6"/>
      <c r="T18" s="15"/>
      <c r="U18" s="6"/>
      <c r="V18" s="15"/>
      <c r="W18" s="4" t="s">
        <v>47</v>
      </c>
      <c r="X18" s="4" t="s">
        <v>47</v>
      </c>
      <c r="Y18" s="4" t="s">
        <v>4790</v>
      </c>
      <c r="Z18" s="4" t="s">
        <v>697</v>
      </c>
      <c r="AA18" s="6" t="n">
        <v>0</v>
      </c>
      <c r="AB18" s="6" t="n">
        <v>1966.42</v>
      </c>
      <c r="AC18" s="6" t="n">
        <v>2109.15</v>
      </c>
      <c r="AD18" s="14" t="b">
        <f aca="false">FALSE()</f>
        <v>0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 t="n">
        <v>2</v>
      </c>
      <c r="D19" s="4"/>
      <c r="E19" s="4"/>
      <c r="F19" s="4"/>
      <c r="G19" s="4"/>
      <c r="H19" s="14" t="b">
        <f aca="false">FALSE()</f>
        <v>0</v>
      </c>
      <c r="I19" s="14" t="b">
        <f aca="false">FALSE()</f>
        <v>0</v>
      </c>
      <c r="J19" s="4"/>
      <c r="K19" s="4" t="s">
        <v>4791</v>
      </c>
      <c r="L19" s="4" t="s">
        <v>4792</v>
      </c>
      <c r="M19" s="4" t="s">
        <v>4793</v>
      </c>
      <c r="N19" s="6" t="n">
        <v>4591</v>
      </c>
      <c r="O19" s="6" t="n">
        <v>42098</v>
      </c>
      <c r="P19" s="4" t="s">
        <v>46</v>
      </c>
      <c r="Q19" s="6" t="n">
        <v>91000</v>
      </c>
      <c r="R19" s="15" t="n">
        <v>37166</v>
      </c>
      <c r="S19" s="6"/>
      <c r="T19" s="15"/>
      <c r="U19" s="6"/>
      <c r="V19" s="15"/>
      <c r="W19" s="4" t="s">
        <v>47</v>
      </c>
      <c r="X19" s="4" t="s">
        <v>47</v>
      </c>
      <c r="Y19" s="4" t="s">
        <v>4794</v>
      </c>
      <c r="Z19" s="4" t="s">
        <v>697</v>
      </c>
      <c r="AA19" s="6" t="n">
        <v>0</v>
      </c>
      <c r="AB19" s="6" t="n">
        <v>2726.84</v>
      </c>
      <c r="AC19" s="6" t="n">
        <v>2920.9</v>
      </c>
      <c r="AD19" s="14" t="b">
        <f aca="false">FALSE()</f>
        <v>0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 t="n">
        <v>2</v>
      </c>
      <c r="D20" s="4"/>
      <c r="E20" s="4"/>
      <c r="F20" s="4"/>
      <c r="G20" s="4"/>
      <c r="H20" s="14" t="b">
        <f aca="false">TRUE()</f>
        <v>1</v>
      </c>
      <c r="I20" s="14" t="b">
        <f aca="false">FALSE()</f>
        <v>0</v>
      </c>
      <c r="J20" s="4"/>
      <c r="K20" s="4" t="s">
        <v>4795</v>
      </c>
      <c r="L20" s="4" t="s">
        <v>4796</v>
      </c>
      <c r="M20" s="4" t="s">
        <v>4797</v>
      </c>
      <c r="N20" s="6" t="n">
        <v>3107</v>
      </c>
      <c r="O20" s="6" t="n">
        <v>29441</v>
      </c>
      <c r="P20" s="4" t="s">
        <v>46</v>
      </c>
      <c r="Q20" s="6" t="n">
        <v>131000</v>
      </c>
      <c r="R20" s="15" t="n">
        <v>45597</v>
      </c>
      <c r="S20" s="6"/>
      <c r="T20" s="15"/>
      <c r="U20" s="6"/>
      <c r="V20" s="15"/>
      <c r="W20" s="4" t="s">
        <v>47</v>
      </c>
      <c r="X20" s="4" t="s">
        <v>47</v>
      </c>
      <c r="Y20" s="4" t="s">
        <v>4798</v>
      </c>
      <c r="Z20" s="4" t="s">
        <v>632</v>
      </c>
      <c r="AA20" s="6" t="n">
        <v>0</v>
      </c>
      <c r="AB20" s="6" t="n">
        <v>2724.52</v>
      </c>
      <c r="AC20" s="6" t="n">
        <v>2918.42</v>
      </c>
      <c r="AD20" s="14" t="b">
        <f aca="false">FALSE()</f>
        <v>0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 t="n">
        <v>2</v>
      </c>
      <c r="D21" s="4"/>
      <c r="E21" s="4"/>
      <c r="F21" s="4"/>
      <c r="G21" s="4"/>
      <c r="H21" s="14" t="b">
        <f aca="false">FALSE()</f>
        <v>0</v>
      </c>
      <c r="I21" s="14" t="b">
        <f aca="false">FALSE()</f>
        <v>0</v>
      </c>
      <c r="J21" s="4"/>
      <c r="K21" s="4" t="s">
        <v>4799</v>
      </c>
      <c r="L21" s="4" t="s">
        <v>4800</v>
      </c>
      <c r="M21" s="4" t="s">
        <v>4801</v>
      </c>
      <c r="N21" s="6" t="n">
        <v>5399</v>
      </c>
      <c r="O21" s="6" t="n">
        <v>34135</v>
      </c>
      <c r="P21" s="4" t="s">
        <v>46</v>
      </c>
      <c r="Q21" s="6" t="n">
        <v>155500</v>
      </c>
      <c r="R21" s="15" t="n">
        <v>45719</v>
      </c>
      <c r="S21" s="6"/>
      <c r="T21" s="15"/>
      <c r="U21" s="6"/>
      <c r="V21" s="15"/>
      <c r="W21" s="4" t="s">
        <v>47</v>
      </c>
      <c r="X21" s="4" t="s">
        <v>58</v>
      </c>
      <c r="Y21" s="4" t="s">
        <v>4802</v>
      </c>
      <c r="Z21" s="4" t="s">
        <v>877</v>
      </c>
      <c r="AA21" s="6" t="n">
        <v>0</v>
      </c>
      <c r="AB21" s="6" t="n">
        <v>2332.16</v>
      </c>
      <c r="AC21" s="6" t="n">
        <v>2499.58</v>
      </c>
      <c r="AD21" s="14" t="b">
        <f aca="false">FALSE()</f>
        <v>0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 t="n">
        <v>2</v>
      </c>
      <c r="D22" s="4"/>
      <c r="E22" s="4"/>
      <c r="F22" s="4"/>
      <c r="G22" s="4"/>
      <c r="H22" s="14" t="b">
        <f aca="false">FALSE()</f>
        <v>0</v>
      </c>
      <c r="I22" s="14" t="b">
        <f aca="false">FALSE()</f>
        <v>0</v>
      </c>
      <c r="J22" s="4"/>
      <c r="K22" s="4" t="s">
        <v>4803</v>
      </c>
      <c r="L22" s="4" t="s">
        <v>4804</v>
      </c>
      <c r="M22" s="4" t="s">
        <v>4805</v>
      </c>
      <c r="N22" s="6" t="n">
        <v>6920</v>
      </c>
      <c r="O22" s="6" t="n">
        <v>56438</v>
      </c>
      <c r="P22" s="4" t="s">
        <v>46</v>
      </c>
      <c r="Q22" s="6"/>
      <c r="R22" s="15"/>
      <c r="S22" s="6"/>
      <c r="T22" s="15"/>
      <c r="U22" s="6"/>
      <c r="V22" s="15"/>
      <c r="W22" s="4" t="s">
        <v>47</v>
      </c>
      <c r="X22" s="4" t="s">
        <v>47</v>
      </c>
      <c r="Y22" s="4" t="s">
        <v>4806</v>
      </c>
      <c r="Z22" s="4" t="s">
        <v>1624</v>
      </c>
      <c r="AA22" s="6" t="n">
        <v>0</v>
      </c>
      <c r="AB22" s="6" t="n">
        <v>1231.68</v>
      </c>
      <c r="AC22" s="6" t="n">
        <v>1324.82</v>
      </c>
      <c r="AD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 t="n">
        <v>2</v>
      </c>
      <c r="D23" s="4"/>
      <c r="E23" s="4"/>
      <c r="F23" s="4"/>
      <c r="G23" s="4"/>
      <c r="H23" s="14" t="b">
        <f aca="false">FALSE()</f>
        <v>0</v>
      </c>
      <c r="I23" s="14" t="b">
        <f aca="false">FALSE()</f>
        <v>0</v>
      </c>
      <c r="J23" s="4"/>
      <c r="K23" s="4" t="s">
        <v>4807</v>
      </c>
      <c r="L23" s="4" t="s">
        <v>4808</v>
      </c>
      <c r="M23" s="4" t="s">
        <v>4809</v>
      </c>
      <c r="N23" s="6" t="n">
        <v>3287</v>
      </c>
      <c r="O23" s="6" t="n">
        <v>29533</v>
      </c>
      <c r="P23" s="4" t="s">
        <v>46</v>
      </c>
      <c r="Q23" s="6" t="n">
        <v>62000</v>
      </c>
      <c r="R23" s="15" t="n">
        <v>40690</v>
      </c>
      <c r="S23" s="6"/>
      <c r="T23" s="15"/>
      <c r="U23" s="6"/>
      <c r="V23" s="15"/>
      <c r="W23" s="4" t="s">
        <v>47</v>
      </c>
      <c r="X23" s="4" t="s">
        <v>58</v>
      </c>
      <c r="Y23" s="4" t="s">
        <v>4810</v>
      </c>
      <c r="Z23" s="4" t="s">
        <v>1298</v>
      </c>
      <c r="AA23" s="6" t="n">
        <v>0</v>
      </c>
      <c r="AB23" s="6" t="n">
        <v>1013.66</v>
      </c>
      <c r="AC23" s="6" t="n">
        <v>1092.08</v>
      </c>
      <c r="AD23" s="14" t="b">
        <f aca="false">FALSE()</f>
        <v>0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 t="n">
        <v>2</v>
      </c>
      <c r="D24" s="4"/>
      <c r="E24" s="4"/>
      <c r="F24" s="4"/>
      <c r="G24" s="4"/>
      <c r="H24" s="14" t="b">
        <f aca="false">FALSE()</f>
        <v>0</v>
      </c>
      <c r="I24" s="14" t="b">
        <f aca="false">FALSE()</f>
        <v>0</v>
      </c>
      <c r="J24" s="4"/>
      <c r="K24" s="4" t="s">
        <v>4811</v>
      </c>
      <c r="L24" s="4" t="s">
        <v>4812</v>
      </c>
      <c r="M24" s="4" t="s">
        <v>4813</v>
      </c>
      <c r="N24" s="6" t="n">
        <v>2585</v>
      </c>
      <c r="O24" s="6" t="n">
        <v>23174</v>
      </c>
      <c r="P24" s="4" t="s">
        <v>46</v>
      </c>
      <c r="Q24" s="6" t="n">
        <v>58000</v>
      </c>
      <c r="R24" s="15" t="n">
        <v>42200</v>
      </c>
      <c r="S24" s="6"/>
      <c r="T24" s="15"/>
      <c r="U24" s="6"/>
      <c r="V24" s="15"/>
      <c r="W24" s="4" t="s">
        <v>47</v>
      </c>
      <c r="X24" s="4" t="s">
        <v>47</v>
      </c>
      <c r="Y24" s="4" t="s">
        <v>4814</v>
      </c>
      <c r="Z24" s="4" t="s">
        <v>1298</v>
      </c>
      <c r="AA24" s="6" t="n">
        <v>0</v>
      </c>
      <c r="AB24" s="6" t="n">
        <v>1070.26</v>
      </c>
      <c r="AC24" s="6" t="n">
        <v>1152.5</v>
      </c>
      <c r="AD24" s="14" t="b">
        <f aca="false">FALSE()</f>
        <v>0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 t="n">
        <v>2</v>
      </c>
      <c r="D25" s="4"/>
      <c r="E25" s="4"/>
      <c r="F25" s="4"/>
      <c r="G25" s="4"/>
      <c r="H25" s="14" t="b">
        <f aca="false">FALSE()</f>
        <v>0</v>
      </c>
      <c r="I25" s="14" t="b">
        <f aca="false">FALSE()</f>
        <v>0</v>
      </c>
      <c r="J25" s="4"/>
      <c r="K25" s="4" t="s">
        <v>4815</v>
      </c>
      <c r="L25" s="4" t="s">
        <v>4816</v>
      </c>
      <c r="M25" s="4" t="s">
        <v>4817</v>
      </c>
      <c r="N25" s="6" t="n">
        <v>3536</v>
      </c>
      <c r="O25" s="6" t="n">
        <v>31761</v>
      </c>
      <c r="P25" s="4" t="s">
        <v>46</v>
      </c>
      <c r="Q25" s="6" t="n">
        <v>54000</v>
      </c>
      <c r="R25" s="15" t="n">
        <v>41900</v>
      </c>
      <c r="S25" s="6"/>
      <c r="T25" s="15"/>
      <c r="U25" s="6"/>
      <c r="V25" s="15"/>
      <c r="W25" s="4" t="s">
        <v>58</v>
      </c>
      <c r="X25" s="4" t="s">
        <v>47</v>
      </c>
      <c r="Y25" s="4" t="s">
        <v>4818</v>
      </c>
      <c r="Z25" s="4" t="s">
        <v>2181</v>
      </c>
      <c r="AA25" s="6" t="n">
        <v>0</v>
      </c>
      <c r="AB25" s="6" t="n">
        <v>2667.8</v>
      </c>
      <c r="AC25" s="6" t="n">
        <v>2857.88</v>
      </c>
      <c r="AD25" s="14" t="b">
        <f aca="false">FALSE()</f>
        <v>0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 t="n">
        <v>2</v>
      </c>
      <c r="D26" s="4"/>
      <c r="E26" s="4"/>
      <c r="F26" s="4"/>
      <c r="G26" s="4"/>
      <c r="H26" s="14" t="b">
        <f aca="false">FALSE()</f>
        <v>0</v>
      </c>
      <c r="I26" s="14" t="b">
        <f aca="false">FALSE()</f>
        <v>0</v>
      </c>
      <c r="J26" s="4"/>
      <c r="K26" s="4" t="s">
        <v>4819</v>
      </c>
      <c r="L26" s="4" t="s">
        <v>4820</v>
      </c>
      <c r="M26" s="4" t="s">
        <v>4821</v>
      </c>
      <c r="N26" s="6" t="n">
        <v>3006</v>
      </c>
      <c r="O26" s="6" t="n">
        <v>27067</v>
      </c>
      <c r="P26" s="4" t="s">
        <v>46</v>
      </c>
      <c r="Q26" s="6"/>
      <c r="R26" s="15" t="n">
        <v>43725</v>
      </c>
      <c r="S26" s="6"/>
      <c r="T26" s="15"/>
      <c r="U26" s="6"/>
      <c r="V26" s="15"/>
      <c r="W26" s="4" t="s">
        <v>47</v>
      </c>
      <c r="X26" s="4" t="s">
        <v>58</v>
      </c>
      <c r="Y26" s="4" t="s">
        <v>4822</v>
      </c>
      <c r="Z26" s="4" t="s">
        <v>910</v>
      </c>
      <c r="AA26" s="6" t="n">
        <v>0</v>
      </c>
      <c r="AB26" s="6" t="n">
        <v>938.02</v>
      </c>
      <c r="AC26" s="6" t="n">
        <v>1011.34</v>
      </c>
      <c r="AD26" s="14" t="b">
        <f aca="false">FALSE()</f>
        <v>0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 t="n">
        <v>3</v>
      </c>
      <c r="D27" s="4"/>
      <c r="E27" s="4"/>
      <c r="F27" s="4"/>
      <c r="G27" s="4"/>
      <c r="H27" s="14" t="b">
        <f aca="false">FALSE()</f>
        <v>0</v>
      </c>
      <c r="I27" s="14" t="b">
        <f aca="false">FALSE()</f>
        <v>0</v>
      </c>
      <c r="J27" s="4"/>
      <c r="K27" s="4" t="s">
        <v>4823</v>
      </c>
      <c r="L27" s="4" t="s">
        <v>4824</v>
      </c>
      <c r="M27" s="4" t="s">
        <v>4825</v>
      </c>
      <c r="N27" s="6" t="n">
        <v>3817</v>
      </c>
      <c r="O27" s="6" t="n">
        <v>34356</v>
      </c>
      <c r="P27" s="4" t="s">
        <v>46</v>
      </c>
      <c r="Q27" s="6" t="n">
        <v>130000</v>
      </c>
      <c r="R27" s="15" t="n">
        <v>45408</v>
      </c>
      <c r="S27" s="6" t="n">
        <v>104000</v>
      </c>
      <c r="T27" s="15" t="n">
        <v>45408</v>
      </c>
      <c r="U27" s="6"/>
      <c r="V27" s="15"/>
      <c r="W27" s="4" t="s">
        <v>47</v>
      </c>
      <c r="X27" s="4" t="s">
        <v>47</v>
      </c>
      <c r="Y27" s="4" t="s">
        <v>4826</v>
      </c>
      <c r="Z27" s="4" t="s">
        <v>910</v>
      </c>
      <c r="AA27" s="6" t="n">
        <v>0</v>
      </c>
      <c r="AB27" s="6" t="n">
        <v>1722.74</v>
      </c>
      <c r="AC27" s="6" t="n">
        <v>1849.02</v>
      </c>
      <c r="AD27" s="14" t="b">
        <f aca="false">FALSE()</f>
        <v>0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 t="n">
        <v>3</v>
      </c>
      <c r="D28" s="4"/>
      <c r="E28" s="4"/>
      <c r="F28" s="4"/>
      <c r="G28" s="4" t="n">
        <v>2</v>
      </c>
      <c r="H28" s="14" t="b">
        <f aca="false">FALSE()</f>
        <v>0</v>
      </c>
      <c r="I28" s="14" t="b">
        <f aca="false">FALSE()</f>
        <v>0</v>
      </c>
      <c r="J28" s="4"/>
      <c r="K28" s="4" t="s">
        <v>4827</v>
      </c>
      <c r="L28" s="4" t="s">
        <v>4828</v>
      </c>
      <c r="M28" s="4" t="s">
        <v>4829</v>
      </c>
      <c r="N28" s="6" t="n">
        <v>4672</v>
      </c>
      <c r="O28" s="6" t="n">
        <v>42045</v>
      </c>
      <c r="P28" s="4" t="s">
        <v>46</v>
      </c>
      <c r="Q28" s="6" t="n">
        <v>107000</v>
      </c>
      <c r="R28" s="15" t="n">
        <v>37292</v>
      </c>
      <c r="S28" s="6" t="n">
        <v>244500</v>
      </c>
      <c r="T28" s="15" t="n">
        <v>39346</v>
      </c>
      <c r="U28" s="6"/>
      <c r="V28" s="15"/>
      <c r="W28" s="4" t="s">
        <v>47</v>
      </c>
      <c r="X28" s="4" t="s">
        <v>58</v>
      </c>
      <c r="Y28" s="4" t="s">
        <v>4830</v>
      </c>
      <c r="Z28" s="4" t="s">
        <v>910</v>
      </c>
      <c r="AA28" s="6" t="n">
        <v>0</v>
      </c>
      <c r="AB28" s="6" t="n">
        <v>2386.58</v>
      </c>
      <c r="AC28" s="6" t="n">
        <v>2557.68</v>
      </c>
      <c r="AD28" s="14" t="b">
        <f aca="false">FALSE()</f>
        <v>0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 t="n">
        <v>2</v>
      </c>
      <c r="D29" s="4"/>
      <c r="E29" s="4"/>
      <c r="F29" s="4"/>
      <c r="G29" s="4"/>
      <c r="H29" s="14" t="b">
        <f aca="false">FALSE()</f>
        <v>0</v>
      </c>
      <c r="I29" s="14" t="b">
        <f aca="false">FALSE()</f>
        <v>0</v>
      </c>
      <c r="J29" s="4"/>
      <c r="K29" s="4" t="s">
        <v>4831</v>
      </c>
      <c r="L29" s="4" t="s">
        <v>4832</v>
      </c>
      <c r="M29" s="4" t="s">
        <v>4833</v>
      </c>
      <c r="N29" s="6" t="n">
        <v>3817</v>
      </c>
      <c r="O29" s="6" t="n">
        <v>34356</v>
      </c>
      <c r="P29" s="4" t="s">
        <v>46</v>
      </c>
      <c r="Q29" s="6" t="n">
        <v>67000</v>
      </c>
      <c r="R29" s="15" t="n">
        <v>36497</v>
      </c>
      <c r="S29" s="6"/>
      <c r="T29" s="15"/>
      <c r="U29" s="6"/>
      <c r="V29" s="15"/>
      <c r="W29" s="4" t="s">
        <v>47</v>
      </c>
      <c r="X29" s="4" t="s">
        <v>58</v>
      </c>
      <c r="Y29" s="4" t="s">
        <v>4834</v>
      </c>
      <c r="Z29" s="4" t="s">
        <v>910</v>
      </c>
      <c r="AA29" s="6" t="n">
        <v>0</v>
      </c>
      <c r="AB29" s="6" t="n">
        <v>1499.5</v>
      </c>
      <c r="AC29" s="6" t="n">
        <v>1576.98</v>
      </c>
      <c r="AD29" s="14" t="b">
        <f aca="false">FALSE()</f>
        <v>0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 t="n">
        <v>2</v>
      </c>
      <c r="D30" s="4"/>
      <c r="E30" s="4"/>
      <c r="F30" s="4"/>
      <c r="G30" s="4"/>
      <c r="H30" s="14" t="b">
        <f aca="false">FALSE()</f>
        <v>0</v>
      </c>
      <c r="I30" s="14" t="b">
        <f aca="false">FALSE()</f>
        <v>0</v>
      </c>
      <c r="J30" s="4"/>
      <c r="K30" s="4" t="s">
        <v>4835</v>
      </c>
      <c r="L30" s="4" t="s">
        <v>4836</v>
      </c>
      <c r="M30" s="4" t="s">
        <v>4837</v>
      </c>
      <c r="N30" s="6" t="n">
        <v>4747</v>
      </c>
      <c r="O30" s="6" t="n">
        <v>42715</v>
      </c>
      <c r="P30" s="4" t="s">
        <v>46</v>
      </c>
      <c r="Q30" s="6" t="n">
        <v>180000</v>
      </c>
      <c r="R30" s="15" t="n">
        <v>45413</v>
      </c>
      <c r="S30" s="6"/>
      <c r="T30" s="15"/>
      <c r="U30" s="6"/>
      <c r="V30" s="15"/>
      <c r="W30" s="4" t="s">
        <v>47</v>
      </c>
      <c r="X30" s="4" t="s">
        <v>47</v>
      </c>
      <c r="Y30" s="4" t="s">
        <v>4838</v>
      </c>
      <c r="Z30" s="4" t="s">
        <v>910</v>
      </c>
      <c r="AA30" s="6" t="n">
        <v>0</v>
      </c>
      <c r="AB30" s="6" t="n">
        <v>2444.46</v>
      </c>
      <c r="AC30" s="6" t="n">
        <v>2619.46</v>
      </c>
      <c r="AD30" s="14" t="b">
        <f aca="false">FALSE()</f>
        <v>0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 t="n">
        <v>2</v>
      </c>
      <c r="D31" s="4"/>
      <c r="E31" s="4"/>
      <c r="F31" s="4"/>
      <c r="G31" s="4"/>
      <c r="H31" s="14" t="b">
        <f aca="false">FALSE()</f>
        <v>0</v>
      </c>
      <c r="I31" s="14" t="b">
        <f aca="false">FALSE()</f>
        <v>0</v>
      </c>
      <c r="J31" s="4"/>
      <c r="K31" s="4" t="s">
        <v>4839</v>
      </c>
      <c r="L31" s="4" t="s">
        <v>4840</v>
      </c>
      <c r="M31" s="4" t="s">
        <v>4841</v>
      </c>
      <c r="N31" s="6" t="n">
        <v>4207</v>
      </c>
      <c r="O31" s="6" t="n">
        <v>38000</v>
      </c>
      <c r="P31" s="4" t="s">
        <v>46</v>
      </c>
      <c r="Q31" s="6"/>
      <c r="R31" s="15" t="n">
        <v>35759</v>
      </c>
      <c r="S31" s="6"/>
      <c r="T31" s="15"/>
      <c r="U31" s="6"/>
      <c r="V31" s="15"/>
      <c r="W31" s="4" t="s">
        <v>58</v>
      </c>
      <c r="X31" s="4" t="s">
        <v>58</v>
      </c>
      <c r="Y31" s="4" t="s">
        <v>4842</v>
      </c>
      <c r="Z31" s="4" t="s">
        <v>910</v>
      </c>
      <c r="AA31" s="6" t="n">
        <v>0</v>
      </c>
      <c r="AB31" s="6" t="n">
        <v>2657.72</v>
      </c>
      <c r="AC31" s="6" t="n">
        <v>2847.12</v>
      </c>
      <c r="AD31" s="14" t="b">
        <f aca="false">FALSE()</f>
        <v>0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 t="n">
        <v>3</v>
      </c>
      <c r="D32" s="4"/>
      <c r="E32" s="4"/>
      <c r="F32" s="4"/>
      <c r="G32" s="4"/>
      <c r="H32" s="14" t="b">
        <f aca="false">FALSE()</f>
        <v>0</v>
      </c>
      <c r="I32" s="14" t="b">
        <f aca="false">FALSE()</f>
        <v>0</v>
      </c>
      <c r="J32" s="4"/>
      <c r="K32" s="4" t="s">
        <v>4843</v>
      </c>
      <c r="L32" s="4" t="s">
        <v>4844</v>
      </c>
      <c r="M32" s="4" t="s">
        <v>4845</v>
      </c>
      <c r="N32" s="6" t="n">
        <v>6240</v>
      </c>
      <c r="O32" s="6" t="n">
        <v>56211</v>
      </c>
      <c r="P32" s="4" t="s">
        <v>46</v>
      </c>
      <c r="Q32" s="6"/>
      <c r="R32" s="15"/>
      <c r="S32" s="6" t="n">
        <v>35820</v>
      </c>
      <c r="T32" s="15" t="n">
        <v>38023</v>
      </c>
      <c r="U32" s="6"/>
      <c r="V32" s="15"/>
      <c r="W32" s="4" t="s">
        <v>58</v>
      </c>
      <c r="X32" s="4" t="s">
        <v>58</v>
      </c>
      <c r="Y32" s="4" t="s">
        <v>4846</v>
      </c>
      <c r="Z32" s="4" t="s">
        <v>2181</v>
      </c>
      <c r="AA32" s="6" t="n">
        <v>0</v>
      </c>
      <c r="AB32" s="6" t="n">
        <v>340.08</v>
      </c>
      <c r="AC32" s="6" t="n">
        <v>373.03</v>
      </c>
      <c r="AD32" s="14" t="b">
        <f aca="false">FALSE()</f>
        <v>0</v>
      </c>
    </row>
    <row r="33" customFormat="false" ht="15" hidden="false" customHeight="false" outlineLevel="0" collapsed="false">
      <c r="A33" s="14" t="b">
        <f aca="false">TRUE()</f>
        <v>1</v>
      </c>
      <c r="B33" s="14" t="b">
        <f aca="false">FALSE()</f>
        <v>0</v>
      </c>
      <c r="C33" s="4" t="n">
        <v>2</v>
      </c>
      <c r="D33" s="4"/>
      <c r="E33" s="4"/>
      <c r="F33" s="4"/>
      <c r="G33" s="4"/>
      <c r="H33" s="14" t="b">
        <f aca="false">FALSE()</f>
        <v>0</v>
      </c>
      <c r="I33" s="14" t="b">
        <f aca="false">FALSE()</f>
        <v>0</v>
      </c>
      <c r="J33" s="4"/>
      <c r="K33" s="4" t="s">
        <v>4847</v>
      </c>
      <c r="L33" s="4" t="s">
        <v>4848</v>
      </c>
      <c r="M33" s="4" t="s">
        <v>4849</v>
      </c>
      <c r="N33" s="6" t="n">
        <v>4250</v>
      </c>
      <c r="O33" s="6" t="n">
        <v>38217</v>
      </c>
      <c r="P33" s="4" t="s">
        <v>46</v>
      </c>
      <c r="Q33" s="6"/>
      <c r="R33" s="15" t="n">
        <v>37473</v>
      </c>
      <c r="S33" s="6"/>
      <c r="T33" s="15"/>
      <c r="U33" s="6"/>
      <c r="V33" s="15"/>
      <c r="W33" s="4" t="s">
        <v>47</v>
      </c>
      <c r="X33" s="4" t="s">
        <v>47</v>
      </c>
      <c r="Y33" s="4" t="s">
        <v>4850</v>
      </c>
      <c r="Z33" s="4" t="s">
        <v>2181</v>
      </c>
      <c r="AA33" s="6" t="n">
        <v>0</v>
      </c>
      <c r="AB33" s="6" t="n">
        <v>2548.1</v>
      </c>
      <c r="AC33" s="6" t="n">
        <v>2730.09</v>
      </c>
      <c r="AD33" s="14" t="b">
        <f aca="false">FALSE()</f>
        <v>0</v>
      </c>
    </row>
    <row r="34" customFormat="false" ht="15" hidden="false" customHeight="false" outlineLevel="0" collapsed="false">
      <c r="A34" s="14" t="b">
        <f aca="false">TRUE()</f>
        <v>1</v>
      </c>
      <c r="B34" s="14" t="b">
        <f aca="false">FALSE()</f>
        <v>0</v>
      </c>
      <c r="C34" s="4" t="n">
        <v>2</v>
      </c>
      <c r="D34" s="4"/>
      <c r="E34" s="4"/>
      <c r="F34" s="4"/>
      <c r="G34" s="4"/>
      <c r="H34" s="14" t="b">
        <f aca="false">TRUE()</f>
        <v>1</v>
      </c>
      <c r="I34" s="14" t="b">
        <f aca="false">FALSE()</f>
        <v>0</v>
      </c>
      <c r="J34" s="4"/>
      <c r="K34" s="4" t="s">
        <v>4851</v>
      </c>
      <c r="L34" s="4" t="s">
        <v>4852</v>
      </c>
      <c r="M34" s="4" t="s">
        <v>4853</v>
      </c>
      <c r="N34" s="6" t="n">
        <v>4477</v>
      </c>
      <c r="O34" s="6" t="n">
        <v>40304</v>
      </c>
      <c r="P34" s="4" t="s">
        <v>46</v>
      </c>
      <c r="Q34" s="6" t="n">
        <v>128000</v>
      </c>
      <c r="R34" s="15" t="n">
        <v>44879</v>
      </c>
      <c r="S34" s="6"/>
      <c r="T34" s="15"/>
      <c r="U34" s="6"/>
      <c r="V34" s="15"/>
      <c r="W34" s="4" t="s">
        <v>47</v>
      </c>
      <c r="X34" s="4" t="s">
        <v>58</v>
      </c>
      <c r="Y34" s="4" t="s">
        <v>4854</v>
      </c>
      <c r="Z34" s="4" t="s">
        <v>2732</v>
      </c>
      <c r="AA34" s="6" t="n">
        <v>0</v>
      </c>
      <c r="AB34" s="6" t="n">
        <v>2729.86</v>
      </c>
      <c r="AC34" s="6" t="n">
        <v>2924.12</v>
      </c>
      <c r="AD34" s="14" t="b">
        <f aca="false">FALSE()</f>
        <v>0</v>
      </c>
    </row>
    <row r="35" customFormat="false" ht="15" hidden="false" customHeight="false" outlineLevel="0" collapsed="false">
      <c r="A35" s="14" t="b">
        <f aca="false">TRUE()</f>
        <v>1</v>
      </c>
      <c r="B35" s="14" t="b">
        <f aca="false">FALSE()</f>
        <v>0</v>
      </c>
      <c r="C35" s="4" t="n">
        <v>3</v>
      </c>
      <c r="D35" s="4"/>
      <c r="E35" s="4"/>
      <c r="F35" s="4"/>
      <c r="G35" s="4" t="n">
        <v>2</v>
      </c>
      <c r="H35" s="14" t="b">
        <f aca="false">FALSE()</f>
        <v>0</v>
      </c>
      <c r="I35" s="14" t="b">
        <f aca="false">FALSE()</f>
        <v>0</v>
      </c>
      <c r="J35" s="4"/>
      <c r="K35" s="4" t="s">
        <v>4855</v>
      </c>
      <c r="L35" s="4" t="s">
        <v>4856</v>
      </c>
      <c r="M35" s="4" t="s">
        <v>4857</v>
      </c>
      <c r="N35" s="6" t="n">
        <v>4801</v>
      </c>
      <c r="O35" s="6" t="n">
        <v>43202</v>
      </c>
      <c r="P35" s="4" t="s">
        <v>46</v>
      </c>
      <c r="Q35" s="6" t="n">
        <v>113500</v>
      </c>
      <c r="R35" s="15" t="n">
        <v>37706</v>
      </c>
      <c r="S35" s="6" t="n">
        <v>90000</v>
      </c>
      <c r="T35" s="15" t="n">
        <v>37785</v>
      </c>
      <c r="U35" s="6"/>
      <c r="V35" s="15"/>
      <c r="W35" s="4" t="s">
        <v>47</v>
      </c>
      <c r="X35" s="4" t="s">
        <v>58</v>
      </c>
      <c r="Y35" s="4" t="s">
        <v>4858</v>
      </c>
      <c r="Z35" s="4" t="s">
        <v>2732</v>
      </c>
      <c r="AA35" s="6" t="n">
        <v>0</v>
      </c>
      <c r="AB35" s="6" t="n">
        <v>2375.22</v>
      </c>
      <c r="AC35" s="6" t="n">
        <v>2545.54</v>
      </c>
      <c r="AD35" s="14" t="b">
        <f aca="false">FALSE()</f>
        <v>0</v>
      </c>
    </row>
    <row r="36" customFormat="false" ht="15" hidden="false" customHeight="false" outlineLevel="0" collapsed="false">
      <c r="A36" s="14" t="b">
        <f aca="false">TRUE()</f>
        <v>1</v>
      </c>
      <c r="B36" s="14" t="b">
        <f aca="false">FALSE()</f>
        <v>0</v>
      </c>
      <c r="C36" s="4" t="n">
        <v>2</v>
      </c>
      <c r="D36" s="4"/>
      <c r="E36" s="4"/>
      <c r="F36" s="4"/>
      <c r="G36" s="4"/>
      <c r="H36" s="14" t="b">
        <f aca="false">FALSE()</f>
        <v>0</v>
      </c>
      <c r="I36" s="14" t="b">
        <f aca="false">FALSE()</f>
        <v>0</v>
      </c>
      <c r="J36" s="4"/>
      <c r="K36" s="4" t="s">
        <v>4859</v>
      </c>
      <c r="L36" s="4" t="s">
        <v>4860</v>
      </c>
      <c r="M36" s="4" t="s">
        <v>4861</v>
      </c>
      <c r="N36" s="6" t="n">
        <v>4477</v>
      </c>
      <c r="O36" s="6" t="n">
        <v>40304</v>
      </c>
      <c r="P36" s="4" t="s">
        <v>46</v>
      </c>
      <c r="Q36" s="6" t="n">
        <v>74500</v>
      </c>
      <c r="R36" s="15" t="n">
        <v>35020</v>
      </c>
      <c r="S36" s="6"/>
      <c r="T36" s="15"/>
      <c r="U36" s="6"/>
      <c r="V36" s="15"/>
      <c r="W36" s="4" t="s">
        <v>47</v>
      </c>
      <c r="X36" s="4" t="s">
        <v>58</v>
      </c>
      <c r="Y36" s="4" t="s">
        <v>4862</v>
      </c>
      <c r="Z36" s="4" t="s">
        <v>2732</v>
      </c>
      <c r="AA36" s="6" t="n">
        <v>0</v>
      </c>
      <c r="AB36" s="6" t="n">
        <v>2729.86</v>
      </c>
      <c r="AC36" s="6" t="n">
        <v>2924.12</v>
      </c>
      <c r="AD36" s="14" t="b">
        <f aca="false">FALSE()</f>
        <v>0</v>
      </c>
    </row>
    <row r="37" customFormat="false" ht="15" hidden="false" customHeight="false" outlineLevel="0" collapsed="false">
      <c r="A37" s="14" t="b">
        <f aca="false">TRUE()</f>
        <v>1</v>
      </c>
      <c r="B37" s="14" t="b">
        <f aca="false">FALSE()</f>
        <v>0</v>
      </c>
      <c r="C37" s="4" t="n">
        <v>2</v>
      </c>
      <c r="D37" s="4"/>
      <c r="E37" s="4"/>
      <c r="F37" s="4"/>
      <c r="G37" s="4"/>
      <c r="H37" s="14" t="b">
        <f aca="false">FALSE()</f>
        <v>0</v>
      </c>
      <c r="I37" s="14" t="b">
        <f aca="false">FALSE()</f>
        <v>0</v>
      </c>
      <c r="J37" s="4"/>
      <c r="K37" s="4" t="s">
        <v>4863</v>
      </c>
      <c r="L37" s="4" t="s">
        <v>4864</v>
      </c>
      <c r="M37" s="4" t="s">
        <v>4865</v>
      </c>
      <c r="N37" s="6" t="n">
        <v>46375</v>
      </c>
      <c r="O37" s="6" t="n">
        <v>56847</v>
      </c>
      <c r="P37" s="4" t="s">
        <v>46</v>
      </c>
      <c r="Q37" s="6"/>
      <c r="R37" s="15"/>
      <c r="S37" s="6"/>
      <c r="T37" s="15"/>
      <c r="U37" s="6"/>
      <c r="V37" s="15"/>
      <c r="W37" s="4" t="s">
        <v>47</v>
      </c>
      <c r="X37" s="4" t="s">
        <v>47</v>
      </c>
      <c r="Y37" s="4" t="s">
        <v>4866</v>
      </c>
      <c r="Z37" s="4" t="s">
        <v>2108</v>
      </c>
      <c r="AA37" s="6" t="n">
        <v>0</v>
      </c>
      <c r="AB37" s="6" t="n">
        <v>1405.7</v>
      </c>
      <c r="AC37" s="6" t="n">
        <v>1510.59</v>
      </c>
      <c r="AD37" s="14" t="b">
        <f aca="false">FALSE()</f>
        <v>0</v>
      </c>
    </row>
    <row r="38" customFormat="false" ht="15" hidden="false" customHeight="false" outlineLevel="0" collapsed="false">
      <c r="A38" s="14" t="b">
        <f aca="false">TRUE()</f>
        <v>1</v>
      </c>
      <c r="B38" s="14" t="b">
        <f aca="false">FALSE()</f>
        <v>0</v>
      </c>
      <c r="C38" s="4" t="n">
        <v>2</v>
      </c>
      <c r="D38" s="4"/>
      <c r="E38" s="4"/>
      <c r="F38" s="4"/>
      <c r="G38" s="4"/>
      <c r="H38" s="14" t="b">
        <f aca="false">FALSE()</f>
        <v>0</v>
      </c>
      <c r="I38" s="14" t="b">
        <f aca="false">FALSE()</f>
        <v>0</v>
      </c>
      <c r="J38" s="4"/>
      <c r="K38" s="4" t="s">
        <v>4867</v>
      </c>
      <c r="L38" s="4" t="s">
        <v>4868</v>
      </c>
      <c r="M38" s="4" t="s">
        <v>4869</v>
      </c>
      <c r="N38" s="6" t="n">
        <v>5787</v>
      </c>
      <c r="O38" s="6" t="n">
        <v>44783</v>
      </c>
      <c r="P38" s="4" t="s">
        <v>46</v>
      </c>
      <c r="Q38" s="6" t="n">
        <v>222000</v>
      </c>
      <c r="R38" s="15" t="n">
        <v>45496</v>
      </c>
      <c r="S38" s="6"/>
      <c r="T38" s="15"/>
      <c r="U38" s="6"/>
      <c r="V38" s="15"/>
      <c r="W38" s="4" t="s">
        <v>47</v>
      </c>
      <c r="X38" s="4" t="s">
        <v>47</v>
      </c>
      <c r="Y38" s="4" t="s">
        <v>4870</v>
      </c>
      <c r="Z38" s="4" t="s">
        <v>2108</v>
      </c>
      <c r="AA38" s="6" t="n">
        <v>0</v>
      </c>
      <c r="AB38" s="6" t="n">
        <v>2610.74</v>
      </c>
      <c r="AC38" s="6" t="n">
        <v>2796.96</v>
      </c>
      <c r="AD38" s="14" t="b">
        <f aca="false">FALSE()</f>
        <v>0</v>
      </c>
    </row>
    <row r="39" customFormat="false" ht="15" hidden="false" customHeight="false" outlineLevel="0" collapsed="false">
      <c r="A39" s="14" t="b">
        <f aca="false">TRUE()</f>
        <v>1</v>
      </c>
      <c r="B39" s="14" t="b">
        <f aca="false">FALSE()</f>
        <v>0</v>
      </c>
      <c r="C39" s="4" t="n">
        <v>2</v>
      </c>
      <c r="D39" s="4"/>
      <c r="E39" s="4"/>
      <c r="F39" s="4"/>
      <c r="G39" s="4"/>
      <c r="H39" s="14" t="b">
        <f aca="false">FALSE()</f>
        <v>0</v>
      </c>
      <c r="I39" s="14" t="b">
        <f aca="false">FALSE()</f>
        <v>0</v>
      </c>
      <c r="J39" s="4"/>
      <c r="K39" s="4" t="s">
        <v>4871</v>
      </c>
      <c r="L39" s="4" t="s">
        <v>4872</v>
      </c>
      <c r="M39" s="4" t="s">
        <v>4873</v>
      </c>
      <c r="N39" s="6" t="n">
        <v>4741</v>
      </c>
      <c r="O39" s="6" t="n">
        <v>36815</v>
      </c>
      <c r="P39" s="4" t="s">
        <v>46</v>
      </c>
      <c r="Q39" s="6" t="n">
        <v>60000</v>
      </c>
      <c r="R39" s="15" t="n">
        <v>41186</v>
      </c>
      <c r="S39" s="6"/>
      <c r="T39" s="15"/>
      <c r="U39" s="6"/>
      <c r="V39" s="15"/>
      <c r="W39" s="4" t="s">
        <v>47</v>
      </c>
      <c r="X39" s="4" t="s">
        <v>47</v>
      </c>
      <c r="Y39" s="4" t="s">
        <v>4874</v>
      </c>
      <c r="Z39" s="4" t="s">
        <v>2108</v>
      </c>
      <c r="AA39" s="6" t="n">
        <v>0</v>
      </c>
      <c r="AB39" s="6" t="n">
        <v>2057.94</v>
      </c>
      <c r="AC39" s="6" t="n">
        <v>2206.85</v>
      </c>
      <c r="AD39" s="14" t="b">
        <f aca="false">FALSE()</f>
        <v>0</v>
      </c>
    </row>
    <row r="40" customFormat="false" ht="15" hidden="false" customHeight="false" outlineLevel="0" collapsed="false">
      <c r="A40" s="14" t="b">
        <f aca="false">TRUE()</f>
        <v>1</v>
      </c>
      <c r="B40" s="14" t="b">
        <f aca="false">FALSE()</f>
        <v>0</v>
      </c>
      <c r="C40" s="4" t="n">
        <v>2</v>
      </c>
      <c r="D40" s="4"/>
      <c r="E40" s="4"/>
      <c r="F40" s="4"/>
      <c r="G40" s="4"/>
      <c r="H40" s="14" t="b">
        <f aca="false">FALSE()</f>
        <v>0</v>
      </c>
      <c r="I40" s="14" t="b">
        <f aca="false">FALSE()</f>
        <v>0</v>
      </c>
      <c r="J40" s="4"/>
      <c r="K40" s="4" t="s">
        <v>4875</v>
      </c>
      <c r="L40" s="4" t="s">
        <v>4876</v>
      </c>
      <c r="M40" s="4" t="s">
        <v>4877</v>
      </c>
      <c r="N40" s="6" t="n">
        <v>4830</v>
      </c>
      <c r="O40" s="6" t="n">
        <v>36114</v>
      </c>
      <c r="P40" s="4" t="s">
        <v>46</v>
      </c>
      <c r="Q40" s="6" t="n">
        <v>96000</v>
      </c>
      <c r="R40" s="15" t="n">
        <v>37629</v>
      </c>
      <c r="S40" s="6"/>
      <c r="T40" s="15"/>
      <c r="U40" s="6"/>
      <c r="V40" s="15"/>
      <c r="W40" s="4" t="s">
        <v>47</v>
      </c>
      <c r="X40" s="4" t="s">
        <v>47</v>
      </c>
      <c r="Y40" s="4" t="s">
        <v>4878</v>
      </c>
      <c r="Z40" s="4" t="s">
        <v>2108</v>
      </c>
      <c r="AA40" s="6" t="n">
        <v>0</v>
      </c>
      <c r="AB40" s="6" t="n">
        <v>1529.78</v>
      </c>
      <c r="AC40" s="6" t="n">
        <v>1643.04</v>
      </c>
      <c r="AD40" s="14" t="b">
        <f aca="false">FALSE()</f>
        <v>0</v>
      </c>
    </row>
    <row r="41" customFormat="false" ht="15" hidden="false" customHeight="false" outlineLevel="0" collapsed="false">
      <c r="A41" s="14" t="b">
        <f aca="false">TRUE()</f>
        <v>1</v>
      </c>
      <c r="B41" s="14" t="b">
        <f aca="false">FALSE()</f>
        <v>0</v>
      </c>
      <c r="C41" s="4" t="n">
        <v>2</v>
      </c>
      <c r="D41" s="4"/>
      <c r="E41" s="4"/>
      <c r="F41" s="4"/>
      <c r="G41" s="4" t="n">
        <v>2</v>
      </c>
      <c r="H41" s="14" t="b">
        <f aca="false">TRUE()</f>
        <v>1</v>
      </c>
      <c r="I41" s="14" t="b">
        <f aca="false">FALSE()</f>
        <v>0</v>
      </c>
      <c r="J41" s="4"/>
      <c r="K41" s="4" t="s">
        <v>4879</v>
      </c>
      <c r="L41" s="4" t="s">
        <v>4880</v>
      </c>
      <c r="M41" s="4" t="s">
        <v>4881</v>
      </c>
      <c r="N41" s="6" t="n">
        <v>3472</v>
      </c>
      <c r="O41" s="6" t="n">
        <v>27210</v>
      </c>
      <c r="P41" s="4" t="s">
        <v>46</v>
      </c>
      <c r="Q41" s="6" t="n">
        <v>78000</v>
      </c>
      <c r="R41" s="15" t="n">
        <v>39542</v>
      </c>
      <c r="S41" s="6"/>
      <c r="T41" s="15"/>
      <c r="U41" s="6"/>
      <c r="V41" s="15"/>
      <c r="W41" s="4" t="s">
        <v>47</v>
      </c>
      <c r="X41" s="4" t="s">
        <v>58</v>
      </c>
      <c r="Y41" s="4" t="s">
        <v>4882</v>
      </c>
      <c r="Z41" s="4" t="s">
        <v>1641</v>
      </c>
      <c r="AA41" s="6" t="n">
        <v>0</v>
      </c>
      <c r="AB41" s="6" t="n">
        <v>1724.6</v>
      </c>
      <c r="AC41" s="6" t="n">
        <v>1851.01</v>
      </c>
      <c r="AD41" s="14" t="b">
        <f aca="false">FALSE()</f>
        <v>0</v>
      </c>
    </row>
    <row r="42" customFormat="false" ht="15" hidden="false" customHeight="false" outlineLevel="0" collapsed="false">
      <c r="A42" s="14" t="b">
        <f aca="false">TRUE()</f>
        <v>1</v>
      </c>
      <c r="B42" s="14" t="b">
        <f aca="false">FALSE()</f>
        <v>0</v>
      </c>
      <c r="C42" s="4" t="n">
        <v>3</v>
      </c>
      <c r="D42" s="4"/>
      <c r="E42" s="4"/>
      <c r="F42" s="4"/>
      <c r="G42" s="4"/>
      <c r="H42" s="14" t="b">
        <f aca="false">TRUE()</f>
        <v>1</v>
      </c>
      <c r="I42" s="14" t="b">
        <f aca="false">FALSE()</f>
        <v>0</v>
      </c>
      <c r="J42" s="4"/>
      <c r="K42" s="4" t="s">
        <v>4883</v>
      </c>
      <c r="L42" s="4" t="s">
        <v>4884</v>
      </c>
      <c r="M42" s="4" t="s">
        <v>4885</v>
      </c>
      <c r="N42" s="6" t="n">
        <v>3817</v>
      </c>
      <c r="O42" s="6" t="n">
        <v>30037</v>
      </c>
      <c r="P42" s="4" t="s">
        <v>46</v>
      </c>
      <c r="Q42" s="6" t="n">
        <v>71000</v>
      </c>
      <c r="R42" s="15" t="n">
        <v>42935</v>
      </c>
      <c r="S42" s="6" t="n">
        <v>450000</v>
      </c>
      <c r="T42" s="15" t="n">
        <v>45239</v>
      </c>
      <c r="U42" s="6"/>
      <c r="V42" s="15"/>
      <c r="W42" s="4" t="s">
        <v>47</v>
      </c>
      <c r="X42" s="4" t="s">
        <v>47</v>
      </c>
      <c r="Y42" s="4" t="s">
        <v>4886</v>
      </c>
      <c r="Z42" s="4" t="s">
        <v>1641</v>
      </c>
      <c r="AA42" s="6" t="n">
        <v>0</v>
      </c>
      <c r="AB42" s="6" t="n">
        <v>2574.06</v>
      </c>
      <c r="AC42" s="6" t="n">
        <v>2757.81</v>
      </c>
      <c r="AD42" s="14" t="b">
        <f aca="false">FALSE()</f>
        <v>0</v>
      </c>
    </row>
    <row r="43" customFormat="false" ht="15" hidden="false" customHeight="false" outlineLevel="0" collapsed="false">
      <c r="A43" s="14" t="b">
        <f aca="false">TRUE()</f>
        <v>1</v>
      </c>
      <c r="B43" s="14" t="b">
        <f aca="false">FALSE()</f>
        <v>0</v>
      </c>
      <c r="C43" s="4" t="n">
        <v>3</v>
      </c>
      <c r="D43" s="4"/>
      <c r="E43" s="4"/>
      <c r="F43" s="4"/>
      <c r="G43" s="4"/>
      <c r="H43" s="14" t="b">
        <f aca="false">TRUE()</f>
        <v>1</v>
      </c>
      <c r="I43" s="14" t="b">
        <f aca="false">FALSE()</f>
        <v>0</v>
      </c>
      <c r="J43" s="4"/>
      <c r="K43" s="4" t="s">
        <v>4883</v>
      </c>
      <c r="L43" s="4" t="s">
        <v>4887</v>
      </c>
      <c r="M43" s="4" t="s">
        <v>4888</v>
      </c>
      <c r="N43" s="6" t="n">
        <v>3906</v>
      </c>
      <c r="O43" s="6" t="n">
        <v>30761</v>
      </c>
      <c r="P43" s="4" t="s">
        <v>46</v>
      </c>
      <c r="Q43" s="6" t="n">
        <v>74000</v>
      </c>
      <c r="R43" s="15" t="n">
        <v>42947</v>
      </c>
      <c r="S43" s="6" t="n">
        <v>450000</v>
      </c>
      <c r="T43" s="15" t="n">
        <v>45239</v>
      </c>
      <c r="U43" s="6"/>
      <c r="V43" s="15"/>
      <c r="W43" s="4" t="s">
        <v>47</v>
      </c>
      <c r="X43" s="4" t="s">
        <v>47</v>
      </c>
      <c r="Y43" s="4" t="s">
        <v>4889</v>
      </c>
      <c r="Z43" s="4" t="s">
        <v>1641</v>
      </c>
      <c r="AA43" s="6" t="n">
        <v>0</v>
      </c>
      <c r="AB43" s="6" t="n">
        <v>2635.86</v>
      </c>
      <c r="AC43" s="6" t="n">
        <v>2823.78</v>
      </c>
      <c r="AD43" s="14" t="b">
        <f aca="false">FALSE()</f>
        <v>0</v>
      </c>
    </row>
    <row r="44" customFormat="false" ht="15" hidden="false" customHeight="false" outlineLevel="0" collapsed="false">
      <c r="A44" s="14" t="b">
        <f aca="false">TRUE()</f>
        <v>1</v>
      </c>
      <c r="B44" s="14" t="b">
        <f aca="false">FALSE()</f>
        <v>0</v>
      </c>
      <c r="C44" s="4" t="n">
        <v>3</v>
      </c>
      <c r="D44" s="4"/>
      <c r="E44" s="4"/>
      <c r="F44" s="4"/>
      <c r="G44" s="4"/>
      <c r="H44" s="14" t="b">
        <f aca="false">TRUE()</f>
        <v>1</v>
      </c>
      <c r="I44" s="14" t="b">
        <f aca="false">FALSE()</f>
        <v>0</v>
      </c>
      <c r="J44" s="4"/>
      <c r="K44" s="4" t="s">
        <v>4883</v>
      </c>
      <c r="L44" s="4" t="s">
        <v>4890</v>
      </c>
      <c r="M44" s="4" t="s">
        <v>4891</v>
      </c>
      <c r="N44" s="6" t="n">
        <v>3906</v>
      </c>
      <c r="O44" s="6" t="n">
        <v>30761</v>
      </c>
      <c r="P44" s="4" t="s">
        <v>46</v>
      </c>
      <c r="Q44" s="6" t="n">
        <v>207</v>
      </c>
      <c r="R44" s="15" t="n">
        <v>43027</v>
      </c>
      <c r="S44" s="6" t="n">
        <v>450000</v>
      </c>
      <c r="T44" s="15" t="n">
        <v>45239</v>
      </c>
      <c r="U44" s="6"/>
      <c r="V44" s="15"/>
      <c r="W44" s="4" t="s">
        <v>47</v>
      </c>
      <c r="X44" s="4" t="s">
        <v>47</v>
      </c>
      <c r="Y44" s="4" t="s">
        <v>4892</v>
      </c>
      <c r="Z44" s="4" t="s">
        <v>1641</v>
      </c>
      <c r="AA44" s="6" t="n">
        <v>0</v>
      </c>
      <c r="AB44" s="6" t="n">
        <v>2635.86</v>
      </c>
      <c r="AC44" s="6" t="n">
        <v>2823.78</v>
      </c>
      <c r="AD44" s="14" t="b">
        <f aca="false">FALSE()</f>
        <v>0</v>
      </c>
    </row>
    <row r="45" customFormat="false" ht="15" hidden="false" customHeight="false" outlineLevel="0" collapsed="false">
      <c r="A45" s="14" t="b">
        <f aca="false">TRUE()</f>
        <v>1</v>
      </c>
      <c r="B45" s="14" t="b">
        <f aca="false">FALSE()</f>
        <v>0</v>
      </c>
      <c r="C45" s="4" t="n">
        <v>3</v>
      </c>
      <c r="D45" s="4"/>
      <c r="E45" s="4"/>
      <c r="F45" s="4"/>
      <c r="G45" s="4"/>
      <c r="H45" s="14" t="b">
        <f aca="false">TRUE()</f>
        <v>1</v>
      </c>
      <c r="I45" s="14" t="b">
        <f aca="false">FALSE()</f>
        <v>0</v>
      </c>
      <c r="J45" s="4"/>
      <c r="K45" s="4" t="s">
        <v>4883</v>
      </c>
      <c r="L45" s="4" t="s">
        <v>4893</v>
      </c>
      <c r="M45" s="4" t="s">
        <v>4894</v>
      </c>
      <c r="N45" s="6" t="n">
        <v>3906</v>
      </c>
      <c r="O45" s="6" t="n">
        <v>30761</v>
      </c>
      <c r="P45" s="4" t="s">
        <v>46</v>
      </c>
      <c r="Q45" s="6" t="n">
        <v>79000</v>
      </c>
      <c r="R45" s="15" t="n">
        <v>42935</v>
      </c>
      <c r="S45" s="6" t="n">
        <v>450000</v>
      </c>
      <c r="T45" s="15" t="n">
        <v>45239</v>
      </c>
      <c r="U45" s="6"/>
      <c r="V45" s="15"/>
      <c r="W45" s="4" t="s">
        <v>47</v>
      </c>
      <c r="X45" s="4" t="s">
        <v>47</v>
      </c>
      <c r="Y45" s="4" t="s">
        <v>4895</v>
      </c>
      <c r="Z45" s="4" t="s">
        <v>1641</v>
      </c>
      <c r="AA45" s="6" t="n">
        <v>0</v>
      </c>
      <c r="AB45" s="6" t="n">
        <v>2635.86</v>
      </c>
      <c r="AC45" s="6" t="n">
        <v>2823.78</v>
      </c>
      <c r="AD45" s="14" t="b">
        <f aca="false">FALSE()</f>
        <v>0</v>
      </c>
    </row>
    <row r="46" customFormat="false" ht="15" hidden="false" customHeight="false" outlineLevel="0" collapsed="false">
      <c r="A46" s="14" t="b">
        <f aca="false">TRUE()</f>
        <v>1</v>
      </c>
      <c r="B46" s="14" t="b">
        <f aca="false">FALSE()</f>
        <v>0</v>
      </c>
      <c r="C46" s="4" t="n">
        <v>2</v>
      </c>
      <c r="D46" s="4"/>
      <c r="E46" s="4"/>
      <c r="F46" s="4"/>
      <c r="G46" s="4"/>
      <c r="H46" s="14" t="b">
        <f aca="false">TRUE()</f>
        <v>1</v>
      </c>
      <c r="I46" s="14" t="b">
        <f aca="false">FALSE()</f>
        <v>0</v>
      </c>
      <c r="J46" s="4"/>
      <c r="K46" s="4" t="s">
        <v>4896</v>
      </c>
      <c r="L46" s="4" t="s">
        <v>4897</v>
      </c>
      <c r="M46" s="4" t="s">
        <v>4898</v>
      </c>
      <c r="N46" s="6" t="n">
        <v>6629</v>
      </c>
      <c r="O46" s="6" t="n">
        <v>35621</v>
      </c>
      <c r="P46" s="4" t="s">
        <v>46</v>
      </c>
      <c r="Q46" s="6" t="n">
        <v>53000</v>
      </c>
      <c r="R46" s="15" t="n">
        <v>42781</v>
      </c>
      <c r="S46" s="6"/>
      <c r="T46" s="15"/>
      <c r="U46" s="6"/>
      <c r="V46" s="15"/>
      <c r="W46" s="4" t="s">
        <v>47</v>
      </c>
      <c r="X46" s="4" t="s">
        <v>47</v>
      </c>
      <c r="Y46" s="4" t="s">
        <v>4899</v>
      </c>
      <c r="Z46" s="4" t="s">
        <v>2911</v>
      </c>
      <c r="AA46" s="6" t="n">
        <v>0</v>
      </c>
      <c r="AB46" s="6" t="n">
        <v>1958.78</v>
      </c>
      <c r="AC46" s="6" t="n">
        <v>2101</v>
      </c>
      <c r="AD46" s="14" t="b">
        <f aca="false">FALSE()</f>
        <v>0</v>
      </c>
    </row>
    <row r="47" customFormat="false" ht="15" hidden="false" customHeight="false" outlineLevel="0" collapsed="false">
      <c r="A47" s="14" t="b">
        <f aca="false">TRUE()</f>
        <v>1</v>
      </c>
      <c r="B47" s="14" t="b">
        <f aca="false">FALSE()</f>
        <v>0</v>
      </c>
      <c r="C47" s="4" t="n">
        <v>2</v>
      </c>
      <c r="D47" s="4"/>
      <c r="E47" s="4"/>
      <c r="F47" s="4"/>
      <c r="G47" s="4"/>
      <c r="H47" s="14" t="b">
        <f aca="false">FALSE()</f>
        <v>0</v>
      </c>
      <c r="I47" s="14" t="b">
        <f aca="false">FALSE()</f>
        <v>0</v>
      </c>
      <c r="J47" s="4"/>
      <c r="K47" s="4" t="s">
        <v>4900</v>
      </c>
      <c r="L47" s="4" t="s">
        <v>4901</v>
      </c>
      <c r="M47" s="4" t="s">
        <v>4902</v>
      </c>
      <c r="N47" s="6" t="n">
        <v>5709</v>
      </c>
      <c r="O47" s="6" t="n">
        <v>43532</v>
      </c>
      <c r="P47" s="4" t="s">
        <v>46</v>
      </c>
      <c r="Q47" s="6" t="n">
        <v>175000</v>
      </c>
      <c r="R47" s="15" t="n">
        <v>45660</v>
      </c>
      <c r="S47" s="6"/>
      <c r="T47" s="15"/>
      <c r="U47" s="6"/>
      <c r="V47" s="15"/>
      <c r="W47" s="4" t="s">
        <v>47</v>
      </c>
      <c r="X47" s="4" t="s">
        <v>47</v>
      </c>
      <c r="Y47" s="4" t="s">
        <v>4903</v>
      </c>
      <c r="Z47" s="4" t="s">
        <v>3396</v>
      </c>
      <c r="AA47" s="6" t="n">
        <v>0</v>
      </c>
      <c r="AB47" s="6" t="n">
        <v>85.04</v>
      </c>
      <c r="AC47" s="6" t="n">
        <v>100.78</v>
      </c>
      <c r="AD47" s="14" t="b">
        <f aca="false">FALSE()</f>
        <v>0</v>
      </c>
    </row>
    <row r="48" customFormat="false" ht="15" hidden="false" customHeight="false" outlineLevel="0" collapsed="false">
      <c r="A48" s="14" t="b">
        <f aca="false">TRUE()</f>
        <v>1</v>
      </c>
      <c r="B48" s="14" t="b">
        <f aca="false">FALSE()</f>
        <v>0</v>
      </c>
      <c r="C48" s="4" t="n">
        <v>2</v>
      </c>
      <c r="D48" s="4"/>
      <c r="E48" s="4"/>
      <c r="F48" s="4"/>
      <c r="G48" s="4" t="n">
        <v>2</v>
      </c>
      <c r="H48" s="14" t="b">
        <f aca="false">FALSE()</f>
        <v>0</v>
      </c>
      <c r="I48" s="14" t="b">
        <f aca="false">FALSE()</f>
        <v>0</v>
      </c>
      <c r="J48" s="4"/>
      <c r="K48" s="4" t="s">
        <v>4904</v>
      </c>
      <c r="L48" s="4" t="s">
        <v>4905</v>
      </c>
      <c r="M48" s="4" t="s">
        <v>4906</v>
      </c>
      <c r="N48" s="6" t="n">
        <v>4668</v>
      </c>
      <c r="O48" s="6" t="n">
        <v>39149</v>
      </c>
      <c r="P48" s="4" t="s">
        <v>46</v>
      </c>
      <c r="Q48" s="6" t="n">
        <v>75000</v>
      </c>
      <c r="R48" s="15" t="n">
        <v>42423</v>
      </c>
      <c r="S48" s="6"/>
      <c r="T48" s="15"/>
      <c r="U48" s="6"/>
      <c r="V48" s="15"/>
      <c r="W48" s="4" t="s">
        <v>47</v>
      </c>
      <c r="X48" s="4" t="s">
        <v>58</v>
      </c>
      <c r="Y48" s="4" t="s">
        <v>4907</v>
      </c>
      <c r="Z48" s="4" t="s">
        <v>3396</v>
      </c>
      <c r="AA48" s="6" t="n">
        <v>0</v>
      </c>
      <c r="AB48" s="6" t="n">
        <v>2481.34</v>
      </c>
      <c r="AC48" s="6" t="n">
        <v>2658.83</v>
      </c>
      <c r="AD48" s="14" t="b">
        <f aca="false">FALSE()</f>
        <v>0</v>
      </c>
    </row>
    <row r="49" customFormat="false" ht="15" hidden="false" customHeight="false" outlineLevel="0" collapsed="false">
      <c r="A49" s="14" t="b">
        <f aca="false">TRUE()</f>
        <v>1</v>
      </c>
      <c r="B49" s="14" t="b">
        <f aca="false">FALSE()</f>
        <v>0</v>
      </c>
      <c r="C49" s="4" t="n">
        <v>2</v>
      </c>
      <c r="D49" s="4"/>
      <c r="E49" s="4"/>
      <c r="F49" s="4"/>
      <c r="G49" s="4"/>
      <c r="H49" s="14" t="b">
        <f aca="false">FALSE()</f>
        <v>0</v>
      </c>
      <c r="I49" s="14" t="b">
        <f aca="false">FALSE()</f>
        <v>0</v>
      </c>
      <c r="J49" s="4"/>
      <c r="K49" s="4" t="s">
        <v>4908</v>
      </c>
      <c r="L49" s="4" t="s">
        <v>4909</v>
      </c>
      <c r="M49" s="4" t="s">
        <v>4910</v>
      </c>
      <c r="N49" s="6" t="n">
        <v>6136</v>
      </c>
      <c r="O49" s="6" t="n">
        <v>42798</v>
      </c>
      <c r="P49" s="4" t="s">
        <v>46</v>
      </c>
      <c r="Q49" s="6" t="n">
        <v>65000</v>
      </c>
      <c r="R49" s="15" t="n">
        <v>35376</v>
      </c>
      <c r="S49" s="6"/>
      <c r="T49" s="15"/>
      <c r="U49" s="6"/>
      <c r="V49" s="15"/>
      <c r="W49" s="4" t="s">
        <v>47</v>
      </c>
      <c r="X49" s="4" t="s">
        <v>47</v>
      </c>
      <c r="Y49" s="4" t="s">
        <v>4911</v>
      </c>
      <c r="Z49" s="4" t="s">
        <v>3396</v>
      </c>
      <c r="AA49" s="6" t="n">
        <v>0</v>
      </c>
      <c r="AB49" s="6" t="n">
        <v>2393.86</v>
      </c>
      <c r="AC49" s="6" t="n">
        <v>2565.44</v>
      </c>
      <c r="AD49" s="14" t="b">
        <f aca="false">FALSE()</f>
        <v>0</v>
      </c>
    </row>
    <row r="50" customFormat="false" ht="15" hidden="false" customHeight="false" outlineLevel="0" collapsed="false">
      <c r="A50" s="14" t="b">
        <f aca="false">TRUE()</f>
        <v>1</v>
      </c>
      <c r="B50" s="14" t="b">
        <f aca="false">FALSE()</f>
        <v>0</v>
      </c>
      <c r="C50" s="4" t="n">
        <v>2</v>
      </c>
      <c r="D50" s="4"/>
      <c r="E50" s="4"/>
      <c r="F50" s="4"/>
      <c r="G50" s="4"/>
      <c r="H50" s="14" t="b">
        <f aca="false">FALSE()</f>
        <v>0</v>
      </c>
      <c r="I50" s="14" t="b">
        <f aca="false">FALSE()</f>
        <v>0</v>
      </c>
      <c r="J50" s="4"/>
      <c r="K50" s="4" t="s">
        <v>4912</v>
      </c>
      <c r="L50" s="4" t="s">
        <v>4913</v>
      </c>
      <c r="M50" s="4" t="s">
        <v>4914</v>
      </c>
      <c r="N50" s="6" t="n">
        <v>5939</v>
      </c>
      <c r="O50" s="6" t="n">
        <v>36618</v>
      </c>
      <c r="P50" s="4" t="s">
        <v>46</v>
      </c>
      <c r="Q50" s="6" t="n">
        <v>88000</v>
      </c>
      <c r="R50" s="15" t="n">
        <v>42885</v>
      </c>
      <c r="S50" s="6"/>
      <c r="T50" s="15"/>
      <c r="U50" s="6"/>
      <c r="V50" s="15"/>
      <c r="W50" s="4" t="s">
        <v>47</v>
      </c>
      <c r="X50" s="4" t="s">
        <v>47</v>
      </c>
      <c r="Y50" s="4" t="s">
        <v>4915</v>
      </c>
      <c r="Z50" s="4" t="s">
        <v>2911</v>
      </c>
      <c r="AA50" s="6" t="n">
        <v>0</v>
      </c>
      <c r="AB50" s="6" t="n">
        <v>1724.22</v>
      </c>
      <c r="AC50" s="6" t="n">
        <v>1850.6</v>
      </c>
      <c r="AD50" s="14" t="b">
        <f aca="false">FALSE()</f>
        <v>0</v>
      </c>
    </row>
    <row r="51" customFormat="false" ht="15" hidden="false" customHeight="false" outlineLevel="0" collapsed="false">
      <c r="A51" s="14" t="b">
        <f aca="false">TRUE()</f>
        <v>1</v>
      </c>
      <c r="B51" s="14" t="b">
        <f aca="false">FALSE()</f>
        <v>0</v>
      </c>
      <c r="C51" s="4" t="n">
        <v>2</v>
      </c>
      <c r="D51" s="4"/>
      <c r="E51" s="4"/>
      <c r="F51" s="4"/>
      <c r="G51" s="4"/>
      <c r="H51" s="14" t="b">
        <f aca="false">FALSE()</f>
        <v>0</v>
      </c>
      <c r="I51" s="14" t="b">
        <f aca="false">FALSE()</f>
        <v>0</v>
      </c>
      <c r="J51" s="4"/>
      <c r="K51" s="4" t="s">
        <v>4916</v>
      </c>
      <c r="L51" s="4" t="s">
        <v>4917</v>
      </c>
      <c r="M51" s="4" t="s">
        <v>4918</v>
      </c>
      <c r="N51" s="6" t="n">
        <v>4953</v>
      </c>
      <c r="O51" s="6" t="n">
        <v>30197</v>
      </c>
      <c r="P51" s="4" t="s">
        <v>46</v>
      </c>
      <c r="Q51" s="6" t="n">
        <v>60000</v>
      </c>
      <c r="R51" s="15" t="n">
        <v>42279</v>
      </c>
      <c r="S51" s="6"/>
      <c r="T51" s="15"/>
      <c r="U51" s="6"/>
      <c r="V51" s="15"/>
      <c r="W51" s="4" t="s">
        <v>47</v>
      </c>
      <c r="X51" s="4" t="s">
        <v>58</v>
      </c>
      <c r="Y51" s="4" t="s">
        <v>4919</v>
      </c>
      <c r="Z51" s="4" t="s">
        <v>2911</v>
      </c>
      <c r="AA51" s="6" t="n">
        <v>0</v>
      </c>
      <c r="AB51" s="6" t="n">
        <v>1762.74</v>
      </c>
      <c r="AC51" s="6" t="n">
        <v>1891.72</v>
      </c>
      <c r="AD51" s="14" t="b">
        <f aca="false">FALSE()</f>
        <v>0</v>
      </c>
    </row>
    <row r="52" customFormat="false" ht="15" hidden="false" customHeight="false" outlineLevel="0" collapsed="false">
      <c r="A52" s="14" t="b">
        <f aca="false">TRUE()</f>
        <v>1</v>
      </c>
      <c r="B52" s="14" t="b">
        <f aca="false">FALSE()</f>
        <v>0</v>
      </c>
      <c r="C52" s="4" t="n">
        <v>2</v>
      </c>
      <c r="D52" s="4"/>
      <c r="E52" s="4"/>
      <c r="F52" s="4"/>
      <c r="G52" s="4"/>
      <c r="H52" s="14" t="b">
        <f aca="false">TRUE()</f>
        <v>1</v>
      </c>
      <c r="I52" s="14" t="b">
        <f aca="false">FALSE()</f>
        <v>0</v>
      </c>
      <c r="J52" s="4"/>
      <c r="K52" s="4" t="s">
        <v>4920</v>
      </c>
      <c r="L52" s="4" t="s">
        <v>4921</v>
      </c>
      <c r="M52" s="4" t="s">
        <v>4922</v>
      </c>
      <c r="N52" s="6" t="n">
        <v>7670</v>
      </c>
      <c r="O52" s="6" t="n">
        <v>34219</v>
      </c>
      <c r="P52" s="4" t="s">
        <v>46</v>
      </c>
      <c r="Q52" s="6" t="n">
        <v>125000</v>
      </c>
      <c r="R52" s="15" t="n">
        <v>44411</v>
      </c>
      <c r="S52" s="6"/>
      <c r="T52" s="15"/>
      <c r="U52" s="6"/>
      <c r="V52" s="15"/>
      <c r="W52" s="4" t="s">
        <v>47</v>
      </c>
      <c r="X52" s="4" t="s">
        <v>47</v>
      </c>
      <c r="Y52" s="4" t="s">
        <v>4923</v>
      </c>
      <c r="Z52" s="4" t="s">
        <v>3396</v>
      </c>
      <c r="AA52" s="6" t="n">
        <v>0</v>
      </c>
      <c r="AB52" s="6" t="n">
        <v>2665.76</v>
      </c>
      <c r="AC52" s="6" t="n">
        <v>2855.7</v>
      </c>
      <c r="AD52" s="14" t="b">
        <f aca="false">FALSE()</f>
        <v>0</v>
      </c>
    </row>
    <row r="53" customFormat="false" ht="15" hidden="false" customHeight="false" outlineLevel="0" collapsed="false">
      <c r="A53" s="14" t="b">
        <f aca="false">TRUE()</f>
        <v>1</v>
      </c>
      <c r="B53" s="14" t="b">
        <f aca="false">FALSE()</f>
        <v>0</v>
      </c>
      <c r="C53" s="4" t="n">
        <v>2</v>
      </c>
      <c r="D53" s="4"/>
      <c r="E53" s="4"/>
      <c r="F53" s="4"/>
      <c r="G53" s="4"/>
      <c r="H53" s="14" t="b">
        <f aca="false">TRUE()</f>
        <v>1</v>
      </c>
      <c r="I53" s="14" t="b">
        <f aca="false">FALSE()</f>
        <v>0</v>
      </c>
      <c r="J53" s="4"/>
      <c r="K53" s="4" t="s">
        <v>4924</v>
      </c>
      <c r="L53" s="4" t="s">
        <v>4925</v>
      </c>
      <c r="M53" s="4" t="s">
        <v>4926</v>
      </c>
      <c r="N53" s="6" t="n">
        <v>9719</v>
      </c>
      <c r="O53" s="6" t="n">
        <v>30176</v>
      </c>
      <c r="P53" s="4" t="s">
        <v>46</v>
      </c>
      <c r="Q53" s="6" t="n">
        <v>40000</v>
      </c>
      <c r="R53" s="15" t="n">
        <v>41514</v>
      </c>
      <c r="S53" s="6"/>
      <c r="T53" s="15"/>
      <c r="U53" s="6"/>
      <c r="V53" s="15"/>
      <c r="W53" s="4" t="s">
        <v>47</v>
      </c>
      <c r="X53" s="4" t="s">
        <v>58</v>
      </c>
      <c r="Y53" s="4" t="s">
        <v>4927</v>
      </c>
      <c r="Z53" s="4" t="s">
        <v>3588</v>
      </c>
      <c r="AA53" s="6" t="n">
        <v>0</v>
      </c>
      <c r="AB53" s="6" t="n">
        <v>2598.08</v>
      </c>
      <c r="AC53" s="6" t="n">
        <v>2783.45</v>
      </c>
      <c r="AD53" s="14" t="b">
        <f aca="false">FALSE()</f>
        <v>0</v>
      </c>
    </row>
    <row r="54" customFormat="false" ht="15" hidden="false" customHeight="false" outlineLevel="0" collapsed="false">
      <c r="A54" s="14" t="b">
        <f aca="false">TRUE()</f>
        <v>1</v>
      </c>
      <c r="B54" s="14" t="b">
        <f aca="false">FALSE()</f>
        <v>0</v>
      </c>
      <c r="C54" s="4" t="n">
        <v>2</v>
      </c>
      <c r="D54" s="4"/>
      <c r="E54" s="4"/>
      <c r="F54" s="4"/>
      <c r="G54" s="4"/>
      <c r="H54" s="14" t="b">
        <f aca="false">TRUE()</f>
        <v>1</v>
      </c>
      <c r="I54" s="14" t="b">
        <f aca="false">FALSE()</f>
        <v>0</v>
      </c>
      <c r="J54" s="4"/>
      <c r="K54" s="4" t="s">
        <v>4928</v>
      </c>
      <c r="L54" s="4" t="s">
        <v>4929</v>
      </c>
      <c r="M54" s="4" t="s">
        <v>4930</v>
      </c>
      <c r="N54" s="6" t="n">
        <v>9555</v>
      </c>
      <c r="O54" s="6" t="n">
        <v>21739</v>
      </c>
      <c r="P54" s="4" t="s">
        <v>46</v>
      </c>
      <c r="Q54" s="6" t="n">
        <v>30000</v>
      </c>
      <c r="R54" s="15" t="n">
        <v>41864</v>
      </c>
      <c r="S54" s="6"/>
      <c r="T54" s="15"/>
      <c r="U54" s="6"/>
      <c r="V54" s="15"/>
      <c r="W54" s="4" t="s">
        <v>47</v>
      </c>
      <c r="X54" s="4" t="s">
        <v>58</v>
      </c>
      <c r="Y54" s="4" t="s">
        <v>4931</v>
      </c>
      <c r="Z54" s="4" t="s">
        <v>3588</v>
      </c>
      <c r="AA54" s="6" t="n">
        <v>0</v>
      </c>
      <c r="AB54" s="6" t="n">
        <v>1734.56</v>
      </c>
      <c r="AC54" s="6" t="n">
        <v>1861.65</v>
      </c>
      <c r="AD54" s="14" t="b">
        <f aca="false">FALSE()</f>
        <v>0</v>
      </c>
    </row>
    <row r="55" customFormat="false" ht="15" hidden="false" customHeight="false" outlineLevel="0" collapsed="false">
      <c r="A55" s="14" t="b">
        <f aca="false">TRUE()</f>
        <v>1</v>
      </c>
      <c r="B55" s="14" t="b">
        <f aca="false">FALSE()</f>
        <v>0</v>
      </c>
      <c r="C55" s="4" t="n">
        <v>2</v>
      </c>
      <c r="D55" s="4"/>
      <c r="E55" s="4"/>
      <c r="F55" s="4"/>
      <c r="G55" s="4" t="n">
        <v>3</v>
      </c>
      <c r="H55" s="14" t="b">
        <f aca="false">FALSE()</f>
        <v>0</v>
      </c>
      <c r="I55" s="14" t="b">
        <f aca="false">FALSE()</f>
        <v>0</v>
      </c>
      <c r="J55" s="4"/>
      <c r="K55" s="4" t="s">
        <v>2515</v>
      </c>
      <c r="L55" s="4" t="s">
        <v>4932</v>
      </c>
      <c r="M55" s="4" t="s">
        <v>4933</v>
      </c>
      <c r="N55" s="6" t="n">
        <v>3539</v>
      </c>
      <c r="O55" s="6" t="n">
        <v>31096</v>
      </c>
      <c r="P55" s="4" t="s">
        <v>46</v>
      </c>
      <c r="Q55" s="6" t="n">
        <v>49000</v>
      </c>
      <c r="R55" s="15" t="n">
        <v>34912</v>
      </c>
      <c r="S55" s="6"/>
      <c r="T55" s="15"/>
      <c r="U55" s="6"/>
      <c r="V55" s="15"/>
      <c r="W55" s="4" t="s">
        <v>47</v>
      </c>
      <c r="X55" s="4" t="s">
        <v>47</v>
      </c>
      <c r="Y55" s="4" t="s">
        <v>4934</v>
      </c>
      <c r="Z55" s="4" t="s">
        <v>2108</v>
      </c>
      <c r="AA55" s="6" t="n">
        <v>0</v>
      </c>
      <c r="AB55" s="6" t="n">
        <v>1631.68</v>
      </c>
      <c r="AC55" s="6" t="n">
        <v>1751.82</v>
      </c>
      <c r="AD55" s="14" t="b">
        <f aca="false">FALSE()</f>
        <v>0</v>
      </c>
    </row>
    <row r="56" customFormat="false" ht="15" hidden="false" customHeight="false" outlineLevel="0" collapsed="false">
      <c r="A56" s="14" t="b">
        <f aca="false">TRUE()</f>
        <v>1</v>
      </c>
      <c r="B56" s="14" t="b">
        <f aca="false">FALSE()</f>
        <v>0</v>
      </c>
      <c r="C56" s="4" t="n">
        <v>2</v>
      </c>
      <c r="D56" s="4"/>
      <c r="E56" s="4"/>
      <c r="F56" s="4"/>
      <c r="G56" s="4"/>
      <c r="H56" s="14" t="b">
        <f aca="false">FALSE()</f>
        <v>0</v>
      </c>
      <c r="I56" s="14" t="b">
        <f aca="false">FALSE()</f>
        <v>0</v>
      </c>
      <c r="J56" s="4"/>
      <c r="K56" s="4" t="s">
        <v>4935</v>
      </c>
      <c r="L56" s="4" t="s">
        <v>4936</v>
      </c>
      <c r="M56" s="4" t="s">
        <v>4937</v>
      </c>
      <c r="N56" s="6" t="n">
        <v>4317</v>
      </c>
      <c r="O56" s="6" t="n">
        <v>37977</v>
      </c>
      <c r="P56" s="4" t="s">
        <v>46</v>
      </c>
      <c r="Q56" s="6"/>
      <c r="R56" s="15"/>
      <c r="S56" s="6"/>
      <c r="T56" s="15"/>
      <c r="U56" s="6"/>
      <c r="V56" s="15"/>
      <c r="W56" s="4" t="s">
        <v>58</v>
      </c>
      <c r="X56" s="4" t="s">
        <v>58</v>
      </c>
      <c r="Y56" s="4" t="s">
        <v>4938</v>
      </c>
      <c r="Z56" s="4" t="s">
        <v>2108</v>
      </c>
      <c r="AA56" s="6" t="n">
        <v>0</v>
      </c>
      <c r="AB56" s="6" t="n">
        <v>2100.86</v>
      </c>
      <c r="AC56" s="6" t="n">
        <v>2252.67</v>
      </c>
      <c r="AD56" s="14" t="b">
        <f aca="false">FALSE()</f>
        <v>0</v>
      </c>
    </row>
    <row r="57" customFormat="false" ht="15" hidden="false" customHeight="false" outlineLevel="0" collapsed="false">
      <c r="A57" s="14" t="b">
        <f aca="false">TRUE()</f>
        <v>1</v>
      </c>
      <c r="B57" s="14" t="b">
        <f aca="false">FALSE()</f>
        <v>0</v>
      </c>
      <c r="C57" s="4" t="n">
        <v>2</v>
      </c>
      <c r="D57" s="4"/>
      <c r="E57" s="4"/>
      <c r="F57" s="4"/>
      <c r="G57" s="4"/>
      <c r="H57" s="14" t="b">
        <f aca="false">FALSE()</f>
        <v>0</v>
      </c>
      <c r="I57" s="14" t="b">
        <f aca="false">FALSE()</f>
        <v>0</v>
      </c>
      <c r="J57" s="4"/>
      <c r="K57" s="4" t="s">
        <v>4939</v>
      </c>
      <c r="L57" s="4" t="s">
        <v>4940</v>
      </c>
      <c r="M57" s="4" t="s">
        <v>4941</v>
      </c>
      <c r="N57" s="6" t="n">
        <v>3550</v>
      </c>
      <c r="O57" s="6" t="n">
        <v>30745</v>
      </c>
      <c r="P57" s="4" t="s">
        <v>46</v>
      </c>
      <c r="Q57" s="6"/>
      <c r="R57" s="15"/>
      <c r="S57" s="6"/>
      <c r="T57" s="15"/>
      <c r="U57" s="6"/>
      <c r="V57" s="15"/>
      <c r="W57" s="4" t="s">
        <v>47</v>
      </c>
      <c r="X57" s="4" t="s">
        <v>58</v>
      </c>
      <c r="Y57" s="4" t="s">
        <v>4942</v>
      </c>
      <c r="Z57" s="4" t="s">
        <v>3588</v>
      </c>
      <c r="AA57" s="6" t="n">
        <v>0</v>
      </c>
      <c r="AB57" s="6" t="n">
        <v>2141.92</v>
      </c>
      <c r="AC57" s="6" t="n">
        <v>2296.5</v>
      </c>
      <c r="AD57" s="14" t="b">
        <f aca="false">FALSE()</f>
        <v>0</v>
      </c>
    </row>
    <row r="58" customFormat="false" ht="15" hidden="false" customHeight="false" outlineLevel="0" collapsed="false">
      <c r="A58" s="14" t="b">
        <f aca="false">TRUE()</f>
        <v>1</v>
      </c>
      <c r="B58" s="14" t="b">
        <f aca="false">FALSE()</f>
        <v>0</v>
      </c>
      <c r="C58" s="4" t="n">
        <v>2</v>
      </c>
      <c r="D58" s="4"/>
      <c r="E58" s="4"/>
      <c r="F58" s="4"/>
      <c r="G58" s="4" t="n">
        <v>2</v>
      </c>
      <c r="H58" s="14" t="b">
        <f aca="false">TRUE()</f>
        <v>1</v>
      </c>
      <c r="I58" s="14" t="b">
        <f aca="false">FALSE()</f>
        <v>0</v>
      </c>
      <c r="J58" s="4"/>
      <c r="K58" s="4" t="s">
        <v>4943</v>
      </c>
      <c r="L58" s="4" t="s">
        <v>4944</v>
      </c>
      <c r="M58" s="4" t="s">
        <v>4945</v>
      </c>
      <c r="N58" s="6" t="n">
        <v>11868</v>
      </c>
      <c r="O58" s="6" t="n">
        <v>39639</v>
      </c>
      <c r="P58" s="4" t="s">
        <v>46</v>
      </c>
      <c r="Q58" s="6" t="n">
        <v>52500</v>
      </c>
      <c r="R58" s="15" t="n">
        <v>40961</v>
      </c>
      <c r="S58" s="6"/>
      <c r="T58" s="15"/>
      <c r="U58" s="6"/>
      <c r="V58" s="15"/>
      <c r="W58" s="4" t="s">
        <v>47</v>
      </c>
      <c r="X58" s="4" t="s">
        <v>58</v>
      </c>
      <c r="Y58" s="4" t="s">
        <v>4946</v>
      </c>
      <c r="Z58" s="4" t="s">
        <v>2911</v>
      </c>
      <c r="AA58" s="6" t="n">
        <v>0</v>
      </c>
      <c r="AB58" s="6" t="n">
        <v>2032.82</v>
      </c>
      <c r="AC58" s="6" t="n">
        <v>2180.04</v>
      </c>
      <c r="AD58" s="14" t="b">
        <f aca="false">FALSE()</f>
        <v>0</v>
      </c>
    </row>
    <row r="59" customFormat="false" ht="15" hidden="false" customHeight="false" outlineLevel="0" collapsed="false">
      <c r="A59" s="14" t="b">
        <f aca="false">TRUE()</f>
        <v>1</v>
      </c>
      <c r="B59" s="14" t="b">
        <f aca="false">FALSE()</f>
        <v>0</v>
      </c>
      <c r="C59" s="4" t="n">
        <v>2</v>
      </c>
      <c r="D59" s="4"/>
      <c r="E59" s="4"/>
      <c r="F59" s="4"/>
      <c r="G59" s="4" t="n">
        <v>2</v>
      </c>
      <c r="H59" s="14" t="b">
        <f aca="false">FALSE()</f>
        <v>0</v>
      </c>
      <c r="I59" s="14" t="b">
        <f aca="false">FALSE()</f>
        <v>0</v>
      </c>
      <c r="J59" s="4"/>
      <c r="K59" s="4" t="s">
        <v>4947</v>
      </c>
      <c r="L59" s="4" t="s">
        <v>4948</v>
      </c>
      <c r="M59" s="4" t="s">
        <v>4949</v>
      </c>
      <c r="N59" s="6" t="n">
        <v>9942</v>
      </c>
      <c r="O59" s="6" t="n">
        <v>29773</v>
      </c>
      <c r="P59" s="4" t="s">
        <v>46</v>
      </c>
      <c r="Q59" s="6" t="n">
        <v>117500</v>
      </c>
      <c r="R59" s="15" t="n">
        <v>38349</v>
      </c>
      <c r="S59" s="6"/>
      <c r="T59" s="15"/>
      <c r="U59" s="6"/>
      <c r="V59" s="15"/>
      <c r="W59" s="4" t="s">
        <v>47</v>
      </c>
      <c r="X59" s="4" t="s">
        <v>58</v>
      </c>
      <c r="Y59" s="4" t="s">
        <v>4950</v>
      </c>
      <c r="Z59" s="4" t="s">
        <v>2911</v>
      </c>
      <c r="AA59" s="6" t="n">
        <v>0</v>
      </c>
      <c r="AB59" s="6" t="n">
        <v>2273.74</v>
      </c>
      <c r="AC59" s="6" t="n">
        <v>2437.22</v>
      </c>
      <c r="AD59" s="14" t="b">
        <f aca="false">FALSE()</f>
        <v>0</v>
      </c>
    </row>
    <row r="60" customFormat="false" ht="15" hidden="false" customHeight="false" outlineLevel="0" collapsed="false">
      <c r="A60" s="14" t="b">
        <f aca="false">TRUE()</f>
        <v>1</v>
      </c>
      <c r="B60" s="14" t="b">
        <f aca="false">FALSE()</f>
        <v>0</v>
      </c>
      <c r="C60" s="4" t="n">
        <v>2</v>
      </c>
      <c r="D60" s="4"/>
      <c r="E60" s="4"/>
      <c r="F60" s="4"/>
      <c r="G60" s="4"/>
      <c r="H60" s="14" t="b">
        <f aca="false">FALSE()</f>
        <v>0</v>
      </c>
      <c r="I60" s="14" t="b">
        <f aca="false">FALSE()</f>
        <v>0</v>
      </c>
      <c r="J60" s="4"/>
      <c r="K60" s="4" t="s">
        <v>4951</v>
      </c>
      <c r="L60" s="4" t="s">
        <v>4952</v>
      </c>
      <c r="M60" s="4" t="s">
        <v>4953</v>
      </c>
      <c r="N60" s="6" t="n">
        <v>9486</v>
      </c>
      <c r="O60" s="6" t="n">
        <v>32645</v>
      </c>
      <c r="P60" s="4" t="s">
        <v>46</v>
      </c>
      <c r="Q60" s="6" t="n">
        <v>52000</v>
      </c>
      <c r="R60" s="15" t="n">
        <v>40458</v>
      </c>
      <c r="S60" s="6"/>
      <c r="T60" s="15"/>
      <c r="U60" s="6"/>
      <c r="V60" s="15"/>
      <c r="W60" s="4" t="s">
        <v>47</v>
      </c>
      <c r="X60" s="4" t="s">
        <v>58</v>
      </c>
      <c r="Y60" s="4" t="s">
        <v>4954</v>
      </c>
      <c r="Z60" s="4" t="s">
        <v>4015</v>
      </c>
      <c r="AA60" s="6" t="n">
        <v>0</v>
      </c>
      <c r="AB60" s="6" t="n">
        <v>2655.1</v>
      </c>
      <c r="AC60" s="6" t="n">
        <v>2844.32</v>
      </c>
      <c r="AD60" s="14" t="b">
        <f aca="false">FALSE()</f>
        <v>0</v>
      </c>
    </row>
    <row r="61" customFormat="false" ht="15" hidden="false" customHeight="false" outlineLevel="0" collapsed="false">
      <c r="A61" s="14" t="b">
        <f aca="false">TRUE()</f>
        <v>1</v>
      </c>
      <c r="B61" s="14" t="b">
        <f aca="false">FALSE()</f>
        <v>0</v>
      </c>
      <c r="C61" s="4" t="n">
        <v>2</v>
      </c>
      <c r="D61" s="4"/>
      <c r="E61" s="4"/>
      <c r="F61" s="4"/>
      <c r="G61" s="4"/>
      <c r="H61" s="14" t="b">
        <f aca="false">FALSE()</f>
        <v>0</v>
      </c>
      <c r="I61" s="14" t="b">
        <f aca="false">FALSE()</f>
        <v>0</v>
      </c>
      <c r="J61" s="4"/>
      <c r="K61" s="4" t="s">
        <v>3181</v>
      </c>
      <c r="L61" s="4" t="s">
        <v>4955</v>
      </c>
      <c r="M61" s="4" t="s">
        <v>4956</v>
      </c>
      <c r="N61" s="6" t="n">
        <v>8626</v>
      </c>
      <c r="O61" s="6" t="n">
        <v>31307</v>
      </c>
      <c r="P61" s="4" t="s">
        <v>46</v>
      </c>
      <c r="Q61" s="6" t="n">
        <v>105000</v>
      </c>
      <c r="R61" s="15" t="n">
        <v>42870</v>
      </c>
      <c r="S61" s="6"/>
      <c r="T61" s="15"/>
      <c r="U61" s="6"/>
      <c r="V61" s="15"/>
      <c r="W61" s="4" t="s">
        <v>47</v>
      </c>
      <c r="X61" s="4" t="s">
        <v>47</v>
      </c>
      <c r="Y61" s="4" t="s">
        <v>4957</v>
      </c>
      <c r="Z61" s="4" t="s">
        <v>4120</v>
      </c>
      <c r="AA61" s="6" t="n">
        <v>0</v>
      </c>
      <c r="AB61" s="6" t="n">
        <v>1890.96</v>
      </c>
      <c r="AC61" s="6" t="n">
        <v>2028.6</v>
      </c>
      <c r="AD61" s="14" t="b">
        <f aca="false">FALSE()</f>
        <v>0</v>
      </c>
    </row>
    <row r="62" customFormat="false" ht="15" hidden="false" customHeight="false" outlineLevel="0" collapsed="false">
      <c r="A62" s="14" t="b">
        <f aca="false">TRUE()</f>
        <v>1</v>
      </c>
      <c r="B62" s="14" t="b">
        <f aca="false">FALSE()</f>
        <v>0</v>
      </c>
      <c r="C62" s="4" t="n">
        <v>2</v>
      </c>
      <c r="D62" s="4"/>
      <c r="E62" s="4"/>
      <c r="F62" s="4"/>
      <c r="G62" s="4"/>
      <c r="H62" s="14" t="b">
        <f aca="false">FALSE()</f>
        <v>0</v>
      </c>
      <c r="I62" s="14" t="b">
        <f aca="false">FALSE()</f>
        <v>0</v>
      </c>
      <c r="J62" s="4"/>
      <c r="K62" s="4" t="s">
        <v>4958</v>
      </c>
      <c r="L62" s="4" t="s">
        <v>4959</v>
      </c>
      <c r="M62" s="4" t="s">
        <v>4960</v>
      </c>
      <c r="N62" s="6" t="n">
        <v>6070</v>
      </c>
      <c r="O62" s="6" t="n">
        <v>26629</v>
      </c>
      <c r="P62" s="4" t="s">
        <v>46</v>
      </c>
      <c r="Q62" s="6" t="n">
        <v>58000</v>
      </c>
      <c r="R62" s="15" t="n">
        <v>42156</v>
      </c>
      <c r="S62" s="6"/>
      <c r="T62" s="15"/>
      <c r="U62" s="6"/>
      <c r="V62" s="15"/>
      <c r="W62" s="4" t="s">
        <v>47</v>
      </c>
      <c r="X62" s="4" t="s">
        <v>47</v>
      </c>
      <c r="Y62" s="4" t="s">
        <v>4961</v>
      </c>
      <c r="Z62" s="4" t="s">
        <v>4233</v>
      </c>
      <c r="AA62" s="6" t="n">
        <v>0</v>
      </c>
      <c r="AB62" s="6" t="n">
        <v>2106.82</v>
      </c>
      <c r="AC62" s="6" t="n">
        <v>2259.03</v>
      </c>
      <c r="AD62" s="14" t="b">
        <f aca="false">FALSE()</f>
        <v>0</v>
      </c>
    </row>
    <row r="63" customFormat="false" ht="15" hidden="false" customHeight="false" outlineLevel="0" collapsed="false">
      <c r="A63" s="14" t="b">
        <f aca="false">TRUE()</f>
        <v>1</v>
      </c>
      <c r="B63" s="14" t="b">
        <f aca="false">FALSE()</f>
        <v>0</v>
      </c>
      <c r="C63" s="4" t="n">
        <v>2</v>
      </c>
      <c r="D63" s="4"/>
      <c r="E63" s="4"/>
      <c r="F63" s="4"/>
      <c r="G63" s="4" t="n">
        <v>2</v>
      </c>
      <c r="H63" s="14" t="b">
        <f aca="false">TRUE()</f>
        <v>1</v>
      </c>
      <c r="I63" s="14" t="b">
        <f aca="false">FALSE()</f>
        <v>0</v>
      </c>
      <c r="J63" s="4"/>
      <c r="K63" s="4" t="s">
        <v>4962</v>
      </c>
      <c r="L63" s="4" t="s">
        <v>4963</v>
      </c>
      <c r="M63" s="4" t="s">
        <v>4964</v>
      </c>
      <c r="N63" s="6" t="n">
        <v>12292</v>
      </c>
      <c r="O63" s="6" t="n">
        <v>51203</v>
      </c>
      <c r="P63" s="4" t="s">
        <v>46</v>
      </c>
      <c r="Q63" s="6"/>
      <c r="R63" s="15" t="n">
        <v>43536</v>
      </c>
      <c r="S63" s="6"/>
      <c r="T63" s="15"/>
      <c r="U63" s="6"/>
      <c r="V63" s="15"/>
      <c r="W63" s="4" t="s">
        <v>47</v>
      </c>
      <c r="X63" s="4" t="s">
        <v>47</v>
      </c>
      <c r="Y63" s="4" t="s">
        <v>4965</v>
      </c>
      <c r="Z63" s="4" t="s">
        <v>4120</v>
      </c>
      <c r="AA63" s="6" t="n">
        <v>0</v>
      </c>
      <c r="AB63" s="6" t="n">
        <v>2655.72</v>
      </c>
      <c r="AC63" s="6" t="n">
        <v>2844.98</v>
      </c>
      <c r="AD63" s="14" t="b">
        <f aca="false">FALSE()</f>
        <v>0</v>
      </c>
    </row>
    <row r="64" customFormat="false" ht="15" hidden="false" customHeight="false" outlineLevel="0" collapsed="false">
      <c r="A64" s="14" t="b">
        <f aca="false">TRUE()</f>
        <v>1</v>
      </c>
      <c r="B64" s="14" t="b">
        <f aca="false">FALSE()</f>
        <v>0</v>
      </c>
      <c r="C64" s="4" t="n">
        <v>2</v>
      </c>
      <c r="D64" s="4"/>
      <c r="E64" s="4"/>
      <c r="F64" s="4"/>
      <c r="G64" s="4"/>
      <c r="H64" s="14" t="b">
        <f aca="false">TRUE()</f>
        <v>1</v>
      </c>
      <c r="I64" s="14" t="b">
        <f aca="false">FALSE()</f>
        <v>0</v>
      </c>
      <c r="J64" s="4"/>
      <c r="K64" s="4" t="s">
        <v>4966</v>
      </c>
      <c r="L64" s="4" t="s">
        <v>4967</v>
      </c>
      <c r="M64" s="4" t="s">
        <v>4968</v>
      </c>
      <c r="N64" s="6" t="n">
        <v>7854</v>
      </c>
      <c r="O64" s="6" t="n">
        <v>47221</v>
      </c>
      <c r="P64" s="4" t="s">
        <v>46</v>
      </c>
      <c r="Q64" s="6" t="n">
        <v>156000</v>
      </c>
      <c r="R64" s="15" t="n">
        <v>39386</v>
      </c>
      <c r="S64" s="6"/>
      <c r="T64" s="15"/>
      <c r="U64" s="6"/>
      <c r="V64" s="15"/>
      <c r="W64" s="4" t="s">
        <v>47</v>
      </c>
      <c r="X64" s="4" t="s">
        <v>47</v>
      </c>
      <c r="Y64" s="4" t="s">
        <v>4969</v>
      </c>
      <c r="Z64" s="4" t="s">
        <v>2911</v>
      </c>
      <c r="AA64" s="6" t="n">
        <v>0</v>
      </c>
      <c r="AB64" s="6" t="n">
        <v>2651.22</v>
      </c>
      <c r="AC64" s="6" t="n">
        <v>2840.17</v>
      </c>
      <c r="AD64" s="14" t="b">
        <f aca="false">FALSE()</f>
        <v>0</v>
      </c>
    </row>
    <row r="65" customFormat="false" ht="15" hidden="false" customHeight="false" outlineLevel="0" collapsed="false">
      <c r="A65" s="14" t="b">
        <f aca="false">TRUE()</f>
        <v>1</v>
      </c>
      <c r="B65" s="14" t="b">
        <f aca="false">FALSE()</f>
        <v>0</v>
      </c>
      <c r="C65" s="4" t="n">
        <v>2</v>
      </c>
      <c r="D65" s="4"/>
      <c r="E65" s="4"/>
      <c r="F65" s="4"/>
      <c r="G65" s="4" t="n">
        <v>2</v>
      </c>
      <c r="H65" s="14" t="b">
        <f aca="false">TRUE()</f>
        <v>1</v>
      </c>
      <c r="I65" s="14" t="b">
        <f aca="false">FALSE()</f>
        <v>0</v>
      </c>
      <c r="J65" s="4"/>
      <c r="K65" s="4" t="s">
        <v>4970</v>
      </c>
      <c r="L65" s="4" t="s">
        <v>4971</v>
      </c>
      <c r="M65" s="4" t="s">
        <v>4972</v>
      </c>
      <c r="N65" s="6" t="n">
        <v>10704</v>
      </c>
      <c r="O65" s="6" t="n">
        <v>32786</v>
      </c>
      <c r="P65" s="4" t="s">
        <v>46</v>
      </c>
      <c r="Q65" s="6" t="n">
        <v>56000</v>
      </c>
      <c r="R65" s="15" t="n">
        <v>41071</v>
      </c>
      <c r="S65" s="6"/>
      <c r="T65" s="15"/>
      <c r="U65" s="6"/>
      <c r="V65" s="15"/>
      <c r="W65" s="4" t="s">
        <v>58</v>
      </c>
      <c r="X65" s="4" t="s">
        <v>47</v>
      </c>
      <c r="Y65" s="4" t="s">
        <v>4973</v>
      </c>
      <c r="Z65" s="4" t="s">
        <v>4120</v>
      </c>
      <c r="AA65" s="6" t="n">
        <v>0</v>
      </c>
      <c r="AB65" s="6" t="n">
        <v>1714.14</v>
      </c>
      <c r="AC65" s="6" t="n">
        <v>1839.85</v>
      </c>
      <c r="AD65" s="14" t="b">
        <f aca="false">FALSE()</f>
        <v>0</v>
      </c>
    </row>
    <row r="66" customFormat="false" ht="15" hidden="false" customHeight="false" outlineLevel="0" collapsed="false">
      <c r="A66" s="14" t="b">
        <f aca="false">TRUE()</f>
        <v>1</v>
      </c>
      <c r="B66" s="14" t="b">
        <f aca="false">FALSE()</f>
        <v>0</v>
      </c>
      <c r="C66" s="4" t="n">
        <v>3</v>
      </c>
      <c r="D66" s="4"/>
      <c r="E66" s="4"/>
      <c r="F66" s="4"/>
      <c r="G66" s="4" t="n">
        <v>3</v>
      </c>
      <c r="H66" s="14" t="b">
        <f aca="false">FALSE()</f>
        <v>0</v>
      </c>
      <c r="I66" s="14" t="b">
        <f aca="false">FALSE()</f>
        <v>0</v>
      </c>
      <c r="J66" s="4"/>
      <c r="K66" s="4" t="s">
        <v>4974</v>
      </c>
      <c r="L66" s="4" t="s">
        <v>4975</v>
      </c>
      <c r="M66" s="4" t="s">
        <v>4976</v>
      </c>
      <c r="N66" s="6" t="n">
        <v>7462</v>
      </c>
      <c r="O66" s="6" t="n">
        <v>24323</v>
      </c>
      <c r="P66" s="4" t="s">
        <v>46</v>
      </c>
      <c r="Q66" s="6"/>
      <c r="R66" s="15" t="n">
        <v>34159</v>
      </c>
      <c r="S66" s="6" t="n">
        <v>38600</v>
      </c>
      <c r="T66" s="15" t="n">
        <v>37876</v>
      </c>
      <c r="U66" s="6" t="n">
        <v>10000</v>
      </c>
      <c r="V66" s="15" t="n">
        <v>36531</v>
      </c>
      <c r="W66" s="4" t="s">
        <v>58</v>
      </c>
      <c r="X66" s="4" t="s">
        <v>47</v>
      </c>
      <c r="Y66" s="4" t="s">
        <v>4977</v>
      </c>
      <c r="Z66" s="4" t="s">
        <v>4120</v>
      </c>
      <c r="AA66" s="6" t="n">
        <v>0</v>
      </c>
      <c r="AB66" s="6" t="n">
        <v>1148.8</v>
      </c>
      <c r="AC66" s="6" t="n">
        <v>1236.35</v>
      </c>
      <c r="AD66" s="14" t="b">
        <f aca="false">FALSE()</f>
        <v>0</v>
      </c>
    </row>
    <row r="67" customFormat="false" ht="15" hidden="false" customHeight="false" outlineLevel="0" collapsed="false">
      <c r="A67" s="14" t="b">
        <f aca="false">TRUE()</f>
        <v>1</v>
      </c>
      <c r="B67" s="14" t="b">
        <f aca="false">FALSE()</f>
        <v>0</v>
      </c>
      <c r="C67" s="4" t="n">
        <v>2</v>
      </c>
      <c r="D67" s="4"/>
      <c r="E67" s="4"/>
      <c r="F67" s="4"/>
      <c r="G67" s="4"/>
      <c r="H67" s="14" t="b">
        <f aca="false">FALSE()</f>
        <v>0</v>
      </c>
      <c r="I67" s="14" t="b">
        <f aca="false">FALSE()</f>
        <v>0</v>
      </c>
      <c r="J67" s="4"/>
      <c r="K67" s="4" t="s">
        <v>4437</v>
      </c>
      <c r="L67" s="4" t="s">
        <v>4978</v>
      </c>
      <c r="M67" s="4" t="s">
        <v>4979</v>
      </c>
      <c r="N67" s="6" t="n">
        <v>10704</v>
      </c>
      <c r="O67" s="6" t="n">
        <v>32786</v>
      </c>
      <c r="P67" s="4" t="s">
        <v>46</v>
      </c>
      <c r="Q67" s="6" t="n">
        <v>86500</v>
      </c>
      <c r="R67" s="15" t="n">
        <v>42496</v>
      </c>
      <c r="S67" s="6"/>
      <c r="T67" s="15"/>
      <c r="U67" s="6"/>
      <c r="V67" s="15"/>
      <c r="W67" s="4" t="s">
        <v>58</v>
      </c>
      <c r="X67" s="4" t="s">
        <v>58</v>
      </c>
      <c r="Y67" s="4" t="s">
        <v>4980</v>
      </c>
      <c r="Z67" s="4" t="s">
        <v>4120</v>
      </c>
      <c r="AA67" s="6" t="n">
        <v>0</v>
      </c>
      <c r="AB67" s="6" t="n">
        <v>2100.52</v>
      </c>
      <c r="AC67" s="6" t="n">
        <v>2252.3</v>
      </c>
      <c r="AD67" s="14" t="b">
        <f aca="false">FALSE()</f>
        <v>0</v>
      </c>
    </row>
    <row r="68" customFormat="false" ht="15" hidden="false" customHeight="false" outlineLevel="0" collapsed="false">
      <c r="A68" s="14" t="b">
        <f aca="false">TRUE()</f>
        <v>1</v>
      </c>
      <c r="B68" s="14" t="b">
        <f aca="false">FALSE()</f>
        <v>0</v>
      </c>
      <c r="C68" s="4" t="n">
        <v>2</v>
      </c>
      <c r="D68" s="4"/>
      <c r="E68" s="4"/>
      <c r="F68" s="4"/>
      <c r="G68" s="4" t="n">
        <v>2</v>
      </c>
      <c r="H68" s="14" t="b">
        <f aca="false">FALSE()</f>
        <v>0</v>
      </c>
      <c r="I68" s="14" t="b">
        <f aca="false">FALSE()</f>
        <v>0</v>
      </c>
      <c r="J68" s="4"/>
      <c r="K68" s="4" t="s">
        <v>4981</v>
      </c>
      <c r="L68" s="4" t="s">
        <v>4982</v>
      </c>
      <c r="M68" s="4" t="s">
        <v>4983</v>
      </c>
      <c r="N68" s="6" t="n">
        <v>10704</v>
      </c>
      <c r="O68" s="6" t="n">
        <v>32786</v>
      </c>
      <c r="P68" s="4" t="s">
        <v>46</v>
      </c>
      <c r="Q68" s="6" t="n">
        <v>110000</v>
      </c>
      <c r="R68" s="15" t="n">
        <v>43698</v>
      </c>
      <c r="S68" s="6"/>
      <c r="T68" s="15"/>
      <c r="U68" s="6"/>
      <c r="V68" s="15"/>
      <c r="W68" s="4" t="s">
        <v>58</v>
      </c>
      <c r="X68" s="4" t="s">
        <v>47</v>
      </c>
      <c r="Y68" s="4" t="s">
        <v>4984</v>
      </c>
      <c r="Z68" s="4" t="s">
        <v>4120</v>
      </c>
      <c r="AA68" s="6" t="n">
        <v>0</v>
      </c>
      <c r="AB68" s="6" t="n">
        <v>2100.52</v>
      </c>
      <c r="AC68" s="6" t="n">
        <v>2252.3</v>
      </c>
      <c r="AD68" s="14" t="b">
        <f aca="false">FALSE()</f>
        <v>0</v>
      </c>
    </row>
    <row r="69" customFormat="false" ht="15" hidden="false" customHeight="false" outlineLevel="0" collapsed="false">
      <c r="A69" s="14" t="b">
        <f aca="false">TRUE()</f>
        <v>1</v>
      </c>
      <c r="B69" s="14" t="b">
        <f aca="false">FALSE()</f>
        <v>0</v>
      </c>
      <c r="C69" s="4" t="n">
        <v>2</v>
      </c>
      <c r="D69" s="4"/>
      <c r="E69" s="4"/>
      <c r="F69" s="4"/>
      <c r="G69" s="4"/>
      <c r="H69" s="14" t="b">
        <f aca="false">FALSE()</f>
        <v>0</v>
      </c>
      <c r="I69" s="14" t="b">
        <f aca="false">FALSE()</f>
        <v>0</v>
      </c>
      <c r="J69" s="4"/>
      <c r="K69" s="4" t="s">
        <v>4985</v>
      </c>
      <c r="L69" s="4" t="s">
        <v>4986</v>
      </c>
      <c r="M69" s="4" t="s">
        <v>4987</v>
      </c>
      <c r="N69" s="6" t="n">
        <v>10824</v>
      </c>
      <c r="O69" s="6" t="n">
        <v>32786</v>
      </c>
      <c r="P69" s="4" t="s">
        <v>46</v>
      </c>
      <c r="Q69" s="6" t="n">
        <v>160000</v>
      </c>
      <c r="R69" s="15" t="n">
        <v>45183</v>
      </c>
      <c r="S69" s="6"/>
      <c r="T69" s="15"/>
      <c r="U69" s="6"/>
      <c r="V69" s="15"/>
      <c r="W69" s="4" t="s">
        <v>58</v>
      </c>
      <c r="X69" s="4" t="s">
        <v>58</v>
      </c>
      <c r="Y69" s="4" t="s">
        <v>4988</v>
      </c>
      <c r="Z69" s="4" t="s">
        <v>4120</v>
      </c>
      <c r="AA69" s="6" t="n">
        <v>0</v>
      </c>
      <c r="AB69" s="6" t="n">
        <v>1719.92</v>
      </c>
      <c r="AC69" s="6" t="n">
        <v>1846.02</v>
      </c>
      <c r="AD69" s="14" t="b">
        <f aca="false">FALSE()</f>
        <v>0</v>
      </c>
    </row>
    <row r="70" customFormat="false" ht="15" hidden="false" customHeight="false" outlineLevel="0" collapsed="false">
      <c r="A70" s="14" t="b">
        <f aca="false">TRUE()</f>
        <v>1</v>
      </c>
      <c r="B70" s="14" t="b">
        <f aca="false">FALSE()</f>
        <v>0</v>
      </c>
      <c r="C70" s="4" t="n">
        <v>2</v>
      </c>
      <c r="D70" s="4"/>
      <c r="E70" s="4"/>
      <c r="F70" s="4"/>
      <c r="G70" s="4"/>
      <c r="H70" s="14" t="b">
        <f aca="false">FALSE()</f>
        <v>0</v>
      </c>
      <c r="I70" s="14" t="b">
        <f aca="false">FALSE()</f>
        <v>0</v>
      </c>
      <c r="J70" s="4"/>
      <c r="K70" s="4" t="s">
        <v>4989</v>
      </c>
      <c r="L70" s="4" t="s">
        <v>4990</v>
      </c>
      <c r="M70" s="4" t="s">
        <v>4991</v>
      </c>
      <c r="N70" s="6" t="n">
        <v>7473</v>
      </c>
      <c r="O70" s="6" t="n">
        <v>24323</v>
      </c>
      <c r="P70" s="4" t="s">
        <v>46</v>
      </c>
      <c r="Q70" s="6" t="n">
        <v>69500</v>
      </c>
      <c r="R70" s="15" t="n">
        <v>37386</v>
      </c>
      <c r="S70" s="6"/>
      <c r="T70" s="15"/>
      <c r="U70" s="6"/>
      <c r="V70" s="15"/>
      <c r="W70" s="4" t="s">
        <v>58</v>
      </c>
      <c r="X70" s="4" t="s">
        <v>47</v>
      </c>
      <c r="Y70" s="4" t="s">
        <v>4992</v>
      </c>
      <c r="Z70" s="4" t="s">
        <v>4120</v>
      </c>
      <c r="AA70" s="6" t="n">
        <v>0</v>
      </c>
      <c r="AB70" s="6" t="n">
        <v>1149.32</v>
      </c>
      <c r="AC70" s="6" t="n">
        <v>1236.9</v>
      </c>
      <c r="AD70" s="14" t="b">
        <f aca="false">FALSE()</f>
        <v>0</v>
      </c>
    </row>
    <row r="71" customFormat="false" ht="15" hidden="false" customHeight="false" outlineLevel="0" collapsed="false">
      <c r="A71" s="14" t="b">
        <f aca="false">TRUE()</f>
        <v>1</v>
      </c>
      <c r="B71" s="14" t="b">
        <f aca="false">FALSE()</f>
        <v>0</v>
      </c>
      <c r="C71" s="4" t="n">
        <v>2</v>
      </c>
      <c r="D71" s="4"/>
      <c r="E71" s="4"/>
      <c r="F71" s="4"/>
      <c r="G71" s="4"/>
      <c r="H71" s="14" t="b">
        <f aca="false">FALSE()</f>
        <v>0</v>
      </c>
      <c r="I71" s="14" t="b">
        <f aca="false">FALSE()</f>
        <v>0</v>
      </c>
      <c r="J71" s="4"/>
      <c r="K71" s="4" t="s">
        <v>4437</v>
      </c>
      <c r="L71" s="4" t="s">
        <v>4993</v>
      </c>
      <c r="M71" s="4" t="s">
        <v>4994</v>
      </c>
      <c r="N71" s="6" t="n">
        <v>10824</v>
      </c>
      <c r="O71" s="6" t="n">
        <v>32786</v>
      </c>
      <c r="P71" s="4" t="s">
        <v>46</v>
      </c>
      <c r="Q71" s="6"/>
      <c r="R71" s="15" t="n">
        <v>41239</v>
      </c>
      <c r="S71" s="6"/>
      <c r="T71" s="15"/>
      <c r="U71" s="6"/>
      <c r="V71" s="15"/>
      <c r="W71" s="4" t="s">
        <v>58</v>
      </c>
      <c r="X71" s="4" t="s">
        <v>47</v>
      </c>
      <c r="Y71" s="4" t="s">
        <v>4995</v>
      </c>
      <c r="Z71" s="4" t="s">
        <v>4120</v>
      </c>
      <c r="AA71" s="6" t="n">
        <v>0</v>
      </c>
      <c r="AB71" s="6" t="n">
        <v>1719.92</v>
      </c>
      <c r="AC71" s="6" t="n">
        <v>1846.02</v>
      </c>
      <c r="AD71" s="14" t="b">
        <f aca="false">FALSE()</f>
        <v>0</v>
      </c>
    </row>
    <row r="72" customFormat="false" ht="15" hidden="false" customHeight="false" outlineLevel="0" collapsed="false">
      <c r="A72" s="14" t="b">
        <f aca="false">TRUE()</f>
        <v>1</v>
      </c>
      <c r="B72" s="14" t="b">
        <f aca="false">FALSE()</f>
        <v>0</v>
      </c>
      <c r="C72" s="4" t="n">
        <v>3</v>
      </c>
      <c r="D72" s="4"/>
      <c r="E72" s="4"/>
      <c r="F72" s="4"/>
      <c r="G72" s="4"/>
      <c r="H72" s="14" t="b">
        <f aca="false">FALSE()</f>
        <v>0</v>
      </c>
      <c r="I72" s="14" t="b">
        <f aca="false">FALSE()</f>
        <v>0</v>
      </c>
      <c r="J72" s="4"/>
      <c r="K72" s="4" t="s">
        <v>4996</v>
      </c>
      <c r="L72" s="4" t="s">
        <v>4997</v>
      </c>
      <c r="M72" s="4" t="s">
        <v>4998</v>
      </c>
      <c r="N72" s="6" t="n">
        <v>7810</v>
      </c>
      <c r="O72" s="6" t="n">
        <v>23921</v>
      </c>
      <c r="P72" s="4" t="s">
        <v>46</v>
      </c>
      <c r="Q72" s="6"/>
      <c r="R72" s="15"/>
      <c r="S72" s="6" t="n">
        <v>25000</v>
      </c>
      <c r="T72" s="15" t="n">
        <v>38758</v>
      </c>
      <c r="U72" s="6"/>
      <c r="V72" s="15"/>
      <c r="W72" s="4" t="s">
        <v>47</v>
      </c>
      <c r="X72" s="4" t="s">
        <v>58</v>
      </c>
      <c r="Y72" s="4" t="s">
        <v>4999</v>
      </c>
      <c r="Z72" s="4" t="s">
        <v>4120</v>
      </c>
      <c r="AA72" s="6" t="n">
        <v>0</v>
      </c>
      <c r="AB72" s="6" t="n">
        <v>895.64</v>
      </c>
      <c r="AC72" s="6" t="n">
        <v>966.09</v>
      </c>
      <c r="AD72" s="14" t="b">
        <f aca="false">FALSE()</f>
        <v>0</v>
      </c>
    </row>
    <row r="73" customFormat="false" ht="15" hidden="false" customHeight="false" outlineLevel="0" collapsed="false">
      <c r="A73" s="14" t="b">
        <f aca="false">TRUE()</f>
        <v>1</v>
      </c>
      <c r="B73" s="14" t="b">
        <f aca="false">FALSE()</f>
        <v>0</v>
      </c>
      <c r="C73" s="4" t="n">
        <v>2</v>
      </c>
      <c r="D73" s="4"/>
      <c r="E73" s="4"/>
      <c r="F73" s="4"/>
      <c r="G73" s="4"/>
      <c r="H73" s="14" t="b">
        <f aca="false">FALSE()</f>
        <v>0</v>
      </c>
      <c r="I73" s="14" t="b">
        <f aca="false">FALSE()</f>
        <v>0</v>
      </c>
      <c r="J73" s="4"/>
      <c r="K73" s="4" t="s">
        <v>5000</v>
      </c>
      <c r="L73" s="4" t="s">
        <v>5001</v>
      </c>
      <c r="M73" s="4" t="s">
        <v>5002</v>
      </c>
      <c r="N73" s="6" t="n">
        <v>10019</v>
      </c>
      <c r="O73" s="6" t="n">
        <v>32199</v>
      </c>
      <c r="P73" s="4" t="s">
        <v>46</v>
      </c>
      <c r="Q73" s="6"/>
      <c r="R73" s="15" t="n">
        <v>43531</v>
      </c>
      <c r="S73" s="6"/>
      <c r="T73" s="15"/>
      <c r="U73" s="6"/>
      <c r="V73" s="15"/>
      <c r="W73" s="4" t="s">
        <v>47</v>
      </c>
      <c r="X73" s="4" t="s">
        <v>58</v>
      </c>
      <c r="Y73" s="4" t="s">
        <v>5003</v>
      </c>
      <c r="Z73" s="4" t="s">
        <v>4120</v>
      </c>
      <c r="AA73" s="6" t="n">
        <v>0</v>
      </c>
      <c r="AB73" s="6" t="n">
        <v>1948.18</v>
      </c>
      <c r="AC73" s="6" t="n">
        <v>2089.68</v>
      </c>
      <c r="AD73" s="14" t="b">
        <f aca="false">FALSE()</f>
        <v>0</v>
      </c>
    </row>
    <row r="74" customFormat="false" ht="15" hidden="false" customHeight="false" outlineLevel="0" collapsed="false">
      <c r="A74" s="14" t="b">
        <f aca="false">TRUE()</f>
        <v>1</v>
      </c>
      <c r="B74" s="14" t="b">
        <f aca="false">FALSE()</f>
        <v>0</v>
      </c>
      <c r="C74" s="4" t="n">
        <v>2</v>
      </c>
      <c r="D74" s="4"/>
      <c r="E74" s="4"/>
      <c r="F74" s="4"/>
      <c r="G74" s="4"/>
      <c r="H74" s="14" t="b">
        <f aca="false">FALSE()</f>
        <v>0</v>
      </c>
      <c r="I74" s="14" t="b">
        <f aca="false">FALSE()</f>
        <v>0</v>
      </c>
      <c r="J74" s="4"/>
      <c r="K74" s="4" t="s">
        <v>4437</v>
      </c>
      <c r="L74" s="4" t="s">
        <v>5004</v>
      </c>
      <c r="M74" s="4" t="s">
        <v>5005</v>
      </c>
      <c r="N74" s="6" t="n">
        <v>8615</v>
      </c>
      <c r="O74" s="6" t="n">
        <v>37910</v>
      </c>
      <c r="P74" s="4" t="s">
        <v>46</v>
      </c>
      <c r="Q74" s="6"/>
      <c r="R74" s="15" t="n">
        <v>42356</v>
      </c>
      <c r="S74" s="6"/>
      <c r="T74" s="15"/>
      <c r="U74" s="6"/>
      <c r="V74" s="15"/>
      <c r="W74" s="4" t="s">
        <v>47</v>
      </c>
      <c r="X74" s="4" t="s">
        <v>58</v>
      </c>
      <c r="Y74" s="4" t="s">
        <v>5006</v>
      </c>
      <c r="Z74" s="4" t="s">
        <v>4120</v>
      </c>
      <c r="AA74" s="6" t="n">
        <v>0</v>
      </c>
      <c r="AB74" s="6" t="n">
        <v>2648.86</v>
      </c>
      <c r="AC74" s="6" t="n">
        <v>2837.66</v>
      </c>
      <c r="AD74" s="14" t="b">
        <f aca="false">FALSE()</f>
        <v>0</v>
      </c>
    </row>
    <row r="76" customFormat="false" ht="15" hidden="false" customHeight="false" outlineLevel="0" collapsed="false">
      <c r="AB76" s="10" t="s">
        <v>4616</v>
      </c>
      <c r="AC76" s="12" t="n">
        <f aca="false">SUM(AC2:AC74)</f>
        <v>156875.76</v>
      </c>
    </row>
  </sheetData>
  <autoFilter ref="A1:AD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2026-10-28T15:00:52Z</dcterms:created>
  <dc:creator>openpyxl</dc:creator>
  <dc:description/>
  <dc:language>en-US</dc:language>
  <cp:lastModifiedBy/>
  <dcterms:modified xsi:type="dcterms:W3CDTF">2026-10-28T15:00:53Z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