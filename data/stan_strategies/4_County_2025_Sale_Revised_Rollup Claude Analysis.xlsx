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LAW\COUNTIES\Analysis\"/>
    </mc:Choice>
  </mc:AlternateContent>
  <xr:revisionPtr revIDLastSave="0" documentId="14_{C45E5648-8583-4580-A229-941B0936A1D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4 County Roll-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1" l="1"/>
  <c r="H10" i="1"/>
  <c r="E10" i="1"/>
  <c r="D10" i="1"/>
  <c r="C10" i="1"/>
  <c r="B10" i="1"/>
  <c r="G9" i="1"/>
  <c r="K9" i="1" s="1"/>
  <c r="F9" i="1"/>
  <c r="J9" i="1" s="1"/>
  <c r="G8" i="1"/>
  <c r="K8" i="1" s="1"/>
  <c r="F8" i="1"/>
  <c r="J8" i="1" s="1"/>
  <c r="G7" i="1"/>
  <c r="K7" i="1" s="1"/>
  <c r="F7" i="1"/>
  <c r="J7" i="1" s="1"/>
  <c r="G6" i="1"/>
  <c r="F6" i="1"/>
  <c r="F10" i="1" l="1"/>
  <c r="J6" i="1"/>
  <c r="J10" i="1" s="1"/>
  <c r="G10" i="1"/>
  <c r="K6" i="1"/>
  <c r="K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>Source: Lake_2025_Sale_Revised_Bid_Totals.xlsx, Summary tab</t>
        </r>
      </text>
    </comment>
    <comment ref="H6" authorId="0" shapeId="0" xr:uid="{00000000-0006-0000-0000-000005000000}">
      <text>
        <r>
          <rPr>
            <sz val="10"/>
            <rFont val="Arial"/>
            <family val="2"/>
          </rPr>
          <t>Source: Lake_2025_Sale_Revised_Bid_Totals.xlsx, Summary tab</t>
        </r>
      </text>
    </comment>
    <comment ref="B7" authorId="0" shapeId="0" xr:uid="{00000000-0006-0000-0000-000002000000}">
      <text>
        <r>
          <rPr>
            <sz val="10"/>
            <rFont val="Arial"/>
            <family val="2"/>
          </rPr>
          <t>Source: DuPage_2025_Sale_Revised_Bid_Totals.xlsx, Summary tab</t>
        </r>
      </text>
    </comment>
    <comment ref="H7" authorId="0" shapeId="0" xr:uid="{00000000-0006-0000-0000-000006000000}">
      <text>
        <r>
          <rPr>
            <sz val="10"/>
            <rFont val="Arial"/>
            <family val="2"/>
          </rPr>
          <t>Source: DuPage_2025_Sale_Revised_Bid_Totals.xlsx, Summary tab</t>
        </r>
      </text>
    </comment>
    <comment ref="B8" authorId="0" shapeId="0" xr:uid="{00000000-0006-0000-0000-000003000000}">
      <text>
        <r>
          <rPr>
            <sz val="10"/>
            <rFont val="Arial"/>
            <family val="2"/>
          </rPr>
          <t>Source: McHenry_2025_Sale_Revised_Bid_Totals.xlsx, Summary tab</t>
        </r>
      </text>
    </comment>
    <comment ref="H8" authorId="0" shapeId="0" xr:uid="{00000000-0006-0000-0000-000007000000}">
      <text>
        <r>
          <rPr>
            <sz val="10"/>
            <rFont val="Arial"/>
            <family val="2"/>
          </rPr>
          <t>Source: McHenry_2025_Sale_Revised_Bid_Totals.xlsx, Summary tab</t>
        </r>
      </text>
    </comment>
    <comment ref="B9" authorId="0" shapeId="0" xr:uid="{00000000-0006-0000-0000-000004000000}">
      <text>
        <r>
          <rPr>
            <sz val="10"/>
            <rFont val="Arial"/>
            <family val="2"/>
          </rPr>
          <t>Source: Will_2025_Sale_Revised_Bid_Totals.xlsx, Summary tab</t>
        </r>
      </text>
    </comment>
    <comment ref="H9" authorId="0" shapeId="0" xr:uid="{00000000-0006-0000-0000-000008000000}">
      <text>
        <r>
          <rPr>
            <sz val="10"/>
            <rFont val="Arial"/>
            <family val="2"/>
          </rPr>
          <t>Source: Will_2025_Sale_Revised_Bid_Totals.xlsx, Summary tab</t>
        </r>
      </text>
    </comment>
  </commentList>
</comments>
</file>

<file path=xl/sharedStrings.xml><?xml version="1.0" encoding="utf-8"?>
<sst xmlns="http://schemas.openxmlformats.org/spreadsheetml/2006/main" count="24" uniqueCount="16">
  <si>
    <t>2025 Tax Sale – Revised Bid Totals, 4 County Roll-Up</t>
  </si>
  <si>
    <t>Removed = certs under $3,000 with both installments delinquent (full installments). Commercial includes industrial.</t>
  </si>
  <si>
    <t>County</t>
  </si>
  <si>
    <t>Non-Commercial</t>
  </si>
  <si>
    <t>Commercial</t>
  </si>
  <si>
    <t>Revised Total</t>
  </si>
  <si>
    <t>Removed – Full Inst Under $3,000</t>
  </si>
  <si>
    <t>Original List Total</t>
  </si>
  <si>
    <t>Count</t>
  </si>
  <si>
    <t>Amount</t>
  </si>
  <si>
    <t>Lake</t>
  </si>
  <si>
    <t>DuPage</t>
  </si>
  <si>
    <t>McHenry</t>
  </si>
  <si>
    <t>Will</t>
  </si>
  <si>
    <t>Total</t>
  </si>
  <si>
    <t>Blue figures come from each county's revised workbook (Summary tab); black figures are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</si>
</sst>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FF808080"/>
      </left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3" fontId="5" fillId="0" borderId="0" xfId="0" applyNumberFormat="1" applyFont="1"/>
    <xf numFmtId="164" fontId="5" fillId="0" borderId="0" xfId="0" applyNumberFormat="1" applyFont="1"/>
    <xf numFmtId="3" fontId="4" fillId="0" borderId="1" xfId="0" applyNumberFormat="1" applyFont="1" applyBorder="1"/>
    <xf numFmtId="164" fontId="4" fillId="0" borderId="0" xfId="0" applyNumberFormat="1" applyFont="1"/>
    <xf numFmtId="3" fontId="5" fillId="0" borderId="1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164" fontId="6" fillId="3" borderId="2" xfId="0" applyNumberFormat="1" applyFont="1" applyFill="1" applyBorder="1"/>
    <xf numFmtId="3" fontId="6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8" sqref="F18"/>
    </sheetView>
  </sheetViews>
  <sheetFormatPr defaultColWidth="8.7109375" defaultRowHeight="15" x14ac:dyDescent="0.25"/>
  <cols>
    <col min="1" max="1" width="12" customWidth="1"/>
    <col min="2" max="2" width="10" customWidth="1"/>
    <col min="3" max="3" width="17" customWidth="1"/>
    <col min="4" max="4" width="10" customWidth="1"/>
    <col min="5" max="5" width="17" customWidth="1"/>
    <col min="6" max="6" width="10" customWidth="1"/>
    <col min="7" max="7" width="17" customWidth="1"/>
    <col min="8" max="8" width="10" customWidth="1"/>
    <col min="9" max="9" width="17" customWidth="1"/>
    <col min="10" max="10" width="10" customWidth="1"/>
    <col min="11" max="11" width="17" customWidth="1"/>
  </cols>
  <sheetData>
    <row r="1" spans="1:11" ht="18" x14ac:dyDescent="0.25">
      <c r="A1" s="2" t="s">
        <v>0</v>
      </c>
    </row>
    <row r="2" spans="1:11" x14ac:dyDescent="0.25">
      <c r="A2" s="3" t="s">
        <v>1</v>
      </c>
    </row>
    <row r="4" spans="1:11" ht="31.5" customHeight="1" x14ac:dyDescent="0.25">
      <c r="A4" s="1" t="s">
        <v>2</v>
      </c>
      <c r="B4" s="1" t="s">
        <v>3</v>
      </c>
      <c r="C4" s="1"/>
      <c r="D4" s="1" t="s">
        <v>4</v>
      </c>
      <c r="E4" s="1"/>
      <c r="F4" s="1" t="s">
        <v>5</v>
      </c>
      <c r="G4" s="1"/>
      <c r="H4" s="1" t="s">
        <v>6</v>
      </c>
      <c r="I4" s="1"/>
      <c r="J4" s="1" t="s">
        <v>7</v>
      </c>
      <c r="K4" s="1"/>
    </row>
    <row r="5" spans="1:11" x14ac:dyDescent="0.25">
      <c r="A5" s="1"/>
      <c r="B5" s="4" t="s">
        <v>8</v>
      </c>
      <c r="C5" s="4" t="s">
        <v>9</v>
      </c>
      <c r="D5" s="4" t="s">
        <v>8</v>
      </c>
      <c r="E5" s="4" t="s">
        <v>9</v>
      </c>
      <c r="F5" s="4" t="s">
        <v>8</v>
      </c>
      <c r="G5" s="4" t="s">
        <v>9</v>
      </c>
      <c r="H5" s="4" t="s">
        <v>8</v>
      </c>
      <c r="I5" s="4" t="s">
        <v>9</v>
      </c>
      <c r="J5" s="4" t="s">
        <v>8</v>
      </c>
      <c r="K5" s="4" t="s">
        <v>9</v>
      </c>
    </row>
    <row r="6" spans="1:11" x14ac:dyDescent="0.25">
      <c r="A6" s="5" t="s">
        <v>10</v>
      </c>
      <c r="B6" s="6">
        <v>1611</v>
      </c>
      <c r="C6" s="7">
        <v>11740875.390000001</v>
      </c>
      <c r="D6" s="6">
        <v>29</v>
      </c>
      <c r="E6" s="7">
        <v>2110110.44</v>
      </c>
      <c r="F6" s="8">
        <f t="shared" ref="F6:G9" si="0">B6+D6</f>
        <v>1640</v>
      </c>
      <c r="G6" s="9">
        <f t="shared" si="0"/>
        <v>13850985.83</v>
      </c>
      <c r="H6" s="10">
        <v>93</v>
      </c>
      <c r="I6" s="7">
        <v>183937.01</v>
      </c>
      <c r="J6" s="8">
        <f t="shared" ref="J6:K9" si="1">F6+H6</f>
        <v>1733</v>
      </c>
      <c r="K6" s="9">
        <f t="shared" si="1"/>
        <v>14034922.84</v>
      </c>
    </row>
    <row r="7" spans="1:11" x14ac:dyDescent="0.25">
      <c r="A7" s="5" t="s">
        <v>11</v>
      </c>
      <c r="B7" s="6">
        <v>1142</v>
      </c>
      <c r="C7" s="7">
        <v>8273859.2000000002</v>
      </c>
      <c r="D7" s="6">
        <v>23</v>
      </c>
      <c r="E7" s="7">
        <v>1053093.8</v>
      </c>
      <c r="F7" s="8">
        <f t="shared" si="0"/>
        <v>1165</v>
      </c>
      <c r="G7" s="9">
        <f t="shared" si="0"/>
        <v>9326953</v>
      </c>
      <c r="H7" s="10">
        <v>73</v>
      </c>
      <c r="I7" s="7">
        <v>156875.76</v>
      </c>
      <c r="J7" s="8">
        <f t="shared" si="1"/>
        <v>1238</v>
      </c>
      <c r="K7" s="9">
        <f t="shared" si="1"/>
        <v>9483828.7599999998</v>
      </c>
    </row>
    <row r="8" spans="1:11" x14ac:dyDescent="0.25">
      <c r="A8" s="5" t="s">
        <v>12</v>
      </c>
      <c r="B8" s="6">
        <v>1328</v>
      </c>
      <c r="C8" s="7">
        <v>7788659.3300000001</v>
      </c>
      <c r="D8" s="6">
        <v>31</v>
      </c>
      <c r="E8" s="7">
        <v>679385.82</v>
      </c>
      <c r="F8" s="8">
        <f t="shared" si="0"/>
        <v>1359</v>
      </c>
      <c r="G8" s="9">
        <f t="shared" si="0"/>
        <v>8468045.1500000004</v>
      </c>
      <c r="H8" s="10">
        <v>88</v>
      </c>
      <c r="I8" s="7">
        <v>165583.93</v>
      </c>
      <c r="J8" s="8">
        <f t="shared" si="1"/>
        <v>1447</v>
      </c>
      <c r="K8" s="9">
        <f t="shared" si="1"/>
        <v>8633629.0800000001</v>
      </c>
    </row>
    <row r="9" spans="1:11" x14ac:dyDescent="0.25">
      <c r="A9" s="5" t="s">
        <v>13</v>
      </c>
      <c r="B9" s="6">
        <v>1442</v>
      </c>
      <c r="C9" s="7">
        <v>9284073.7400000002</v>
      </c>
      <c r="D9" s="6">
        <v>50</v>
      </c>
      <c r="E9" s="7">
        <v>1203089.3400000001</v>
      </c>
      <c r="F9" s="8">
        <f t="shared" si="0"/>
        <v>1492</v>
      </c>
      <c r="G9" s="9">
        <f t="shared" si="0"/>
        <v>10487163.08</v>
      </c>
      <c r="H9" s="10">
        <v>82</v>
      </c>
      <c r="I9" s="7">
        <v>152209.13</v>
      </c>
      <c r="J9" s="8">
        <f t="shared" si="1"/>
        <v>1574</v>
      </c>
      <c r="K9" s="9">
        <f t="shared" si="1"/>
        <v>10639372.210000001</v>
      </c>
    </row>
    <row r="10" spans="1:11" x14ac:dyDescent="0.25">
      <c r="A10" s="11" t="s">
        <v>14</v>
      </c>
      <c r="B10" s="12">
        <f t="shared" ref="B10:K10" si="2">SUM(B6:B9)</f>
        <v>5523</v>
      </c>
      <c r="C10" s="13">
        <f t="shared" si="2"/>
        <v>37087467.660000004</v>
      </c>
      <c r="D10" s="12">
        <f t="shared" si="2"/>
        <v>133</v>
      </c>
      <c r="E10" s="13">
        <f t="shared" si="2"/>
        <v>5045679.4000000004</v>
      </c>
      <c r="F10" s="14">
        <f t="shared" si="2"/>
        <v>5656</v>
      </c>
      <c r="G10" s="13">
        <f t="shared" si="2"/>
        <v>42133147.059999995</v>
      </c>
      <c r="H10" s="14">
        <f t="shared" si="2"/>
        <v>336</v>
      </c>
      <c r="I10" s="13">
        <f t="shared" si="2"/>
        <v>658605.83000000007</v>
      </c>
      <c r="J10" s="14">
        <f t="shared" si="2"/>
        <v>5992</v>
      </c>
      <c r="K10" s="13">
        <f t="shared" si="2"/>
        <v>42791752.890000001</v>
      </c>
    </row>
    <row r="12" spans="1:11" x14ac:dyDescent="0.25">
      <c r="A12" s="3" t="s">
        <v>15</v>
      </c>
    </row>
  </sheetData>
  <mergeCells count="6">
    <mergeCell ref="J4:K4"/>
    <mergeCell ref="A4:A5"/>
    <mergeCell ref="B4:C4"/>
    <mergeCell ref="D4:E4"/>
    <mergeCell ref="F4:G4"/>
    <mergeCell ref="H4:I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County Roll-Up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Stan Engelsen</cp:lastModifiedBy>
  <cp:revision>0</cp:revision>
  <dcterms:created xsi:type="dcterms:W3CDTF">2026-10-28T15:59:36Z</dcterms:created>
  <dcterms:modified xsi:type="dcterms:W3CDTF">2026-10-28T18:37:40Z</dcterms:modified>
  <dc:language>en-US</dc:language>
</cp:coreProperties>
</file>