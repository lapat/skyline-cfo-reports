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ale List" sheetId="1" state="visible" r:id="rId3"/>
    <sheet name="Totals by Bidder" sheetId="2" state="visible" r:id="rId4"/>
    <sheet name="Totals by Bidder &amp; Rate" sheetId="3" state="visible" r:id="rId5"/>
    <sheet name="Bidder x Rate Matrix" sheetId="4" state="visible" r:id="rId6"/>
  </sheets>
  <definedNames>
    <definedName function="false" hidden="true" localSheetId="0" name="_xlnm._FilterDatabase" vbProcedure="false">'Sale List'!$A$4:$G$421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<sst xmlns="http://schemas.openxmlformats.org/spreadsheetml/2006/main" count="2222" uniqueCount="1252">
  <si>
    <t xml:space="preserve">Kendall County - Final Sale List 2025 (Real Estate)</t>
  </si>
  <si>
    <t xml:space="preserve">Source: 2026_Sale_2025_Taxes_All_Buys_All_Buyers.pdf, report dated Monday, October 26, 2026</t>
  </si>
  <si>
    <t xml:space="preserve">Certificate</t>
  </si>
  <si>
    <t xml:space="preserve">Parcel ID</t>
  </si>
  <si>
    <t xml:space="preserve">Assessee Name</t>
  </si>
  <si>
    <t xml:space="preserve">Amount</t>
  </si>
  <si>
    <t xml:space="preserve">Buyer #</t>
  </si>
  <si>
    <t xml:space="preserve">Buyer Name</t>
  </si>
  <si>
    <t xml:space="preserve">Bid %</t>
  </si>
  <si>
    <t xml:space="preserve">2026-00001</t>
  </si>
  <si>
    <t xml:space="preserve">01-03-100-005</t>
  </si>
  <si>
    <t xml:space="preserve">VARGAS, TEODORO &amp; THE</t>
  </si>
  <si>
    <t xml:space="preserve">112</t>
  </si>
  <si>
    <t xml:space="preserve">PRIVATE EQUITY GROUP</t>
  </si>
  <si>
    <t xml:space="preserve">2026-00002</t>
  </si>
  <si>
    <t xml:space="preserve">01-06-100-015</t>
  </si>
  <si>
    <t xml:space="preserve">CTI TOWERS ASSETS II LL</t>
  </si>
  <si>
    <t xml:space="preserve">253</t>
  </si>
  <si>
    <t xml:space="preserve">RAVEN SECURITIES INC</t>
  </si>
  <si>
    <t xml:space="preserve">2026-00003</t>
  </si>
  <si>
    <t xml:space="preserve">01-12-200-004</t>
  </si>
  <si>
    <t xml:space="preserve">ELDAMAIN ROAD FARM C E</t>
  </si>
  <si>
    <t xml:space="preserve">2026-00004</t>
  </si>
  <si>
    <t xml:space="preserve">01-16-455-032</t>
  </si>
  <si>
    <t xml:space="preserve">TREVINO, JOSE G &amp; SILVIA</t>
  </si>
  <si>
    <t xml:space="preserve">2026-00005</t>
  </si>
  <si>
    <t xml:space="preserve">01-21-201-027</t>
  </si>
  <si>
    <t xml:space="preserve">DUNLAP, BENJAMIN M &amp; PE</t>
  </si>
  <si>
    <t xml:space="preserve">2026-00006</t>
  </si>
  <si>
    <t xml:space="preserve">01-22-176-007</t>
  </si>
  <si>
    <t xml:space="preserve">ROCHA, JOSE LUIS &amp; ARMI</t>
  </si>
  <si>
    <t xml:space="preserve">2026-00007</t>
  </si>
  <si>
    <t xml:space="preserve">01-22-183-003</t>
  </si>
  <si>
    <t xml:space="preserve">WOLLENWEBER, DAVID A J</t>
  </si>
  <si>
    <t xml:space="preserve">136</t>
  </si>
  <si>
    <t xml:space="preserve">AUCTION Z-2 INC</t>
  </si>
  <si>
    <t xml:space="preserve">2026-00008</t>
  </si>
  <si>
    <t xml:space="preserve">01-22-204-001</t>
  </si>
  <si>
    <t xml:space="preserve">PEREZ, MIGUEL A</t>
  </si>
  <si>
    <t xml:space="preserve">2026-00009</t>
  </si>
  <si>
    <t xml:space="preserve">01-22-229-020</t>
  </si>
  <si>
    <t xml:space="preserve">SCHIMANDLE, JUSTIN W &amp; ,</t>
  </si>
  <si>
    <t xml:space="preserve">2026-00010</t>
  </si>
  <si>
    <t xml:space="preserve">01-22-277-012</t>
  </si>
  <si>
    <t xml:space="preserve">QUINTERO, MIGUEL H &amp; SO</t>
  </si>
  <si>
    <t xml:space="preserve">2026-00011</t>
  </si>
  <si>
    <t xml:space="preserve">01-22-282-015</t>
  </si>
  <si>
    <t xml:space="preserve">YOUNG THOMAS R &amp;, OSU</t>
  </si>
  <si>
    <t xml:space="preserve">139</t>
  </si>
  <si>
    <t xml:space="preserve">CARNIOLA CAPITAL LLC</t>
  </si>
  <si>
    <t xml:space="preserve">2026-00012</t>
  </si>
  <si>
    <t xml:space="preserve">01-22-331-007</t>
  </si>
  <si>
    <t xml:space="preserve">HILL BONNIE L &amp;, HILL DEB</t>
  </si>
  <si>
    <t xml:space="preserve">2026-00013</t>
  </si>
  <si>
    <t xml:space="preserve">01-22-382-003</t>
  </si>
  <si>
    <t xml:space="preserve">SELBY, BLAKE</t>
  </si>
  <si>
    <t xml:space="preserve">2026-00014</t>
  </si>
  <si>
    <t xml:space="preserve">01-22-387-003</t>
  </si>
  <si>
    <t xml:space="preserve">BIERITZ JOSEPH E &amp;, BIERI</t>
  </si>
  <si>
    <t xml:space="preserve">2026-00015</t>
  </si>
  <si>
    <t xml:space="preserve">01-22-390-003</t>
  </si>
  <si>
    <t xml:space="preserve">DNV INVESTMENT GROUP I</t>
  </si>
  <si>
    <t xml:space="preserve">2026-00016</t>
  </si>
  <si>
    <t xml:space="preserve">01-22-453-003</t>
  </si>
  <si>
    <t xml:space="preserve">BERGFELD, RICHARD B</t>
  </si>
  <si>
    <t xml:space="preserve">2026-00017</t>
  </si>
  <si>
    <t xml:space="preserve">01-22-455-003</t>
  </si>
  <si>
    <t xml:space="preserve">DILLARD, JERALD &amp; KARLE</t>
  </si>
  <si>
    <t xml:space="preserve">2026-00018</t>
  </si>
  <si>
    <t xml:space="preserve">01-22-466-002</t>
  </si>
  <si>
    <t xml:space="preserve">GUZMAN, JOSE LUIS &amp; ADR</t>
  </si>
  <si>
    <t xml:space="preserve">2026-00019</t>
  </si>
  <si>
    <t xml:space="preserve">01-24-300-031</t>
  </si>
  <si>
    <t xml:space="preserve">2026-00020</t>
  </si>
  <si>
    <t xml:space="preserve">01-24-376-007</t>
  </si>
  <si>
    <t xml:space="preserve">VARGAS , MARIA C</t>
  </si>
  <si>
    <t xml:space="preserve">2026-00021</t>
  </si>
  <si>
    <t xml:space="preserve">01-25-101-031</t>
  </si>
  <si>
    <t xml:space="preserve">KREY , RICHARD</t>
  </si>
  <si>
    <t xml:space="preserve">2026-00022</t>
  </si>
  <si>
    <t xml:space="preserve">01-25-103-025</t>
  </si>
  <si>
    <t xml:space="preserve">2026-00023</t>
  </si>
  <si>
    <t xml:space="preserve">01-25-141-008</t>
  </si>
  <si>
    <t xml:space="preserve">VIVAS, LESLIE RUBEN</t>
  </si>
  <si>
    <t xml:space="preserve">2026-00024</t>
  </si>
  <si>
    <t xml:space="preserve">01-25-228-018</t>
  </si>
  <si>
    <t xml:space="preserve">519 FOLI LLC,</t>
  </si>
  <si>
    <t xml:space="preserve">2026-00025</t>
  </si>
  <si>
    <t xml:space="preserve">01-25-228-025</t>
  </si>
  <si>
    <t xml:space="preserve">ESCOBEDO , GUADALUPE</t>
  </si>
  <si>
    <t xml:space="preserve">2026-00026</t>
  </si>
  <si>
    <t xml:space="preserve">01-25-305-009</t>
  </si>
  <si>
    <t xml:space="preserve">SEIFRID, LISA M</t>
  </si>
  <si>
    <t xml:space="preserve">2026-00027</t>
  </si>
  <si>
    <t xml:space="preserve">01-26-206-006</t>
  </si>
  <si>
    <t xml:space="preserve">BARBER, WILLIAM &amp; DAYN</t>
  </si>
  <si>
    <t xml:space="preserve">2026-00028</t>
  </si>
  <si>
    <t xml:space="preserve">01-26-300-009</t>
  </si>
  <si>
    <t xml:space="preserve">CARRILLO, LUIS</t>
  </si>
  <si>
    <t xml:space="preserve">2026-00029</t>
  </si>
  <si>
    <t xml:space="preserve">01-27-104-029</t>
  </si>
  <si>
    <t xml:space="preserve">HELLAND, RHONDA LOU</t>
  </si>
  <si>
    <t xml:space="preserve">2026-00030</t>
  </si>
  <si>
    <t xml:space="preserve">01-27-136-001</t>
  </si>
  <si>
    <t xml:space="preserve">EDUARDO P &amp; SONS GROU</t>
  </si>
  <si>
    <t xml:space="preserve">254</t>
  </si>
  <si>
    <t xml:space="preserve">BERNICE LLC</t>
  </si>
  <si>
    <t xml:space="preserve">2026-00031</t>
  </si>
  <si>
    <t xml:space="preserve">01-27-138-006</t>
  </si>
  <si>
    <t xml:space="preserve">AVITIA , OSCAR &amp; BERONIC</t>
  </si>
  <si>
    <t xml:space="preserve">2026-00032</t>
  </si>
  <si>
    <t xml:space="preserve">01-27-141-003</t>
  </si>
  <si>
    <t xml:space="preserve">ELLIOTT, ABIGAIL E</t>
  </si>
  <si>
    <t xml:space="preserve">2026-00033</t>
  </si>
  <si>
    <t xml:space="preserve">01-27-141-004</t>
  </si>
  <si>
    <t xml:space="preserve">DEUTSCHE BANK NATIONA</t>
  </si>
  <si>
    <t xml:space="preserve">2026-00034</t>
  </si>
  <si>
    <t xml:space="preserve">01-27-208-008</t>
  </si>
  <si>
    <t xml:space="preserve">HANSEN, FRANCES M 100</t>
  </si>
  <si>
    <t xml:space="preserve">2026-00035</t>
  </si>
  <si>
    <t xml:space="preserve">01-27-253-033</t>
  </si>
  <si>
    <t xml:space="preserve">JOHNS, HEATHER</t>
  </si>
  <si>
    <t xml:space="preserve">2026-00036</t>
  </si>
  <si>
    <t xml:space="preserve">01-27-256-005</t>
  </si>
  <si>
    <t xml:space="preserve">CLAPPER, ROBT &amp; ALBERT</t>
  </si>
  <si>
    <t xml:space="preserve">2026-00037</t>
  </si>
  <si>
    <t xml:space="preserve">01-27-256-006</t>
  </si>
  <si>
    <t xml:space="preserve">CLAPPER, RICHARD A</t>
  </si>
  <si>
    <t xml:space="preserve">2026-00038</t>
  </si>
  <si>
    <t xml:space="preserve">01-28-150-005</t>
  </si>
  <si>
    <t xml:space="preserve">ST GEORGE REAL ESTATE</t>
  </si>
  <si>
    <t xml:space="preserve">2026-00039</t>
  </si>
  <si>
    <t xml:space="preserve">01-28-201-013</t>
  </si>
  <si>
    <t xml:space="preserve">DIGATE KENNETH &amp;, DIGAT</t>
  </si>
  <si>
    <t xml:space="preserve">2026-00040</t>
  </si>
  <si>
    <t xml:space="preserve">01-29-378-008</t>
  </si>
  <si>
    <t xml:space="preserve">SANDWICH COMMONS HO</t>
  </si>
  <si>
    <t xml:space="preserve">2026-00041</t>
  </si>
  <si>
    <t xml:space="preserve">01-29-404-001</t>
  </si>
  <si>
    <t xml:space="preserve">2026-00042</t>
  </si>
  <si>
    <t xml:space="preserve">01-29-404-002</t>
  </si>
  <si>
    <t xml:space="preserve">2026-00043</t>
  </si>
  <si>
    <t xml:space="preserve">01-29-404-003</t>
  </si>
  <si>
    <t xml:space="preserve">2026-00044</t>
  </si>
  <si>
    <t xml:space="preserve">01-29-404-004</t>
  </si>
  <si>
    <t xml:space="preserve">2026-00045</t>
  </si>
  <si>
    <t xml:space="preserve">01-29-404-005</t>
  </si>
  <si>
    <t xml:space="preserve">2026-00046</t>
  </si>
  <si>
    <t xml:space="preserve">01-29-404-006</t>
  </si>
  <si>
    <t xml:space="preserve">2026-00047</t>
  </si>
  <si>
    <t xml:space="preserve">01-30-300-004</t>
  </si>
  <si>
    <t xml:space="preserve">EVERYTHING 515 LLC,</t>
  </si>
  <si>
    <t xml:space="preserve">2026-00048</t>
  </si>
  <si>
    <t xml:space="preserve">01-33-100-032</t>
  </si>
  <si>
    <t xml:space="preserve">EMPIRE TAX SERVICE,</t>
  </si>
  <si>
    <t xml:space="preserve">2026-00049</t>
  </si>
  <si>
    <t xml:space="preserve">01-33-400-007</t>
  </si>
  <si>
    <t xml:space="preserve">JANICK, MARGARET R TR</t>
  </si>
  <si>
    <t xml:space="preserve">2026-00050</t>
  </si>
  <si>
    <t xml:space="preserve">01-35-428-005</t>
  </si>
  <si>
    <t xml:space="preserve">LAGIGLIO, KIMBERLEE A</t>
  </si>
  <si>
    <t xml:space="preserve">2026-00051</t>
  </si>
  <si>
    <t xml:space="preserve">01-35-431-001</t>
  </si>
  <si>
    <t xml:space="preserve">HERNANDEZ, DANIEL &amp; LO</t>
  </si>
  <si>
    <t xml:space="preserve">2026-00052</t>
  </si>
  <si>
    <t xml:space="preserve">01-35-432-001</t>
  </si>
  <si>
    <t xml:space="preserve">2026-00053</t>
  </si>
  <si>
    <t xml:space="preserve">01-35-432-002</t>
  </si>
  <si>
    <t xml:space="preserve">2026-00054</t>
  </si>
  <si>
    <t xml:space="preserve">01-35-434-002</t>
  </si>
  <si>
    <t xml:space="preserve">GONZALEZ, GUSTAVO A JI</t>
  </si>
  <si>
    <t xml:space="preserve">2026-00055</t>
  </si>
  <si>
    <t xml:space="preserve">01-35-435-002</t>
  </si>
  <si>
    <t xml:space="preserve">2026-00056</t>
  </si>
  <si>
    <t xml:space="preserve">02-01-102-004</t>
  </si>
  <si>
    <t xml:space="preserve">TARIQ ARSLAN &amp;, DOGAR</t>
  </si>
  <si>
    <t xml:space="preserve">2026-00057</t>
  </si>
  <si>
    <t xml:space="preserve">02-01-103-004</t>
  </si>
  <si>
    <t xml:space="preserve">CONTRERAS, AARON</t>
  </si>
  <si>
    <t xml:space="preserve">2026-00058</t>
  </si>
  <si>
    <t xml:space="preserve">02-01-103-022</t>
  </si>
  <si>
    <t xml:space="preserve">HERNANDEZ, MARTIN</t>
  </si>
  <si>
    <t xml:space="preserve">2026-00059</t>
  </si>
  <si>
    <t xml:space="preserve">02-01-103-027</t>
  </si>
  <si>
    <t xml:space="preserve">MERCADO RODRIGO &amp;, ME</t>
  </si>
  <si>
    <t xml:space="preserve">2026-00060</t>
  </si>
  <si>
    <t xml:space="preserve">02-01-103-035</t>
  </si>
  <si>
    <t xml:space="preserve">SOTELO, DAVID D</t>
  </si>
  <si>
    <t xml:space="preserve">2026-00061</t>
  </si>
  <si>
    <t xml:space="preserve">02-01-103-044</t>
  </si>
  <si>
    <t xml:space="preserve">STROUD, GREGORY F &amp; E</t>
  </si>
  <si>
    <t xml:space="preserve">2026-00062</t>
  </si>
  <si>
    <t xml:space="preserve">02-01-104-001</t>
  </si>
  <si>
    <t xml:space="preserve">US BANK TRUST NA, TRST</t>
  </si>
  <si>
    <t xml:space="preserve">006</t>
  </si>
  <si>
    <t xml:space="preserve">BYDSOM INC</t>
  </si>
  <si>
    <t xml:space="preserve">2026-00063</t>
  </si>
  <si>
    <t xml:space="preserve">02-01-104-008</t>
  </si>
  <si>
    <t xml:space="preserve">GARCIA, MARTIN &amp; OFELIA</t>
  </si>
  <si>
    <t xml:space="preserve">2026-00064</t>
  </si>
  <si>
    <t xml:space="preserve">02-01-104-039</t>
  </si>
  <si>
    <t xml:space="preserve">BOYSEN, BLAKE K &amp; KERR</t>
  </si>
  <si>
    <t xml:space="preserve">2026-00065</t>
  </si>
  <si>
    <t xml:space="preserve">02-01-151-002</t>
  </si>
  <si>
    <t xml:space="preserve">CORDERO, MIRNA</t>
  </si>
  <si>
    <t xml:space="preserve">2026-00066</t>
  </si>
  <si>
    <t xml:space="preserve">02-01-153-003</t>
  </si>
  <si>
    <t xml:space="preserve">SIMMONS, WILLIAM M &amp; CA</t>
  </si>
  <si>
    <t xml:space="preserve">2026-00067</t>
  </si>
  <si>
    <t xml:space="preserve">02-01-153-014</t>
  </si>
  <si>
    <t xml:space="preserve">GODINHO, PAULO D &amp; ELIZ</t>
  </si>
  <si>
    <t xml:space="preserve">2026-00068</t>
  </si>
  <si>
    <t xml:space="preserve">02-01-355-029</t>
  </si>
  <si>
    <t xml:space="preserve">EIKOSIDEKAS, HARRY</t>
  </si>
  <si>
    <t xml:space="preserve">2026-00069</t>
  </si>
  <si>
    <t xml:space="preserve">02-01-360-080</t>
  </si>
  <si>
    <t xml:space="preserve">DUROVEC, STEPHEN M</t>
  </si>
  <si>
    <t xml:space="preserve">2026-00070</t>
  </si>
  <si>
    <t xml:space="preserve">02-01-376-034</t>
  </si>
  <si>
    <t xml:space="preserve">2026-00071</t>
  </si>
  <si>
    <t xml:space="preserve">02-01-378-049</t>
  </si>
  <si>
    <t xml:space="preserve">VAN EYNDE, HEIDI J</t>
  </si>
  <si>
    <t xml:space="preserve">2026-00072</t>
  </si>
  <si>
    <t xml:space="preserve">02-02-103-017</t>
  </si>
  <si>
    <t xml:space="preserve">NGUYEN, HUONG THI MAI</t>
  </si>
  <si>
    <t xml:space="preserve">2026-00073</t>
  </si>
  <si>
    <t xml:space="preserve">02-02-201-031</t>
  </si>
  <si>
    <t xml:space="preserve">RODRIGUEZ, EDGAR CAST</t>
  </si>
  <si>
    <t xml:space="preserve">2026-00074</t>
  </si>
  <si>
    <t xml:space="preserve">02-02-201-039</t>
  </si>
  <si>
    <t xml:space="preserve">WILLIAMS , APRIL</t>
  </si>
  <si>
    <t xml:space="preserve">2026-00075</t>
  </si>
  <si>
    <t xml:space="preserve">02-02-202-038</t>
  </si>
  <si>
    <t xml:space="preserve">HILL , JORETTA G TRUST</t>
  </si>
  <si>
    <t xml:space="preserve">2026-00076</t>
  </si>
  <si>
    <t xml:space="preserve">02-02-202-043</t>
  </si>
  <si>
    <t xml:space="preserve">CANTU, MARITZA</t>
  </si>
  <si>
    <t xml:space="preserve">2026-00077</t>
  </si>
  <si>
    <t xml:space="preserve">02-02-202-056</t>
  </si>
  <si>
    <t xml:space="preserve">MONTOYA JULIANA &amp;, ZAR</t>
  </si>
  <si>
    <t xml:space="preserve">2026-00078</t>
  </si>
  <si>
    <t xml:space="preserve">02-02-202-064</t>
  </si>
  <si>
    <t xml:space="preserve">BELTRAN, JOSE</t>
  </si>
  <si>
    <t xml:space="preserve">2026-00079</t>
  </si>
  <si>
    <t xml:space="preserve">02-02-202-065</t>
  </si>
  <si>
    <t xml:space="preserve">GUERRERO RYAN JAY &amp;,</t>
  </si>
  <si>
    <t xml:space="preserve">2026-00080</t>
  </si>
  <si>
    <t xml:space="preserve">02-02-202-077</t>
  </si>
  <si>
    <t xml:space="preserve">RIVERA, NATHAN &amp; EDITH</t>
  </si>
  <si>
    <t xml:space="preserve">2026-00081</t>
  </si>
  <si>
    <t xml:space="preserve">02-02-202-092</t>
  </si>
  <si>
    <t xml:space="preserve">BOTELLO, RACHEL</t>
  </si>
  <si>
    <t xml:space="preserve">2026-00082</t>
  </si>
  <si>
    <t xml:space="preserve">02-02-203-023</t>
  </si>
  <si>
    <t xml:space="preserve">PEREZ, XOCHITL AGUINIG</t>
  </si>
  <si>
    <t xml:space="preserve">2026-00083</t>
  </si>
  <si>
    <t xml:space="preserve">02-02-203-025</t>
  </si>
  <si>
    <t xml:space="preserve">TANZI, PIETRO F</t>
  </si>
  <si>
    <t xml:space="preserve">2026-00084</t>
  </si>
  <si>
    <t xml:space="preserve">02-02-203-035</t>
  </si>
  <si>
    <t xml:space="preserve">MACEDO FERNANDO &amp;, PE</t>
  </si>
  <si>
    <t xml:space="preserve">2026-00085</t>
  </si>
  <si>
    <t xml:space="preserve">02-02-204-040</t>
  </si>
  <si>
    <t xml:space="preserve">MONTANO VANESSA &amp;, CH</t>
  </si>
  <si>
    <t xml:space="preserve">2026-00086</t>
  </si>
  <si>
    <t xml:space="preserve">02-02-204-054</t>
  </si>
  <si>
    <t xml:space="preserve">JUDON MAURICE D SR &amp;, M</t>
  </si>
  <si>
    <t xml:space="preserve">2026-00087</t>
  </si>
  <si>
    <t xml:space="preserve">02-02-204-077</t>
  </si>
  <si>
    <t xml:space="preserve">DAVIS, LATONYA C</t>
  </si>
  <si>
    <t xml:space="preserve">2026-00088</t>
  </si>
  <si>
    <t xml:space="preserve">02-02-204-096</t>
  </si>
  <si>
    <t xml:space="preserve">HAYES, KATRINA</t>
  </si>
  <si>
    <t xml:space="preserve">2026-00089</t>
  </si>
  <si>
    <t xml:space="preserve">02-02-204-099</t>
  </si>
  <si>
    <t xml:space="preserve">OROZCO, RICKY</t>
  </si>
  <si>
    <t xml:space="preserve">2026-00090</t>
  </si>
  <si>
    <t xml:space="preserve">02-02-204-109</t>
  </si>
  <si>
    <t xml:space="preserve">PRYOR, SHELLIE</t>
  </si>
  <si>
    <t xml:space="preserve">2026-00091</t>
  </si>
  <si>
    <t xml:space="preserve">02-02-205-019</t>
  </si>
  <si>
    <t xml:space="preserve">EVAVOLD, ALLAN TRUST</t>
  </si>
  <si>
    <t xml:space="preserve">2026-00092</t>
  </si>
  <si>
    <t xml:space="preserve">02-02-206-028</t>
  </si>
  <si>
    <t xml:space="preserve">RAMIREZ, JAILENE</t>
  </si>
  <si>
    <t xml:space="preserve">2026-00093</t>
  </si>
  <si>
    <t xml:space="preserve">02-02-207-023</t>
  </si>
  <si>
    <t xml:space="preserve">DONAHUE, BRYAN S</t>
  </si>
  <si>
    <t xml:space="preserve">2026-00094</t>
  </si>
  <si>
    <t xml:space="preserve">02-02-207-028</t>
  </si>
  <si>
    <t xml:space="preserve">BUSTAMANTE, ANTHONY J</t>
  </si>
  <si>
    <t xml:space="preserve">2026-00095</t>
  </si>
  <si>
    <t xml:space="preserve">02-02-207-031</t>
  </si>
  <si>
    <t xml:space="preserve">BURNS, SONYA L</t>
  </si>
  <si>
    <t xml:space="preserve">2026-00096</t>
  </si>
  <si>
    <t xml:space="preserve">02-02-223-014</t>
  </si>
  <si>
    <t xml:space="preserve">STULL, EMILY</t>
  </si>
  <si>
    <t xml:space="preserve">2026-00097</t>
  </si>
  <si>
    <t xml:space="preserve">02-02-223-025</t>
  </si>
  <si>
    <t xml:space="preserve">RAMOS COSME A &amp;, TORR</t>
  </si>
  <si>
    <t xml:space="preserve">2026-00098</t>
  </si>
  <si>
    <t xml:space="preserve">02-02-225-017</t>
  </si>
  <si>
    <t xml:space="preserve">YERA, RAMON &amp; MIDELIS</t>
  </si>
  <si>
    <t xml:space="preserve">2026-00099</t>
  </si>
  <si>
    <t xml:space="preserve">02-02-226-036</t>
  </si>
  <si>
    <t xml:space="preserve">GONZALEZ, ALVIN J LIV TR</t>
  </si>
  <si>
    <t xml:space="preserve">2026-00100</t>
  </si>
  <si>
    <t xml:space="preserve">02-02-227-005</t>
  </si>
  <si>
    <t xml:space="preserve">DELGADO, NANCY E</t>
  </si>
  <si>
    <t xml:space="preserve">2026-00101</t>
  </si>
  <si>
    <t xml:space="preserve">02-02-227-007</t>
  </si>
  <si>
    <t xml:space="preserve">WILSON, MICHAEL T &amp; MAR</t>
  </si>
  <si>
    <t xml:space="preserve">2026-00102</t>
  </si>
  <si>
    <t xml:space="preserve">02-02-227-013</t>
  </si>
  <si>
    <t xml:space="preserve">NERI , MARIA V AMAYA</t>
  </si>
  <si>
    <t xml:space="preserve">2026-00103</t>
  </si>
  <si>
    <t xml:space="preserve">02-02-228-027</t>
  </si>
  <si>
    <t xml:space="preserve">ALVAREZ, RAFAEL DEL TO</t>
  </si>
  <si>
    <t xml:space="preserve">2026-00104</t>
  </si>
  <si>
    <t xml:space="preserve">02-02-229-015</t>
  </si>
  <si>
    <t xml:space="preserve">CRUZ, JOSE &amp; JOANNA R</t>
  </si>
  <si>
    <t xml:space="preserve">2026-00105</t>
  </si>
  <si>
    <t xml:space="preserve">02-02-230-019</t>
  </si>
  <si>
    <t xml:space="preserve">ADDANTE, JAY &amp; LAUREN</t>
  </si>
  <si>
    <t xml:space="preserve">2026-00106</t>
  </si>
  <si>
    <t xml:space="preserve">02-02-232-016</t>
  </si>
  <si>
    <t xml:space="preserve">DEVLIEGER , STEVEN &amp; CR</t>
  </si>
  <si>
    <t xml:space="preserve">2026-00107</t>
  </si>
  <si>
    <t xml:space="preserve">02-02-233-001</t>
  </si>
  <si>
    <t xml:space="preserve">FOSTER, LENNOX</t>
  </si>
  <si>
    <t xml:space="preserve">2026-00108</t>
  </si>
  <si>
    <t xml:space="preserve">02-02-233-017</t>
  </si>
  <si>
    <t xml:space="preserve">REED, LEROY JR</t>
  </si>
  <si>
    <t xml:space="preserve">2026-00109</t>
  </si>
  <si>
    <t xml:space="preserve">02-02-233-025</t>
  </si>
  <si>
    <t xml:space="preserve">HP ILLINOIS I LLC,</t>
  </si>
  <si>
    <t xml:space="preserve">2026-00110</t>
  </si>
  <si>
    <t xml:space="preserve">02-02-233-029</t>
  </si>
  <si>
    <t xml:space="preserve">KANANURA JEAN CLAUDE</t>
  </si>
  <si>
    <t xml:space="preserve">2026-00111</t>
  </si>
  <si>
    <t xml:space="preserve">02-02-234-005</t>
  </si>
  <si>
    <t xml:space="preserve">CLIFTON, JAMES C &amp; NANC</t>
  </si>
  <si>
    <t xml:space="preserve">2026-00112</t>
  </si>
  <si>
    <t xml:space="preserve">02-02-301-003</t>
  </si>
  <si>
    <t xml:space="preserve">LORENZANA, LUIS E</t>
  </si>
  <si>
    <t xml:space="preserve">2026-00113</t>
  </si>
  <si>
    <t xml:space="preserve">02-02-383-016</t>
  </si>
  <si>
    <t xml:space="preserve">HANSEN ROBERT P &amp; , DU</t>
  </si>
  <si>
    <t xml:space="preserve">2026-00114</t>
  </si>
  <si>
    <t xml:space="preserve">02-02-404-028</t>
  </si>
  <si>
    <t xml:space="preserve">2026-00115</t>
  </si>
  <si>
    <t xml:space="preserve">02-02-404-029</t>
  </si>
  <si>
    <t xml:space="preserve">RODRIGUEZ GERSON CRU</t>
  </si>
  <si>
    <t xml:space="preserve">2026-00116</t>
  </si>
  <si>
    <t xml:space="preserve">02-03-493-010</t>
  </si>
  <si>
    <t xml:space="preserve">ALMOHAMAD HUSSEIN MO</t>
  </si>
  <si>
    <t xml:space="preserve">2026-00117</t>
  </si>
  <si>
    <t xml:space="preserve">02-04-325-051</t>
  </si>
  <si>
    <t xml:space="preserve">KREY, RICHARD J</t>
  </si>
  <si>
    <t xml:space="preserve">2026-00118</t>
  </si>
  <si>
    <t xml:space="preserve">02-04-326-014</t>
  </si>
  <si>
    <t xml:space="preserve">2026-00119</t>
  </si>
  <si>
    <t xml:space="preserve">02-04-329-012</t>
  </si>
  <si>
    <t xml:space="preserve">HOEHN ROBERT J &amp; , TRO</t>
  </si>
  <si>
    <t xml:space="preserve">2026-00120</t>
  </si>
  <si>
    <t xml:space="preserve">02-04-329-025</t>
  </si>
  <si>
    <t xml:space="preserve">BIRIUKOV, MYKHAILO</t>
  </si>
  <si>
    <t xml:space="preserve">2026-00121</t>
  </si>
  <si>
    <t xml:space="preserve">02-04-376-134</t>
  </si>
  <si>
    <t xml:space="preserve">GARLAND, JOSEPH H &amp; CA</t>
  </si>
  <si>
    <t xml:space="preserve">2026-00122</t>
  </si>
  <si>
    <t xml:space="preserve">02-04-390-087</t>
  </si>
  <si>
    <t xml:space="preserve">CHICAGO TITLE LAND TRU</t>
  </si>
  <si>
    <t xml:space="preserve">2026-00123</t>
  </si>
  <si>
    <t xml:space="preserve">02-04-390-089</t>
  </si>
  <si>
    <t xml:space="preserve">CLAFFY, GAYLE T</t>
  </si>
  <si>
    <t xml:space="preserve">2026-00124</t>
  </si>
  <si>
    <t xml:space="preserve">02-04-390-483</t>
  </si>
  <si>
    <t xml:space="preserve">2026-00125</t>
  </si>
  <si>
    <t xml:space="preserve">02-04-390-492</t>
  </si>
  <si>
    <t xml:space="preserve">NIEDOROWSKI, JEFFREY</t>
  </si>
  <si>
    <t xml:space="preserve">2026-00126</t>
  </si>
  <si>
    <t xml:space="preserve">02-04-402-022</t>
  </si>
  <si>
    <t xml:space="preserve">2026-00127</t>
  </si>
  <si>
    <t xml:space="preserve">02-04-408-013</t>
  </si>
  <si>
    <t xml:space="preserve">BEND , BRETT C</t>
  </si>
  <si>
    <t xml:space="preserve">2026-00128</t>
  </si>
  <si>
    <t xml:space="preserve">02-04-451-006</t>
  </si>
  <si>
    <t xml:space="preserve">2026-00129</t>
  </si>
  <si>
    <t xml:space="preserve">02-06-101-012</t>
  </si>
  <si>
    <t xml:space="preserve">LAND AT LEGACY ESTATE</t>
  </si>
  <si>
    <t xml:space="preserve">241</t>
  </si>
  <si>
    <t xml:space="preserve">AMERICAN TAX LIEN LLC</t>
  </si>
  <si>
    <t xml:space="preserve">2026-00130</t>
  </si>
  <si>
    <t xml:space="preserve">02-06-102-001</t>
  </si>
  <si>
    <t xml:space="preserve">2026-00131</t>
  </si>
  <si>
    <t xml:space="preserve">02-06-102-008</t>
  </si>
  <si>
    <t xml:space="preserve">2026-00132</t>
  </si>
  <si>
    <t xml:space="preserve">02-06-102-009</t>
  </si>
  <si>
    <t xml:space="preserve">SKYFALL EQUESTRIAN LLC</t>
  </si>
  <si>
    <t xml:space="preserve">235</t>
  </si>
  <si>
    <t xml:space="preserve">1095 INVESTMENTS LLC</t>
  </si>
  <si>
    <t xml:space="preserve">2026-00133</t>
  </si>
  <si>
    <t xml:space="preserve">02-06-400-005</t>
  </si>
  <si>
    <t xml:space="preserve">AUER, MARY</t>
  </si>
  <si>
    <t xml:space="preserve">2026-00134</t>
  </si>
  <si>
    <t xml:space="preserve">02-09-300-008</t>
  </si>
  <si>
    <t xml:space="preserve">AWF INC,</t>
  </si>
  <si>
    <t xml:space="preserve">2026-00135</t>
  </si>
  <si>
    <t xml:space="preserve">02-10-127-023</t>
  </si>
  <si>
    <t xml:space="preserve">ORTIZ LOPEZ, BENJAMIN S</t>
  </si>
  <si>
    <t xml:space="preserve">2026-00136</t>
  </si>
  <si>
    <t xml:space="preserve">02-10-128-024</t>
  </si>
  <si>
    <t xml:space="preserve">HARRIS, CASSANDRA</t>
  </si>
  <si>
    <t xml:space="preserve">2026-00137</t>
  </si>
  <si>
    <t xml:space="preserve">02-10-222-010</t>
  </si>
  <si>
    <t xml:space="preserve">RILEY, EUGENE T &amp; PATRI</t>
  </si>
  <si>
    <t xml:space="preserve">2026-00138</t>
  </si>
  <si>
    <t xml:space="preserve">02-11-227-029</t>
  </si>
  <si>
    <t xml:space="preserve">PUDARK, ELIZABETH Y TR</t>
  </si>
  <si>
    <t xml:space="preserve">2026-00139</t>
  </si>
  <si>
    <t xml:space="preserve">02-11-228-085</t>
  </si>
  <si>
    <t xml:space="preserve">MUCERINO, SALVATORE</t>
  </si>
  <si>
    <t xml:space="preserve">2026-00140</t>
  </si>
  <si>
    <t xml:space="preserve">02-11-300-033</t>
  </si>
  <si>
    <t xml:space="preserve">G R YORKVILLE APARTME</t>
  </si>
  <si>
    <t xml:space="preserve">2026-00141</t>
  </si>
  <si>
    <t xml:space="preserve">02-11-371-011</t>
  </si>
  <si>
    <t xml:space="preserve">COLOMA, RONALDO</t>
  </si>
  <si>
    <t xml:space="preserve">2026-00142</t>
  </si>
  <si>
    <t xml:space="preserve">02-11-478-011</t>
  </si>
  <si>
    <t xml:space="preserve">2026-00143</t>
  </si>
  <si>
    <t xml:space="preserve">02-13-102-015</t>
  </si>
  <si>
    <t xml:space="preserve">RAILEANU , DUMITRU</t>
  </si>
  <si>
    <t xml:space="preserve">2026-00144</t>
  </si>
  <si>
    <t xml:space="preserve">02-13-190-009</t>
  </si>
  <si>
    <t xml:space="preserve">JPURI LLC,</t>
  </si>
  <si>
    <t xml:space="preserve">2026-00145</t>
  </si>
  <si>
    <t xml:space="preserve">02-14-356-001</t>
  </si>
  <si>
    <t xml:space="preserve">PRATT, BRYAN R &amp; BRITTN</t>
  </si>
  <si>
    <t xml:space="preserve">2026-00146</t>
  </si>
  <si>
    <t xml:space="preserve">02-14-356-016</t>
  </si>
  <si>
    <t xml:space="preserve">YENKONG, RICHARD YULL</t>
  </si>
  <si>
    <t xml:space="preserve">2026-00147</t>
  </si>
  <si>
    <t xml:space="preserve">02-15-152-002</t>
  </si>
  <si>
    <t xml:space="preserve">BARRIOS, ENRIQUE</t>
  </si>
  <si>
    <t xml:space="preserve">2026-00148</t>
  </si>
  <si>
    <t xml:space="preserve">02-15-154-002</t>
  </si>
  <si>
    <t xml:space="preserve">CONTRERAS LUIS E SAAV</t>
  </si>
  <si>
    <t xml:space="preserve">2026-00149</t>
  </si>
  <si>
    <t xml:space="preserve">02-15-155-001</t>
  </si>
  <si>
    <t xml:space="preserve">EE PROPERTY MANAGEME</t>
  </si>
  <si>
    <t xml:space="preserve">2026-00150</t>
  </si>
  <si>
    <t xml:space="preserve">02-15-277-002</t>
  </si>
  <si>
    <t xml:space="preserve">WALTERS, EVERTON &amp; LEI</t>
  </si>
  <si>
    <t xml:space="preserve">2026-00151</t>
  </si>
  <si>
    <t xml:space="preserve">02-15-302-001</t>
  </si>
  <si>
    <t xml:space="preserve">VELAZQUEZ ESTHELA B G</t>
  </si>
  <si>
    <t xml:space="preserve">2026-00152</t>
  </si>
  <si>
    <t xml:space="preserve">02-16-101-004</t>
  </si>
  <si>
    <t xml:space="preserve">OAK PLAZA PROPERTIES L</t>
  </si>
  <si>
    <t xml:space="preserve">2026-00153</t>
  </si>
  <si>
    <t xml:space="preserve">02-16-228-006</t>
  </si>
  <si>
    <t xml:space="preserve">MACKEY, DANIEL</t>
  </si>
  <si>
    <t xml:space="preserve">2026-00154</t>
  </si>
  <si>
    <t xml:space="preserve">02-16-278-001</t>
  </si>
  <si>
    <t xml:space="preserve">079</t>
  </si>
  <si>
    <t xml:space="preserve">BIG GROVE INVESTMENT</t>
  </si>
  <si>
    <t xml:space="preserve">2026-00155</t>
  </si>
  <si>
    <t xml:space="preserve">02-17-100-014</t>
  </si>
  <si>
    <t xml:space="preserve">INLAND CORNEILS LLC,</t>
  </si>
  <si>
    <t xml:space="preserve">2026-00156</t>
  </si>
  <si>
    <t xml:space="preserve">02-17-189-012</t>
  </si>
  <si>
    <t xml:space="preserve">2026-00157</t>
  </si>
  <si>
    <t xml:space="preserve">02-17-202-001</t>
  </si>
  <si>
    <t xml:space="preserve">CALEDONIA OF YORKVILLE</t>
  </si>
  <si>
    <t xml:space="preserve">2026-00158</t>
  </si>
  <si>
    <t xml:space="preserve">02-17-207-015</t>
  </si>
  <si>
    <t xml:space="preserve">2026-00159</t>
  </si>
  <si>
    <t xml:space="preserve">02-17-207-016</t>
  </si>
  <si>
    <t xml:space="preserve">2026-00160</t>
  </si>
  <si>
    <t xml:space="preserve">02-17-226-003</t>
  </si>
  <si>
    <t xml:space="preserve">2026-00161</t>
  </si>
  <si>
    <t xml:space="preserve">02-17-226-004</t>
  </si>
  <si>
    <t xml:space="preserve">2026-00162</t>
  </si>
  <si>
    <t xml:space="preserve">02-18-100-003</t>
  </si>
  <si>
    <t xml:space="preserve">SOO GREEN HVDC LINK PR</t>
  </si>
  <si>
    <t xml:space="preserve">2026-00163</t>
  </si>
  <si>
    <t xml:space="preserve">02-20-126-014</t>
  </si>
  <si>
    <t xml:space="preserve">INGEMUNSON, JEAN DEC</t>
  </si>
  <si>
    <t xml:space="preserve">2026-00164</t>
  </si>
  <si>
    <t xml:space="preserve">02-20-127-003</t>
  </si>
  <si>
    <t xml:space="preserve">MYNATT, DOUGLAS J</t>
  </si>
  <si>
    <t xml:space="preserve">2026-00165</t>
  </si>
  <si>
    <t xml:space="preserve">02-20-226-008</t>
  </si>
  <si>
    <t xml:space="preserve">3215 CANNONBALL TRAIL L</t>
  </si>
  <si>
    <t xml:space="preserve">2026-00166</t>
  </si>
  <si>
    <t xml:space="preserve">02-20-352-007</t>
  </si>
  <si>
    <t xml:space="preserve">GALLEGOS OLGA L &amp;, AGUI</t>
  </si>
  <si>
    <t xml:space="preserve">2026-00167</t>
  </si>
  <si>
    <t xml:space="preserve">02-20-477-009</t>
  </si>
  <si>
    <t xml:space="preserve">THATCHER DONALD R JR</t>
  </si>
  <si>
    <t xml:space="preserve">2026-00168</t>
  </si>
  <si>
    <t xml:space="preserve">02-20-477-030</t>
  </si>
  <si>
    <t xml:space="preserve">COUNTRYSIDE CENTER IN</t>
  </si>
  <si>
    <t xml:space="preserve">2026-00169</t>
  </si>
  <si>
    <t xml:space="preserve">02-22-230-011</t>
  </si>
  <si>
    <t xml:space="preserve">MCCUE, BRIAN</t>
  </si>
  <si>
    <t xml:space="preserve">2026-00170</t>
  </si>
  <si>
    <t xml:space="preserve">02-22-355-018</t>
  </si>
  <si>
    <t xml:space="preserve">OPENDOOR PROPERTY TR</t>
  </si>
  <si>
    <t xml:space="preserve">2026-00171</t>
  </si>
  <si>
    <t xml:space="preserve">02-22-356-044</t>
  </si>
  <si>
    <t xml:space="preserve">2026-00172</t>
  </si>
  <si>
    <t xml:space="preserve">02-23-128-021</t>
  </si>
  <si>
    <t xml:space="preserve">CHOUDRY UMAR IQBAL &amp;,</t>
  </si>
  <si>
    <t xml:space="preserve">2026-00173</t>
  </si>
  <si>
    <t xml:space="preserve">02-23-228-002</t>
  </si>
  <si>
    <t xml:space="preserve">NENOV, PLAMEN ANGELOV</t>
  </si>
  <si>
    <t xml:space="preserve">2026-00174</t>
  </si>
  <si>
    <t xml:space="preserve">02-24-103-004</t>
  </si>
  <si>
    <t xml:space="preserve">SCOTT TIMOTHY &amp;, FEGAN</t>
  </si>
  <si>
    <t xml:space="preserve">2026-00175</t>
  </si>
  <si>
    <t xml:space="preserve">02-24-151-010</t>
  </si>
  <si>
    <t xml:space="preserve">EZEKIEL LLC,</t>
  </si>
  <si>
    <t xml:space="preserve">2026-00176</t>
  </si>
  <si>
    <t xml:space="preserve">02-24-300-001</t>
  </si>
  <si>
    <t xml:space="preserve">2026-00177</t>
  </si>
  <si>
    <t xml:space="preserve">02-24-300-019</t>
  </si>
  <si>
    <t xml:space="preserve">2026-00178</t>
  </si>
  <si>
    <t xml:space="preserve">02-26-376-009</t>
  </si>
  <si>
    <t xml:space="preserve">GONZALEZ, JESSE</t>
  </si>
  <si>
    <t xml:space="preserve">2026-00179</t>
  </si>
  <si>
    <t xml:space="preserve">02-28-104-036</t>
  </si>
  <si>
    <t xml:space="preserve">KENDALL HOSPITALITY LL</t>
  </si>
  <si>
    <t xml:space="preserve">2026-00180</t>
  </si>
  <si>
    <t xml:space="preserve">02-28-104-041</t>
  </si>
  <si>
    <t xml:space="preserve">LIGHTHOUSE ACADEMY - Y</t>
  </si>
  <si>
    <t xml:space="preserve">2026-00181</t>
  </si>
  <si>
    <t xml:space="preserve">02-28-104-043</t>
  </si>
  <si>
    <t xml:space="preserve">2026-00182</t>
  </si>
  <si>
    <t xml:space="preserve">02-28-327-008</t>
  </si>
  <si>
    <t xml:space="preserve">ARRIAGA , ANA &amp; ADAN &amp;</t>
  </si>
  <si>
    <t xml:space="preserve">2026-00183</t>
  </si>
  <si>
    <t xml:space="preserve">02-29-478-004</t>
  </si>
  <si>
    <t xml:space="preserve">JOHNSTON, TIMOTHY C</t>
  </si>
  <si>
    <t xml:space="preserve">2026-00184</t>
  </si>
  <si>
    <t xml:space="preserve">02-30-106-022</t>
  </si>
  <si>
    <t xml:space="preserve">DRESDEN, PAUL R</t>
  </si>
  <si>
    <t xml:space="preserve">2026-00185</t>
  </si>
  <si>
    <t xml:space="preserve">02-30-106-023</t>
  </si>
  <si>
    <t xml:space="preserve">2026-00186</t>
  </si>
  <si>
    <t xml:space="preserve">02-30-107-020</t>
  </si>
  <si>
    <t xml:space="preserve">2026-00187</t>
  </si>
  <si>
    <t xml:space="preserve">02-30-110-004</t>
  </si>
  <si>
    <t xml:space="preserve">KING, JENNIFER</t>
  </si>
  <si>
    <t xml:space="preserve">2026-00188</t>
  </si>
  <si>
    <t xml:space="preserve">02-30-117-026</t>
  </si>
  <si>
    <t xml:space="preserve">SILHOUETTE BUILDERS IN</t>
  </si>
  <si>
    <t xml:space="preserve">2026-00189</t>
  </si>
  <si>
    <t xml:space="preserve">02-30-117-045</t>
  </si>
  <si>
    <t xml:space="preserve">MURPHY, MONICA MARIE</t>
  </si>
  <si>
    <t xml:space="preserve">2026-00190</t>
  </si>
  <si>
    <t xml:space="preserve">02-31-127-004</t>
  </si>
  <si>
    <t xml:space="preserve">MUELLNER, KAREN REV T</t>
  </si>
  <si>
    <t xml:space="preserve">2026-00191</t>
  </si>
  <si>
    <t xml:space="preserve">02-32-231-005</t>
  </si>
  <si>
    <t xml:space="preserve">2026-00192</t>
  </si>
  <si>
    <t xml:space="preserve">02-32-231-006</t>
  </si>
  <si>
    <t xml:space="preserve">2026-00193</t>
  </si>
  <si>
    <t xml:space="preserve">02-32-405-024</t>
  </si>
  <si>
    <t xml:space="preserve">SALISBURY, ROBERT L &amp; PI</t>
  </si>
  <si>
    <t xml:space="preserve">2026-00194</t>
  </si>
  <si>
    <t xml:space="preserve">02-32-452-007</t>
  </si>
  <si>
    <t xml:space="preserve">COLOSI, JOSHUA</t>
  </si>
  <si>
    <t xml:space="preserve">2026-00195</t>
  </si>
  <si>
    <t xml:space="preserve">02-33-128-014</t>
  </si>
  <si>
    <t xml:space="preserve">POINTER, MELISSA</t>
  </si>
  <si>
    <t xml:space="preserve">2026-00196</t>
  </si>
  <si>
    <t xml:space="preserve">02-33-154-023</t>
  </si>
  <si>
    <t xml:space="preserve">BUILD FOR TOMORROW LL</t>
  </si>
  <si>
    <t xml:space="preserve">2026-00197</t>
  </si>
  <si>
    <t xml:space="preserve">02-33-304-019</t>
  </si>
  <si>
    <t xml:space="preserve">COGHILL, CHRISTINA</t>
  </si>
  <si>
    <t xml:space="preserve">2026-00198</t>
  </si>
  <si>
    <t xml:space="preserve">02-33-378-002</t>
  </si>
  <si>
    <t xml:space="preserve">MONTALBANO, ANTHONY</t>
  </si>
  <si>
    <t xml:space="preserve">2026-00199</t>
  </si>
  <si>
    <t xml:space="preserve">02-34-157-004</t>
  </si>
  <si>
    <t xml:space="preserve">SHAH , VEERAL</t>
  </si>
  <si>
    <t xml:space="preserve">2026-00200</t>
  </si>
  <si>
    <t xml:space="preserve">02-34-157-006</t>
  </si>
  <si>
    <t xml:space="preserve">ARMSTRONG, JOHN R JR F</t>
  </si>
  <si>
    <t xml:space="preserve">2026-00201</t>
  </si>
  <si>
    <t xml:space="preserve">02-36-300-014</t>
  </si>
  <si>
    <t xml:space="preserve">ALVIZU VAZQUEZ, DANIEL</t>
  </si>
  <si>
    <t xml:space="preserve">2026-00202</t>
  </si>
  <si>
    <t xml:space="preserve">03-01-151-001</t>
  </si>
  <si>
    <t xml:space="preserve">BELK, MARY</t>
  </si>
  <si>
    <t xml:space="preserve">2026-00203</t>
  </si>
  <si>
    <t xml:space="preserve">03-01-160-008</t>
  </si>
  <si>
    <t xml:space="preserve">JARDENIL, MARK M &amp; FELI</t>
  </si>
  <si>
    <t xml:space="preserve">2026-00204</t>
  </si>
  <si>
    <t xml:space="preserve">03-01-220-013</t>
  </si>
  <si>
    <t xml:space="preserve">FLORES MISAEL &amp;, MENDI</t>
  </si>
  <si>
    <t xml:space="preserve">2026-00205</t>
  </si>
  <si>
    <t xml:space="preserve">03-01-260-003</t>
  </si>
  <si>
    <t xml:space="preserve">LTC XB1516,</t>
  </si>
  <si>
    <t xml:space="preserve">2026-00206</t>
  </si>
  <si>
    <t xml:space="preserve">03-01-328-066</t>
  </si>
  <si>
    <t xml:space="preserve">MONSON, KEITH</t>
  </si>
  <si>
    <t xml:space="preserve">2026-00207</t>
  </si>
  <si>
    <t xml:space="preserve">03-01-454-056</t>
  </si>
  <si>
    <t xml:space="preserve">GANDLA , RAVI K</t>
  </si>
  <si>
    <t xml:space="preserve">2026-00208</t>
  </si>
  <si>
    <t xml:space="preserve">03-01-477-014</t>
  </si>
  <si>
    <t xml:space="preserve">DESOR, HARIKRISHAN &amp; R</t>
  </si>
  <si>
    <t xml:space="preserve">2026-00209</t>
  </si>
  <si>
    <t xml:space="preserve">03-02-277-005</t>
  </si>
  <si>
    <t xml:space="preserve">HARRIS TRUST &amp; SAVINGS</t>
  </si>
  <si>
    <t xml:space="preserve">2026-00210</t>
  </si>
  <si>
    <t xml:space="preserve">03-02-448-012</t>
  </si>
  <si>
    <t xml:space="preserve">BARKAUSKAS, GREGORY</t>
  </si>
  <si>
    <t xml:space="preserve">2026-00211</t>
  </si>
  <si>
    <t xml:space="preserve">03-02-456-020</t>
  </si>
  <si>
    <t xml:space="preserve">YANOS, TINA LUISE</t>
  </si>
  <si>
    <t xml:space="preserve">2026-00212</t>
  </si>
  <si>
    <t xml:space="preserve">03-02-458-040</t>
  </si>
  <si>
    <t xml:space="preserve">MOHAMMED, SALEEM</t>
  </si>
  <si>
    <t xml:space="preserve">2026-00213</t>
  </si>
  <si>
    <t xml:space="preserve">03-02-470-015</t>
  </si>
  <si>
    <t xml:space="preserve">COTTONE, SAM &amp; VIRGINIA</t>
  </si>
  <si>
    <t xml:space="preserve">2026-00214</t>
  </si>
  <si>
    <t xml:space="preserve">03-03-151-030</t>
  </si>
  <si>
    <t xml:space="preserve">MRE OSWEGO LLC,</t>
  </si>
  <si>
    <t xml:space="preserve">2026-00215</t>
  </si>
  <si>
    <t xml:space="preserve">03-03-154-039</t>
  </si>
  <si>
    <t xml:space="preserve">SANANIKONE, ROBERT P</t>
  </si>
  <si>
    <t xml:space="preserve">2026-00216</t>
  </si>
  <si>
    <t xml:space="preserve">03-03-353-030</t>
  </si>
  <si>
    <t xml:space="preserve">2026-00217</t>
  </si>
  <si>
    <t xml:space="preserve">03-03-354-010</t>
  </si>
  <si>
    <t xml:space="preserve">TERRAZAS, ERNESTO RAM</t>
  </si>
  <si>
    <t xml:space="preserve">2026-00218</t>
  </si>
  <si>
    <t xml:space="preserve">03-03-452-027</t>
  </si>
  <si>
    <t xml:space="preserve">MCALEAVY, DANIEL J</t>
  </si>
  <si>
    <t xml:space="preserve">2026-00219</t>
  </si>
  <si>
    <t xml:space="preserve">03-04-101-013</t>
  </si>
  <si>
    <t xml:space="preserve">CLINTON, DAVID &amp; ELIZABE</t>
  </si>
  <si>
    <t xml:space="preserve">2026-00220</t>
  </si>
  <si>
    <t xml:space="preserve">03-04-101-019</t>
  </si>
  <si>
    <t xml:space="preserve">PEREIRA, ERIC &amp; CHEYEN</t>
  </si>
  <si>
    <t xml:space="preserve">2026-00221</t>
  </si>
  <si>
    <t xml:space="preserve">03-04-127-006</t>
  </si>
  <si>
    <t xml:space="preserve">RAMIREZ, MANUEL</t>
  </si>
  <si>
    <t xml:space="preserve">2026-00222</t>
  </si>
  <si>
    <t xml:space="preserve">03-04-177-009</t>
  </si>
  <si>
    <t xml:space="preserve">ZOLPER, STEPHEN M SR</t>
  </si>
  <si>
    <t xml:space="preserve">2026-00223</t>
  </si>
  <si>
    <t xml:space="preserve">03-04-201-004</t>
  </si>
  <si>
    <t xml:space="preserve">SALAMON, ADOLPH</t>
  </si>
  <si>
    <t xml:space="preserve">2026-00224</t>
  </si>
  <si>
    <t xml:space="preserve">03-04-203-017</t>
  </si>
  <si>
    <t xml:space="preserve">OLSON AARON C &amp;, MORA</t>
  </si>
  <si>
    <t xml:space="preserve">2026-00225</t>
  </si>
  <si>
    <t xml:space="preserve">03-04-227-009</t>
  </si>
  <si>
    <t xml:space="preserve">UGL PROPERTY MANAGEM</t>
  </si>
  <si>
    <t xml:space="preserve">2026-00226</t>
  </si>
  <si>
    <t xml:space="preserve">03-04-231-014</t>
  </si>
  <si>
    <t xml:space="preserve">LOCKHART, LISA</t>
  </si>
  <si>
    <t xml:space="preserve">2026-00227</t>
  </si>
  <si>
    <t xml:space="preserve">03-04-231-015</t>
  </si>
  <si>
    <t xml:space="preserve">1835 GRANDVIEW PLACE,</t>
  </si>
  <si>
    <t xml:space="preserve">2026-00228</t>
  </si>
  <si>
    <t xml:space="preserve">03-04-278-001</t>
  </si>
  <si>
    <t xml:space="preserve">HUERTA, ANA C</t>
  </si>
  <si>
    <t xml:space="preserve">2026-00229</t>
  </si>
  <si>
    <t xml:space="preserve">03-04-304-022</t>
  </si>
  <si>
    <t xml:space="preserve">MCKAY, DAVID E &amp; EVELYN</t>
  </si>
  <si>
    <t xml:space="preserve">2026-00230</t>
  </si>
  <si>
    <t xml:space="preserve">03-04-376-059</t>
  </si>
  <si>
    <t xml:space="preserve">JOHNSON, ERNEST W &amp; VI</t>
  </si>
  <si>
    <t xml:space="preserve">2026-00231</t>
  </si>
  <si>
    <t xml:space="preserve">03-04-408-037</t>
  </si>
  <si>
    <t xml:space="preserve">HURTADO, RICARDO M</t>
  </si>
  <si>
    <t xml:space="preserve">2026-00232</t>
  </si>
  <si>
    <t xml:space="preserve">03-04-427-020</t>
  </si>
  <si>
    <t xml:space="preserve">CARTER, STEPHANIE JEAN</t>
  </si>
  <si>
    <t xml:space="preserve">2026-00233</t>
  </si>
  <si>
    <t xml:space="preserve">03-04-429-005</t>
  </si>
  <si>
    <t xml:space="preserve">HURTADO ALBERTO &amp;, ME</t>
  </si>
  <si>
    <t xml:space="preserve">2026-00234</t>
  </si>
  <si>
    <t xml:space="preserve">03-04-452-011</t>
  </si>
  <si>
    <t xml:space="preserve">GERSCH, MARK</t>
  </si>
  <si>
    <t xml:space="preserve">2026-00235</t>
  </si>
  <si>
    <t xml:space="preserve">03-04-477-019</t>
  </si>
  <si>
    <t xml:space="preserve">SHACHTAY, TRACY L</t>
  </si>
  <si>
    <t xml:space="preserve">2026-00236</t>
  </si>
  <si>
    <t xml:space="preserve">03-05-280-004</t>
  </si>
  <si>
    <t xml:space="preserve">MALY, CHARLES R</t>
  </si>
  <si>
    <t xml:space="preserve">2026-00237</t>
  </si>
  <si>
    <t xml:space="preserve">03-05-426-001</t>
  </si>
  <si>
    <t xml:space="preserve">SPEARMAN, JEROME I</t>
  </si>
  <si>
    <t xml:space="preserve">2026-00238</t>
  </si>
  <si>
    <t xml:space="preserve">03-05-426-007</t>
  </si>
  <si>
    <t xml:space="preserve">SMITH, SAMUEL</t>
  </si>
  <si>
    <t xml:space="preserve">2026-00239</t>
  </si>
  <si>
    <t xml:space="preserve">03-05-452-044</t>
  </si>
  <si>
    <t xml:space="preserve">RUDOLPH, LINDA</t>
  </si>
  <si>
    <t xml:space="preserve">2026-00240</t>
  </si>
  <si>
    <t xml:space="preserve">03-05-452-052</t>
  </si>
  <si>
    <t xml:space="preserve">MORGAN, SALLY</t>
  </si>
  <si>
    <t xml:space="preserve">2026-00241</t>
  </si>
  <si>
    <t xml:space="preserve">03-07-230-016</t>
  </si>
  <si>
    <t xml:space="preserve">DELGADO, ANTONIO &amp; CAR</t>
  </si>
  <si>
    <t xml:space="preserve">2026-00242</t>
  </si>
  <si>
    <t xml:space="preserve">03-07-279-060</t>
  </si>
  <si>
    <t xml:space="preserve">2026-00243</t>
  </si>
  <si>
    <t xml:space="preserve">03-07-280-017</t>
  </si>
  <si>
    <t xml:space="preserve">KREY RICHARD &amp;, CLEARY</t>
  </si>
  <si>
    <t xml:space="preserve">2026-00244</t>
  </si>
  <si>
    <t xml:space="preserve">03-07-444-010</t>
  </si>
  <si>
    <t xml:space="preserve">KROSS, JOHN F &amp; DEANNA</t>
  </si>
  <si>
    <t xml:space="preserve">2026-00245</t>
  </si>
  <si>
    <t xml:space="preserve">03-08-105-001</t>
  </si>
  <si>
    <t xml:space="preserve">RIOS, FERNANDO</t>
  </si>
  <si>
    <t xml:space="preserve">2026-00246</t>
  </si>
  <si>
    <t xml:space="preserve">03-08-153-027</t>
  </si>
  <si>
    <t xml:space="preserve">2026-00247</t>
  </si>
  <si>
    <t xml:space="preserve">03-08-153-030</t>
  </si>
  <si>
    <t xml:space="preserve">2026-00248</t>
  </si>
  <si>
    <t xml:space="preserve">03-08-154-007</t>
  </si>
  <si>
    <t xml:space="preserve">RUBIO , CLAUDIA</t>
  </si>
  <si>
    <t xml:space="preserve">2026-00249</t>
  </si>
  <si>
    <t xml:space="preserve">03-08-202-008</t>
  </si>
  <si>
    <t xml:space="preserve">CARRIS, JOHN R &amp; AUDRE</t>
  </si>
  <si>
    <t xml:space="preserve">2026-00250</t>
  </si>
  <si>
    <t xml:space="preserve">03-08-202-009</t>
  </si>
  <si>
    <t xml:space="preserve">ANGLE, HARLEY B &amp; VIVIA</t>
  </si>
  <si>
    <t xml:space="preserve">2026-00251</t>
  </si>
  <si>
    <t xml:space="preserve">03-08-227-029</t>
  </si>
  <si>
    <t xml:space="preserve">WALGREN, JAS &amp; SHARON</t>
  </si>
  <si>
    <t xml:space="preserve">2026-00252</t>
  </si>
  <si>
    <t xml:space="preserve">03-08-278-009</t>
  </si>
  <si>
    <t xml:space="preserve">2026-00253</t>
  </si>
  <si>
    <t xml:space="preserve">03-08-280-008</t>
  </si>
  <si>
    <t xml:space="preserve">HENN, CAROLYN R</t>
  </si>
  <si>
    <t xml:space="preserve">2026-00254</t>
  </si>
  <si>
    <t xml:space="preserve">03-08-362-008</t>
  </si>
  <si>
    <t xml:space="preserve">BROWN , TYLER</t>
  </si>
  <si>
    <t xml:space="preserve">2026-00255</t>
  </si>
  <si>
    <t xml:space="preserve">03-08-430-005</t>
  </si>
  <si>
    <t xml:space="preserve">DEWITT, ROBT E &amp; CAROL</t>
  </si>
  <si>
    <t xml:space="preserve">2026-00256</t>
  </si>
  <si>
    <t xml:space="preserve">03-08-432-002</t>
  </si>
  <si>
    <t xml:space="preserve">WOLF, KEVIN D &amp; RONDI J</t>
  </si>
  <si>
    <t xml:space="preserve">2026-00257</t>
  </si>
  <si>
    <t xml:space="preserve">03-09-152-019</t>
  </si>
  <si>
    <t xml:space="preserve">GONZALEZ, RAFAEL MARTI</t>
  </si>
  <si>
    <t xml:space="preserve">2026-00258</t>
  </si>
  <si>
    <t xml:space="preserve">03-09-279-013</t>
  </si>
  <si>
    <t xml:space="preserve">SANTILLAN, FERNANDO</t>
  </si>
  <si>
    <t xml:space="preserve">2026-00259</t>
  </si>
  <si>
    <t xml:space="preserve">03-09-280-004</t>
  </si>
  <si>
    <t xml:space="preserve">TYRA, TERRY</t>
  </si>
  <si>
    <t xml:space="preserve">2026-00260</t>
  </si>
  <si>
    <t xml:space="preserve">03-09-302-015</t>
  </si>
  <si>
    <t xml:space="preserve">COPELAND, AMY K</t>
  </si>
  <si>
    <t xml:space="preserve">2026-00261</t>
  </si>
  <si>
    <t xml:space="preserve">03-09-353-002</t>
  </si>
  <si>
    <t xml:space="preserve">NEPPL, RONALD L &amp; LINDA</t>
  </si>
  <si>
    <t xml:space="preserve">2026-00262</t>
  </si>
  <si>
    <t xml:space="preserve">03-09-380-010</t>
  </si>
  <si>
    <t xml:space="preserve">HURTADO, RICARDO &amp; SO</t>
  </si>
  <si>
    <t xml:space="preserve">2026-00263</t>
  </si>
  <si>
    <t xml:space="preserve">03-09-434-011</t>
  </si>
  <si>
    <t xml:space="preserve">RESTIVO, PHILLIP S &amp; KAT</t>
  </si>
  <si>
    <t xml:space="preserve">2026-00264</t>
  </si>
  <si>
    <t xml:space="preserve">03-09-458-006</t>
  </si>
  <si>
    <t xml:space="preserve">JARKA, JOHN A &amp; FLETCHE</t>
  </si>
  <si>
    <t xml:space="preserve">2026-00265</t>
  </si>
  <si>
    <t xml:space="preserve">03-10-162-032</t>
  </si>
  <si>
    <t xml:space="preserve">KAZLAUSKAS, LEONARD J</t>
  </si>
  <si>
    <t xml:space="preserve">2026-00266</t>
  </si>
  <si>
    <t xml:space="preserve">03-10-302-016</t>
  </si>
  <si>
    <t xml:space="preserve">2026-00267</t>
  </si>
  <si>
    <t xml:space="preserve">03-10-378-002</t>
  </si>
  <si>
    <t xml:space="preserve">TURNER, KALI</t>
  </si>
  <si>
    <t xml:space="preserve">2026-00268</t>
  </si>
  <si>
    <t xml:space="preserve">03-10-378-004</t>
  </si>
  <si>
    <t xml:space="preserve">LOCKHART, GILLIAN</t>
  </si>
  <si>
    <t xml:space="preserve">2026-00269</t>
  </si>
  <si>
    <t xml:space="preserve">03-10-460-005</t>
  </si>
  <si>
    <t xml:space="preserve">SCHMIDT, JEFFREY M &amp; AI</t>
  </si>
  <si>
    <t xml:space="preserve">2026-00270</t>
  </si>
  <si>
    <t xml:space="preserve">03-10-475-019</t>
  </si>
  <si>
    <t xml:space="preserve">DEGAND, JASON T &amp; HEAT</t>
  </si>
  <si>
    <t xml:space="preserve">2026-00271</t>
  </si>
  <si>
    <t xml:space="preserve">03-11-378-011</t>
  </si>
  <si>
    <t xml:space="preserve">CIRCA, STANISLAV &amp;, BRIN</t>
  </si>
  <si>
    <t xml:space="preserve">2026-00272</t>
  </si>
  <si>
    <t xml:space="preserve">03-12-102-023</t>
  </si>
  <si>
    <t xml:space="preserve">WILLIAMS, EMANUEL P</t>
  </si>
  <si>
    <t xml:space="preserve">2026-00273</t>
  </si>
  <si>
    <t xml:space="preserve">03-12-128-040</t>
  </si>
  <si>
    <t xml:space="preserve">DEXTER PROPERTIES LLC,</t>
  </si>
  <si>
    <t xml:space="preserve">2026-00274</t>
  </si>
  <si>
    <t xml:space="preserve">03-12-353-040</t>
  </si>
  <si>
    <t xml:space="preserve">1417 E 87TH LLC,</t>
  </si>
  <si>
    <t xml:space="preserve">2026-00275</t>
  </si>
  <si>
    <t xml:space="preserve">03-12-401-104</t>
  </si>
  <si>
    <t xml:space="preserve">SAMPSON TYRELL, JACOB</t>
  </si>
  <si>
    <t xml:space="preserve">2026-00276</t>
  </si>
  <si>
    <t xml:space="preserve">03-13-175-019</t>
  </si>
  <si>
    <t xml:space="preserve">RABBIMOV, RAKHIMJON A</t>
  </si>
  <si>
    <t xml:space="preserve">2026-00277</t>
  </si>
  <si>
    <t xml:space="preserve">03-13-203-010</t>
  </si>
  <si>
    <t xml:space="preserve">TIRADO, EUGENIO JR &amp; DIA</t>
  </si>
  <si>
    <t xml:space="preserve">2026-00278</t>
  </si>
  <si>
    <t xml:space="preserve">03-13-275-023</t>
  </si>
  <si>
    <t xml:space="preserve">KAKUMURU PRASANNA KU</t>
  </si>
  <si>
    <t xml:space="preserve">2026-00279</t>
  </si>
  <si>
    <t xml:space="preserve">03-13-300-005</t>
  </si>
  <si>
    <t xml:space="preserve">BARRIOS, NICOLAS &amp; SAN</t>
  </si>
  <si>
    <t xml:space="preserve">2026-00280</t>
  </si>
  <si>
    <t xml:space="preserve">03-13-400-003</t>
  </si>
  <si>
    <t xml:space="preserve">MURTAUGH, GENO &amp; CARY</t>
  </si>
  <si>
    <t xml:space="preserve">2026-00281</t>
  </si>
  <si>
    <t xml:space="preserve">03-15-206-003</t>
  </si>
  <si>
    <t xml:space="preserve">BURBAN, JULIA A</t>
  </si>
  <si>
    <t xml:space="preserve">2026-00282</t>
  </si>
  <si>
    <t xml:space="preserve">03-16-176-007</t>
  </si>
  <si>
    <t xml:space="preserve">VELAZQUEZ , ESTHELA B G</t>
  </si>
  <si>
    <t xml:space="preserve">2026-00283</t>
  </si>
  <si>
    <t xml:space="preserve">03-16-334-009</t>
  </si>
  <si>
    <t xml:space="preserve">GALLI, AARON</t>
  </si>
  <si>
    <t xml:space="preserve">2026-00284</t>
  </si>
  <si>
    <t xml:space="preserve">03-16-336-012</t>
  </si>
  <si>
    <t xml:space="preserve">BASSETT, CORY JAMES &amp;</t>
  </si>
  <si>
    <t xml:space="preserve">2026-00285</t>
  </si>
  <si>
    <t xml:space="preserve">03-17-177-007</t>
  </si>
  <si>
    <t xml:space="preserve">PLASKAS, ROBERT &amp; MAR</t>
  </si>
  <si>
    <t xml:space="preserve">2026-00286</t>
  </si>
  <si>
    <t xml:space="preserve">03-17-177-008</t>
  </si>
  <si>
    <t xml:space="preserve">2026-00287</t>
  </si>
  <si>
    <t xml:space="preserve">03-17-177-009</t>
  </si>
  <si>
    <t xml:space="preserve">2026-00288</t>
  </si>
  <si>
    <t xml:space="preserve">03-17-332-001</t>
  </si>
  <si>
    <t xml:space="preserve">WILHELM, SUSAN K TRUST</t>
  </si>
  <si>
    <t xml:space="preserve">2026-00289</t>
  </si>
  <si>
    <t xml:space="preserve">03-17-360-014</t>
  </si>
  <si>
    <t xml:space="preserve">EJMAX LLC,</t>
  </si>
  <si>
    <t xml:space="preserve">2026-00290</t>
  </si>
  <si>
    <t xml:space="preserve">03-17-383-009</t>
  </si>
  <si>
    <t xml:space="preserve">FITZPATRICK, CASEY T &amp; J</t>
  </si>
  <si>
    <t xml:space="preserve">2026-00291</t>
  </si>
  <si>
    <t xml:space="preserve">03-17-403-012</t>
  </si>
  <si>
    <t xml:space="preserve">JOHNSON, SCOTT</t>
  </si>
  <si>
    <t xml:space="preserve">2026-00292</t>
  </si>
  <si>
    <t xml:space="preserve">03-18-210-010</t>
  </si>
  <si>
    <t xml:space="preserve">UMAIMA TRUST, DATED M</t>
  </si>
  <si>
    <t xml:space="preserve">2026-00293</t>
  </si>
  <si>
    <t xml:space="preserve">03-18-222-004</t>
  </si>
  <si>
    <t xml:space="preserve">DAVIES, JUDIE</t>
  </si>
  <si>
    <t xml:space="preserve">2026-00294</t>
  </si>
  <si>
    <t xml:space="preserve">03-18-232-019</t>
  </si>
  <si>
    <t xml:space="preserve">NOTHNAGEL, GLEN T JR</t>
  </si>
  <si>
    <t xml:space="preserve">2026-00295</t>
  </si>
  <si>
    <t xml:space="preserve">03-19-278-001</t>
  </si>
  <si>
    <t xml:space="preserve">WISINSKI, DIANE LIVING TR</t>
  </si>
  <si>
    <t xml:space="preserve">2026-00296</t>
  </si>
  <si>
    <t xml:space="preserve">03-20-179-031</t>
  </si>
  <si>
    <t xml:space="preserve">LACHAPELLE, ROBERT G &amp;</t>
  </si>
  <si>
    <t xml:space="preserve">2026-00297</t>
  </si>
  <si>
    <t xml:space="preserve">03-20-451-022</t>
  </si>
  <si>
    <t xml:space="preserve">WOODSON, RONALD &amp; ERI</t>
  </si>
  <si>
    <t xml:space="preserve">2026-00298</t>
  </si>
  <si>
    <t xml:space="preserve">03-21-200-013</t>
  </si>
  <si>
    <t xml:space="preserve">ASF TAP IL II LLC,</t>
  </si>
  <si>
    <t xml:space="preserve">2026-00299</t>
  </si>
  <si>
    <t xml:space="preserve">03-22-100-004</t>
  </si>
  <si>
    <t xml:space="preserve">2026-00300</t>
  </si>
  <si>
    <t xml:space="preserve">03-22-300-011</t>
  </si>
  <si>
    <t xml:space="preserve">2026-00301</t>
  </si>
  <si>
    <t xml:space="preserve">03-26-100-004</t>
  </si>
  <si>
    <t xml:space="preserve">FAULKNER MICHAEL &amp; MA</t>
  </si>
  <si>
    <t xml:space="preserve">2026-00302</t>
  </si>
  <si>
    <t xml:space="preserve">03-27-200-004</t>
  </si>
  <si>
    <t xml:space="preserve">TYRELL, ROBERT</t>
  </si>
  <si>
    <t xml:space="preserve">2026-00303</t>
  </si>
  <si>
    <t xml:space="preserve">03-27-377-007</t>
  </si>
  <si>
    <t xml:space="preserve">SCHULTZ, DONALD &amp; DON</t>
  </si>
  <si>
    <t xml:space="preserve">2026-00304</t>
  </si>
  <si>
    <t xml:space="preserve">03-29-102-010</t>
  </si>
  <si>
    <t xml:space="preserve">FINGER, JAMES THOMAS &amp;</t>
  </si>
  <si>
    <t xml:space="preserve">2026-00305</t>
  </si>
  <si>
    <t xml:space="preserve">03-29-204-001</t>
  </si>
  <si>
    <t xml:space="preserve">KOLLA SURESH BABU &amp;, Y</t>
  </si>
  <si>
    <t xml:space="preserve">2026-00306</t>
  </si>
  <si>
    <t xml:space="preserve">03-32-328-007</t>
  </si>
  <si>
    <t xml:space="preserve">OLAJE COMPANY,</t>
  </si>
  <si>
    <t xml:space="preserve">2026-00307</t>
  </si>
  <si>
    <t xml:space="preserve">03-35-377-001</t>
  </si>
  <si>
    <t xml:space="preserve">DANIELS , STEPHAN J FA</t>
  </si>
  <si>
    <t xml:space="preserve">2026-00308</t>
  </si>
  <si>
    <t xml:space="preserve">03-36-101-005</t>
  </si>
  <si>
    <t xml:space="preserve">CIBC NATL TRUST CO, GD</t>
  </si>
  <si>
    <t xml:space="preserve">2026-00309</t>
  </si>
  <si>
    <t xml:space="preserve">03-36-102-004</t>
  </si>
  <si>
    <t xml:space="preserve">KASYMBEKOV NURSULTA</t>
  </si>
  <si>
    <t xml:space="preserve">2026-00310</t>
  </si>
  <si>
    <t xml:space="preserve">03-36-105-013</t>
  </si>
  <si>
    <t xml:space="preserve">COLLIGAN, KEVIN J &amp;, FRA</t>
  </si>
  <si>
    <t xml:space="preserve">2026-00311</t>
  </si>
  <si>
    <t xml:space="preserve">03-36-108-034</t>
  </si>
  <si>
    <t xml:space="preserve">SURIN, LEEANN M DEC OF</t>
  </si>
  <si>
    <t xml:space="preserve">2026-00312</t>
  </si>
  <si>
    <t xml:space="preserve">03-36-201-010</t>
  </si>
  <si>
    <t xml:space="preserve">ASHENFELTER, PATRICIA</t>
  </si>
  <si>
    <t xml:space="preserve">2026-00313</t>
  </si>
  <si>
    <t xml:space="preserve">03-36-202-010</t>
  </si>
  <si>
    <t xml:space="preserve">NAPOLSKI, PAUL M &amp; KIMB</t>
  </si>
  <si>
    <t xml:space="preserve">2026-00314</t>
  </si>
  <si>
    <t xml:space="preserve">03-36-204-013</t>
  </si>
  <si>
    <t xml:space="preserve">HERRADA, MONA L REV LI</t>
  </si>
  <si>
    <t xml:space="preserve">2026-00315</t>
  </si>
  <si>
    <t xml:space="preserve">03-36-226-026</t>
  </si>
  <si>
    <t xml:space="preserve">EGBOWON, ADENIYI A</t>
  </si>
  <si>
    <t xml:space="preserve">2026-00316</t>
  </si>
  <si>
    <t xml:space="preserve">04-02-230-009</t>
  </si>
  <si>
    <t xml:space="preserve">WILSON , MICHAEL F &amp; PAT</t>
  </si>
  <si>
    <t xml:space="preserve">2026-00317</t>
  </si>
  <si>
    <t xml:space="preserve">04-08-476-002</t>
  </si>
  <si>
    <t xml:space="preserve">HORATH, GREGG M</t>
  </si>
  <si>
    <t xml:space="preserve">2026-00318</t>
  </si>
  <si>
    <t xml:space="preserve">04-16-376-004</t>
  </si>
  <si>
    <t xml:space="preserve">EIGHT93,</t>
  </si>
  <si>
    <t xml:space="preserve">2026-00319</t>
  </si>
  <si>
    <t xml:space="preserve">04-17-251-002</t>
  </si>
  <si>
    <t xml:space="preserve">RANCHERO, EDUARDO &amp; L</t>
  </si>
  <si>
    <t xml:space="preserve">2026-00320</t>
  </si>
  <si>
    <t xml:space="preserve">04-20-227-004</t>
  </si>
  <si>
    <t xml:space="preserve">EIGHT93 INC,</t>
  </si>
  <si>
    <t xml:space="preserve">2026-00321</t>
  </si>
  <si>
    <t xml:space="preserve">04-21-102-016</t>
  </si>
  <si>
    <t xml:space="preserve">2026-00322</t>
  </si>
  <si>
    <t xml:space="preserve">04-30-155-003</t>
  </si>
  <si>
    <t xml:space="preserve">DE SOMER, DIRK W</t>
  </si>
  <si>
    <t xml:space="preserve">2026-00323</t>
  </si>
  <si>
    <t xml:space="preserve">04-30-155-004</t>
  </si>
  <si>
    <t xml:space="preserve">2026-00324</t>
  </si>
  <si>
    <t xml:space="preserve">04-30-315-003</t>
  </si>
  <si>
    <t xml:space="preserve">PENCE , REBECCA</t>
  </si>
  <si>
    <t xml:space="preserve">2026-00325</t>
  </si>
  <si>
    <t xml:space="preserve">04-30-354-014</t>
  </si>
  <si>
    <t xml:space="preserve">RASKA, ROBERT E</t>
  </si>
  <si>
    <t xml:space="preserve">2026-00326</t>
  </si>
  <si>
    <t xml:space="preserve">04-33-100-006</t>
  </si>
  <si>
    <t xml:space="preserve">RICHARDS, THOMAS F JR</t>
  </si>
  <si>
    <t xml:space="preserve">2026-00327</t>
  </si>
  <si>
    <t xml:space="preserve">05-03-351-011</t>
  </si>
  <si>
    <t xml:space="preserve">VILLANUEVA JOSE &amp; ROSA</t>
  </si>
  <si>
    <t xml:space="preserve">2026-00328</t>
  </si>
  <si>
    <t xml:space="preserve">05-03-354-002</t>
  </si>
  <si>
    <t xml:space="preserve">PRATAPA, NITIN SRIVASTA</t>
  </si>
  <si>
    <t xml:space="preserve">2026-00329</t>
  </si>
  <si>
    <t xml:space="preserve">05-04-105-002</t>
  </si>
  <si>
    <t xml:space="preserve">BRP PROPERTIES INC,</t>
  </si>
  <si>
    <t xml:space="preserve">2026-00330</t>
  </si>
  <si>
    <t xml:space="preserve">05-04-380-003</t>
  </si>
  <si>
    <t xml:space="preserve">VILLA, MARIA MAGDALENA</t>
  </si>
  <si>
    <t xml:space="preserve">2026-00331</t>
  </si>
  <si>
    <t xml:space="preserve">05-04-401-021</t>
  </si>
  <si>
    <t xml:space="preserve">SALINAS ALEX &amp;, BELLO B</t>
  </si>
  <si>
    <t xml:space="preserve">2026-00332</t>
  </si>
  <si>
    <t xml:space="preserve">05-05-128-006</t>
  </si>
  <si>
    <t xml:space="preserve">CURIEL, MARTIN</t>
  </si>
  <si>
    <t xml:space="preserve">2026-00333</t>
  </si>
  <si>
    <t xml:space="preserve">05-05-128-021</t>
  </si>
  <si>
    <t xml:space="preserve">COPPES, DAVID E</t>
  </si>
  <si>
    <t xml:space="preserve">2026-00334</t>
  </si>
  <si>
    <t xml:space="preserve">05-05-226-014</t>
  </si>
  <si>
    <t xml:space="preserve">BRIDGE STREET LUMBER L</t>
  </si>
  <si>
    <t xml:space="preserve">2026-00335</t>
  </si>
  <si>
    <t xml:space="preserve">05-05-300-016</t>
  </si>
  <si>
    <t xml:space="preserve">N C MASTER FAMILY LTD P</t>
  </si>
  <si>
    <t xml:space="preserve">2026-00336</t>
  </si>
  <si>
    <t xml:space="preserve">05-05-300-017</t>
  </si>
  <si>
    <t xml:space="preserve">2026-00337</t>
  </si>
  <si>
    <t xml:space="preserve">05-05-300-018</t>
  </si>
  <si>
    <t xml:space="preserve">2026-00338</t>
  </si>
  <si>
    <t xml:space="preserve">05-05-400-039</t>
  </si>
  <si>
    <t xml:space="preserve">GROUND EFFECTS OUTDO</t>
  </si>
  <si>
    <t xml:space="preserve">2026-00339</t>
  </si>
  <si>
    <t xml:space="preserve">05-05-444-006</t>
  </si>
  <si>
    <t xml:space="preserve">LOZANO, MIGUEL A</t>
  </si>
  <si>
    <t xml:space="preserve">2026-00340</t>
  </si>
  <si>
    <t xml:space="preserve">05-05-478-003</t>
  </si>
  <si>
    <t xml:space="preserve">YORKVILLE HOLDINGS INC,</t>
  </si>
  <si>
    <t xml:space="preserve">2026-00341</t>
  </si>
  <si>
    <t xml:space="preserve">05-06-276-004</t>
  </si>
  <si>
    <t xml:space="preserve">STALLMAN, RICHARD J &amp; N</t>
  </si>
  <si>
    <t xml:space="preserve">2026-00342</t>
  </si>
  <si>
    <t xml:space="preserve">05-07-376-002</t>
  </si>
  <si>
    <t xml:space="preserve">SOCIETY OF HELPERS OF</t>
  </si>
  <si>
    <t xml:space="preserve">2026-00343</t>
  </si>
  <si>
    <t xml:space="preserve">05-09-101-016</t>
  </si>
  <si>
    <t xml:space="preserve">RIVERA, JOEL &amp; GLORIA</t>
  </si>
  <si>
    <t xml:space="preserve">2026-00344</t>
  </si>
  <si>
    <t xml:space="preserve">05-09-180-002</t>
  </si>
  <si>
    <t xml:space="preserve">OBAOB, JASON J</t>
  </si>
  <si>
    <t xml:space="preserve">2026-00345</t>
  </si>
  <si>
    <t xml:space="preserve">05-09-239-008</t>
  </si>
  <si>
    <t xml:space="preserve">BASHMMAKH BANDAR JAM</t>
  </si>
  <si>
    <t xml:space="preserve">2026-00346</t>
  </si>
  <si>
    <t xml:space="preserve">05-10-128-083</t>
  </si>
  <si>
    <t xml:space="preserve">JONES, MACKENZIE</t>
  </si>
  <si>
    <t xml:space="preserve">2026-00347</t>
  </si>
  <si>
    <t xml:space="preserve">05-17-103-001</t>
  </si>
  <si>
    <t xml:space="preserve">VELAZQUEZ, JESUS &amp; JAN</t>
  </si>
  <si>
    <t xml:space="preserve">2026-00348</t>
  </si>
  <si>
    <t xml:space="preserve">05-17-121-006</t>
  </si>
  <si>
    <t xml:space="preserve">TURNER, JACK D &amp; DIANNE</t>
  </si>
  <si>
    <t xml:space="preserve">2026-00349</t>
  </si>
  <si>
    <t xml:space="preserve">05-18-153-003</t>
  </si>
  <si>
    <t xml:space="preserve">SMITH , NICOLE TRUST</t>
  </si>
  <si>
    <t xml:space="preserve">2026-00350</t>
  </si>
  <si>
    <t xml:space="preserve">05-29-100-002</t>
  </si>
  <si>
    <t xml:space="preserve">APOSTOLOU, JIM &amp; VICKIE</t>
  </si>
  <si>
    <t xml:space="preserve">2026-00351</t>
  </si>
  <si>
    <t xml:space="preserve">06-01-127-020</t>
  </si>
  <si>
    <t xml:space="preserve">MIR BARKATH &amp;, SYEDA FA</t>
  </si>
  <si>
    <t xml:space="preserve">2026-00352</t>
  </si>
  <si>
    <t xml:space="preserve">06-01-227-004</t>
  </si>
  <si>
    <t xml:space="preserve">GLYNN, ANGELA N</t>
  </si>
  <si>
    <t xml:space="preserve">2026-00353</t>
  </si>
  <si>
    <t xml:space="preserve">06-02-177-006</t>
  </si>
  <si>
    <t xml:space="preserve">SMITH, CHERYL J LIV TRU</t>
  </si>
  <si>
    <t xml:space="preserve">2026-00354</t>
  </si>
  <si>
    <t xml:space="preserve">06-02-201-006</t>
  </si>
  <si>
    <t xml:space="preserve">ANDERMANN, PAUL &amp; SUS</t>
  </si>
  <si>
    <t xml:space="preserve">2026-00355</t>
  </si>
  <si>
    <t xml:space="preserve">06-02-300-007</t>
  </si>
  <si>
    <t xml:space="preserve">BANK ONE LAGRANGE,</t>
  </si>
  <si>
    <t xml:space="preserve">2026-00356</t>
  </si>
  <si>
    <t xml:space="preserve">06-07-129-008</t>
  </si>
  <si>
    <t xml:space="preserve">MCCUE, NOLAN J &amp; JAMIE</t>
  </si>
  <si>
    <t xml:space="preserve">2026-00357</t>
  </si>
  <si>
    <t xml:space="preserve">06-07-226-005</t>
  </si>
  <si>
    <t xml:space="preserve">NUNEZ, RODOLFO G</t>
  </si>
  <si>
    <t xml:space="preserve">029</t>
  </si>
  <si>
    <t xml:space="preserve">TAX LIEN INVESTMENTS</t>
  </si>
  <si>
    <t xml:space="preserve">2026-00358</t>
  </si>
  <si>
    <t xml:space="preserve">06-07-227-006</t>
  </si>
  <si>
    <t xml:space="preserve">FAITHFUL FOUNDATIONS</t>
  </si>
  <si>
    <t xml:space="preserve">2026-00359</t>
  </si>
  <si>
    <t xml:space="preserve">06-07-227-009</t>
  </si>
  <si>
    <t xml:space="preserve">2026-00360</t>
  </si>
  <si>
    <t xml:space="preserve">06-08-125-003</t>
  </si>
  <si>
    <t xml:space="preserve">AURELI PROPERTY LLC,</t>
  </si>
  <si>
    <t xml:space="preserve">2026-00361</t>
  </si>
  <si>
    <t xml:space="preserve">06-08-151-008</t>
  </si>
  <si>
    <t xml:space="preserve">LTW GROUP DECLARATIO</t>
  </si>
  <si>
    <t xml:space="preserve">2026-00362</t>
  </si>
  <si>
    <t xml:space="preserve">06-13-126-001</t>
  </si>
  <si>
    <t xml:space="preserve">PUGLIESE, FRED JR &amp; KAT</t>
  </si>
  <si>
    <t xml:space="preserve">2026-00363</t>
  </si>
  <si>
    <t xml:space="preserve">06-13-127-007</t>
  </si>
  <si>
    <t xml:space="preserve">ANDERSON JEFFREY L TR</t>
  </si>
  <si>
    <t xml:space="preserve">2026-00364</t>
  </si>
  <si>
    <t xml:space="preserve">06-13-130-002</t>
  </si>
  <si>
    <t xml:space="preserve">2026-00365</t>
  </si>
  <si>
    <t xml:space="preserve">06-13-176-003</t>
  </si>
  <si>
    <t xml:space="preserve">2026-00366</t>
  </si>
  <si>
    <t xml:space="preserve">06-24-400-003</t>
  </si>
  <si>
    <t xml:space="preserve">OA PLAINFIELD (CHICAGO)</t>
  </si>
  <si>
    <t xml:space="preserve">2026-00367</t>
  </si>
  <si>
    <t xml:space="preserve">06-35-125-018</t>
  </si>
  <si>
    <t xml:space="preserve">GARTZKE, CHRIS</t>
  </si>
  <si>
    <t xml:space="preserve">2026-00368</t>
  </si>
  <si>
    <t xml:space="preserve">06-35-128-027</t>
  </si>
  <si>
    <t xml:space="preserve">DIAZ ANTONIO &amp;, ACOSTA</t>
  </si>
  <si>
    <t xml:space="preserve">2026-00369</t>
  </si>
  <si>
    <t xml:space="preserve">06-35-160-011</t>
  </si>
  <si>
    <t xml:space="preserve">BLAIN, RICHARD H JR</t>
  </si>
  <si>
    <t xml:space="preserve">2026-00370</t>
  </si>
  <si>
    <t xml:space="preserve">06-35-161-008</t>
  </si>
  <si>
    <t xml:space="preserve">GIBSON, KENNETH WALTE</t>
  </si>
  <si>
    <t xml:space="preserve">2026-00371</t>
  </si>
  <si>
    <t xml:space="preserve">06-35-161-009</t>
  </si>
  <si>
    <t xml:space="preserve">FIRST MIDWEST BANK, 97</t>
  </si>
  <si>
    <t xml:space="preserve">2026-00372</t>
  </si>
  <si>
    <t xml:space="preserve">06-35-203-041</t>
  </si>
  <si>
    <t xml:space="preserve">ARECHIGA, CARLOS</t>
  </si>
  <si>
    <t xml:space="preserve">2026-00373</t>
  </si>
  <si>
    <t xml:space="preserve">06-35-306-010</t>
  </si>
  <si>
    <t xml:space="preserve">SCRANTON, WILLIAM &amp; KA</t>
  </si>
  <si>
    <t xml:space="preserve">2026-00374</t>
  </si>
  <si>
    <t xml:space="preserve">06-36-178-010</t>
  </si>
  <si>
    <t xml:space="preserve">RUBIO, JULIO</t>
  </si>
  <si>
    <t xml:space="preserve">2026-00375</t>
  </si>
  <si>
    <t xml:space="preserve">06-36-180-025</t>
  </si>
  <si>
    <t xml:space="preserve">GREENE, ADRIA S</t>
  </si>
  <si>
    <t xml:space="preserve">2026-00376</t>
  </si>
  <si>
    <t xml:space="preserve">06-36-180-029</t>
  </si>
  <si>
    <t xml:space="preserve">MYERS, KATHLEEN M</t>
  </si>
  <si>
    <t xml:space="preserve">2026-00377</t>
  </si>
  <si>
    <t xml:space="preserve">06-36-274-007</t>
  </si>
  <si>
    <t xml:space="preserve">ARAFAT, MAZEN &amp; QUFEIS</t>
  </si>
  <si>
    <t xml:space="preserve">2026-00378</t>
  </si>
  <si>
    <t xml:space="preserve">06-36-274-055</t>
  </si>
  <si>
    <t xml:space="preserve">REDEEM ABODES LLC,</t>
  </si>
  <si>
    <t xml:space="preserve">2026-00379</t>
  </si>
  <si>
    <t xml:space="preserve">06-36-276-056</t>
  </si>
  <si>
    <t xml:space="preserve">PLAINFIELD CATON INVES</t>
  </si>
  <si>
    <t xml:space="preserve">2026-00380</t>
  </si>
  <si>
    <t xml:space="preserve">06-36-311-019</t>
  </si>
  <si>
    <t xml:space="preserve">HICKS, SHIRLEY</t>
  </si>
  <si>
    <t xml:space="preserve">2026-00381</t>
  </si>
  <si>
    <t xml:space="preserve">06-36-354-008</t>
  </si>
  <si>
    <t xml:space="preserve">VALDEZ JONATHAN &amp;, VAL</t>
  </si>
  <si>
    <t xml:space="preserve">2026-00382</t>
  </si>
  <si>
    <t xml:space="preserve">06-36-400-002</t>
  </si>
  <si>
    <t xml:space="preserve">HAWKINS, CHRISTOPHER</t>
  </si>
  <si>
    <t xml:space="preserve">2026-00383</t>
  </si>
  <si>
    <t xml:space="preserve">06-36-452-012</t>
  </si>
  <si>
    <t xml:space="preserve">GASHI, ALI &amp; LEONORA</t>
  </si>
  <si>
    <t xml:space="preserve">2026-00384</t>
  </si>
  <si>
    <t xml:space="preserve">07-05-153-007</t>
  </si>
  <si>
    <t xml:space="preserve">TU, MADOLYN M</t>
  </si>
  <si>
    <t xml:space="preserve">2026-00385</t>
  </si>
  <si>
    <t xml:space="preserve">07-05-153-013</t>
  </si>
  <si>
    <t xml:space="preserve">BRINEGAR, BARBARA J</t>
  </si>
  <si>
    <t xml:space="preserve">2026-00386</t>
  </si>
  <si>
    <t xml:space="preserve">07-05-302-001</t>
  </si>
  <si>
    <t xml:space="preserve">BEYER, JAMES R</t>
  </si>
  <si>
    <t xml:space="preserve">2026-00387</t>
  </si>
  <si>
    <t xml:space="preserve">07-05-310-001</t>
  </si>
  <si>
    <t xml:space="preserve">CHAVEZ, JOSE</t>
  </si>
  <si>
    <t xml:space="preserve">2026-00388</t>
  </si>
  <si>
    <t xml:space="preserve">07-05-312-008</t>
  </si>
  <si>
    <t xml:space="preserve">JAROSZ LIPSEY RAISSA &amp;</t>
  </si>
  <si>
    <t xml:space="preserve">2026-00389</t>
  </si>
  <si>
    <t xml:space="preserve">07-06-276-006</t>
  </si>
  <si>
    <t xml:space="preserve">DIERZEN, JOHN</t>
  </si>
  <si>
    <t xml:space="preserve">2026-00390</t>
  </si>
  <si>
    <t xml:space="preserve">07-06-276-014</t>
  </si>
  <si>
    <t xml:space="preserve">2026-00391</t>
  </si>
  <si>
    <t xml:space="preserve">07-06-276-015</t>
  </si>
  <si>
    <t xml:space="preserve">DIERZEN , JOHN A &amp; JENNI</t>
  </si>
  <si>
    <t xml:space="preserve">2026-00392</t>
  </si>
  <si>
    <t xml:space="preserve">07-06-277-015</t>
  </si>
  <si>
    <t xml:space="preserve">BRIDGES, ROBIN S</t>
  </si>
  <si>
    <t xml:space="preserve">2026-00393</t>
  </si>
  <si>
    <t xml:space="preserve">07-06-277-025</t>
  </si>
  <si>
    <t xml:space="preserve">2026-00394</t>
  </si>
  <si>
    <t xml:space="preserve">07-06-281-001</t>
  </si>
  <si>
    <t xml:space="preserve">DIERZEN, NICOLE</t>
  </si>
  <si>
    <t xml:space="preserve">2026-00395</t>
  </si>
  <si>
    <t xml:space="preserve">07-06-281-007</t>
  </si>
  <si>
    <t xml:space="preserve">2026-00396</t>
  </si>
  <si>
    <t xml:space="preserve">07-07-100-022</t>
  </si>
  <si>
    <t xml:space="preserve">2026-00397</t>
  </si>
  <si>
    <t xml:space="preserve">07-24-400-013</t>
  </si>
  <si>
    <t xml:space="preserve">LARKIN, TIMOTHY LIV TRU</t>
  </si>
  <si>
    <t xml:space="preserve">2026-00398</t>
  </si>
  <si>
    <t xml:space="preserve">07-25-276-034</t>
  </si>
  <si>
    <t xml:space="preserve">DITCHFIELD, WESLEY &amp; MA</t>
  </si>
  <si>
    <t xml:space="preserve">2026-00399</t>
  </si>
  <si>
    <t xml:space="preserve">07-25-278-015</t>
  </si>
  <si>
    <t xml:space="preserve">ZEZNANSKI, DANNY</t>
  </si>
  <si>
    <t xml:space="preserve">2026-00400</t>
  </si>
  <si>
    <t xml:space="preserve">08-02-451-006</t>
  </si>
  <si>
    <t xml:space="preserve">FOSTER, JASON &amp; MELISS</t>
  </si>
  <si>
    <t xml:space="preserve">2026-00401</t>
  </si>
  <si>
    <t xml:space="preserve">08-13-400-016</t>
  </si>
  <si>
    <t xml:space="preserve">OLIVARES, JOSE &amp; DORIS</t>
  </si>
  <si>
    <t xml:space="preserve">2026-00402</t>
  </si>
  <si>
    <t xml:space="preserve">08-13-400-017</t>
  </si>
  <si>
    <t xml:space="preserve">2026-00403</t>
  </si>
  <si>
    <t xml:space="preserve">09-01-152-016</t>
  </si>
  <si>
    <t xml:space="preserve">KHAN, AMRIN &amp; AMIR ALI</t>
  </si>
  <si>
    <t xml:space="preserve">2026-00404</t>
  </si>
  <si>
    <t xml:space="preserve">09-01-378-013</t>
  </si>
  <si>
    <t xml:space="preserve">IAKIMOVSKI, ION</t>
  </si>
  <si>
    <t xml:space="preserve">2026-00405</t>
  </si>
  <si>
    <t xml:space="preserve">09-01-381-028</t>
  </si>
  <si>
    <t xml:space="preserve">AMLING, THEODORE R LIV</t>
  </si>
  <si>
    <t xml:space="preserve">2026-00406</t>
  </si>
  <si>
    <t xml:space="preserve">09-01-426-011</t>
  </si>
  <si>
    <t xml:space="preserve">PATRICK, ROBERT C</t>
  </si>
  <si>
    <t xml:space="preserve">2026-00407</t>
  </si>
  <si>
    <t xml:space="preserve">09-02-446-005</t>
  </si>
  <si>
    <t xml:space="preserve">GALLO, PAUL A &amp; LISA M</t>
  </si>
  <si>
    <t xml:space="preserve">2026-00408</t>
  </si>
  <si>
    <t xml:space="preserve">09-04-300-005</t>
  </si>
  <si>
    <t xml:space="preserve">MACIAS, JOSE ANGEL</t>
  </si>
  <si>
    <t xml:space="preserve">2026-00409</t>
  </si>
  <si>
    <t xml:space="preserve">09-09-300-002</t>
  </si>
  <si>
    <t xml:space="preserve">2026-00410</t>
  </si>
  <si>
    <t xml:space="preserve">09-13-200-012</t>
  </si>
  <si>
    <t xml:space="preserve">GOPROBALL LLC,</t>
  </si>
  <si>
    <t xml:space="preserve">2026-00411</t>
  </si>
  <si>
    <t xml:space="preserve">09-13-200-013</t>
  </si>
  <si>
    <t xml:space="preserve">GOPROBALL, LLC</t>
  </si>
  <si>
    <t xml:space="preserve">2026-00412</t>
  </si>
  <si>
    <t xml:space="preserve">09-15-300-030</t>
  </si>
  <si>
    <t xml:space="preserve">GORE, BRIAN R &amp; JENNIFE</t>
  </si>
  <si>
    <t xml:space="preserve">2026-00413</t>
  </si>
  <si>
    <t xml:space="preserve">09-15-300-032</t>
  </si>
  <si>
    <t xml:space="preserve">2026-00414</t>
  </si>
  <si>
    <t xml:space="preserve">09-26-300-004</t>
  </si>
  <si>
    <t xml:space="preserve">JWS LAND COMPANY LLC,</t>
  </si>
  <si>
    <t xml:space="preserve">2026-00415</t>
  </si>
  <si>
    <t xml:space="preserve">09-27-400-002</t>
  </si>
  <si>
    <t xml:space="preserve">2026-00416</t>
  </si>
  <si>
    <t xml:space="preserve">09-29-100-005</t>
  </si>
  <si>
    <t xml:space="preserve">LAUTERBACH, JOHN</t>
  </si>
  <si>
    <t xml:space="preserve">2026-00417</t>
  </si>
  <si>
    <t xml:space="preserve">09-34-200-003</t>
  </si>
  <si>
    <t xml:space="preserve">TOTAL</t>
  </si>
  <si>
    <t xml:space="preserve">Totals by Bidder</t>
  </si>
  <si>
    <t xml:space="preserve"># Certificates</t>
  </si>
  <si>
    <t xml:space="preserve">Total Amount</t>
  </si>
  <si>
    <t xml:space="preserve">% of Total $</t>
  </si>
  <si>
    <t xml:space="preserve">Wtd Avg Bid %</t>
  </si>
  <si>
    <t xml:space="preserve">Min Bid %</t>
  </si>
  <si>
    <t xml:space="preserve">Max Bid %</t>
  </si>
  <si>
    <t xml:space="preserve">Wtd Avg Bid % = average bid rate weighted by certificate amount.</t>
  </si>
  <si>
    <t xml:space="preserve">Totals by Bidder and Bid Rate</t>
  </si>
  <si>
    <t xml:space="preserve">PRIVATE EQUITY GROUP Subtotal</t>
  </si>
  <si>
    <t xml:space="preserve">1095 INVESTMENTS LLC Subtotal</t>
  </si>
  <si>
    <t xml:space="preserve">RAVEN SECURITIES INC Subtotal</t>
  </si>
  <si>
    <t xml:space="preserve">AUCTION Z-2 INC Subtotal</t>
  </si>
  <si>
    <t xml:space="preserve">CARNIOLA CAPITAL LLC Subtotal</t>
  </si>
  <si>
    <t xml:space="preserve">BERNICE LLC Subtotal</t>
  </si>
  <si>
    <t xml:space="preserve">BYDSOM INC Subtotal</t>
  </si>
  <si>
    <t xml:space="preserve">AMERICAN TAX LIEN LLC Subtotal</t>
  </si>
  <si>
    <t xml:space="preserve">TAX LIEN INVESTMENTS Subtotal</t>
  </si>
  <si>
    <t xml:space="preserve">BIG GROVE INVESTMENT Subtotal</t>
  </si>
  <si>
    <t xml:space="preserve">GRAND TOTAL</t>
  </si>
  <si>
    <t xml:space="preserve">Total Amount by Bidder (rows) and Bid % (columns)</t>
  </si>
  <si>
    <t xml:space="preserve">0%</t>
  </si>
  <si>
    <t xml:space="preserve">1%</t>
  </si>
  <si>
    <t xml:space="preserve">3%</t>
  </si>
  <si>
    <t xml:space="preserve">4%</t>
  </si>
  <si>
    <t xml:space="preserve">5%</t>
  </si>
  <si>
    <t xml:space="preserve">6%</t>
  </si>
  <si>
    <t xml:space="preserve">7%</t>
  </si>
  <si>
    <t xml:space="preserve">8%</t>
  </si>
  <si>
    <t xml:space="preserve">9%</t>
  </si>
  <si>
    <t xml:space="preserve">Total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</si>
</sst>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\$#,##0.00"/>
    <numFmt numFmtId="166" formatCode="0.0%"/>
    <numFmt numFmtId="167" formatCode="0.00"/>
    <numFmt numFmtId="168" formatCode="General"/>
    <numFmt numFmtId="169" formatCode="\$#,##0.00;&quot;($&quot;#,##0.00\);\-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i val="true"/>
      <sz val="11"/>
      <color rgb="FF666666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1"/>
      <name val="Arial"/>
      <family val="0"/>
      <charset val="1"/>
    </font>
    <font>
      <b val="true"/>
      <sz val="11"/>
      <name val="Arial"/>
      <family val="0"/>
      <charset val="1"/>
    </font>
    <font>
      <sz val="11"/>
      <color rgb="FFFFFFFF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FE699"/>
        <bgColor rgb="FFFFCC99"/>
      </patternFill>
    </fill>
    <fill>
      <patternFill patternType="solid">
        <fgColor rgb="FFD9E1F2"/>
        <bgColor rgb="FFCCFFFF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8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8" fillId="3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6" fontId="8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8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8" fillId="4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8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8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 patternType="solid">
          <fgColor rgb="FF1F3864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E6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42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16"/>
    <col collapsed="false" customWidth="true" hidden="false" outlineLevel="0" max="3" min="3" style="0" width="32"/>
    <col collapsed="false" customWidth="true" hidden="false" outlineLevel="0" max="4" min="4" style="0" width="14"/>
    <col collapsed="false" customWidth="true" hidden="false" outlineLevel="0" max="5" min="5" style="0" width="9"/>
    <col collapsed="false" customWidth="true" hidden="false" outlineLevel="0" max="6" min="6" style="0" width="28"/>
    <col collapsed="false" customWidth="true" hidden="false" outlineLevel="0" max="7" min="7" style="0" width="8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</row>
    <row r="5" customFormat="false" ht="15" hidden="false" customHeight="false" outlineLevel="0" collapsed="false">
      <c r="A5" s="4" t="s">
        <v>9</v>
      </c>
      <c r="B5" s="4" t="s">
        <v>10</v>
      </c>
      <c r="C5" s="4" t="s">
        <v>11</v>
      </c>
      <c r="D5" s="5" t="n">
        <v>6573.36</v>
      </c>
      <c r="E5" s="6" t="s">
        <v>12</v>
      </c>
      <c r="F5" s="4" t="s">
        <v>13</v>
      </c>
      <c r="G5" s="6" t="n">
        <v>5</v>
      </c>
    </row>
    <row r="6" customFormat="false" ht="15" hidden="false" customHeight="false" outlineLevel="0" collapsed="false">
      <c r="A6" s="4" t="s">
        <v>14</v>
      </c>
      <c r="B6" s="4" t="s">
        <v>15</v>
      </c>
      <c r="C6" s="4" t="s">
        <v>16</v>
      </c>
      <c r="D6" s="5" t="n">
        <v>3484.11</v>
      </c>
      <c r="E6" s="6" t="s">
        <v>17</v>
      </c>
      <c r="F6" s="4" t="s">
        <v>18</v>
      </c>
      <c r="G6" s="6" t="n">
        <v>5</v>
      </c>
    </row>
    <row r="7" customFormat="false" ht="15" hidden="false" customHeight="false" outlineLevel="0" collapsed="false">
      <c r="A7" s="4" t="s">
        <v>19</v>
      </c>
      <c r="B7" s="4" t="s">
        <v>20</v>
      </c>
      <c r="C7" s="4" t="s">
        <v>21</v>
      </c>
      <c r="D7" s="5" t="n">
        <v>5347.79</v>
      </c>
      <c r="E7" s="6" t="s">
        <v>17</v>
      </c>
      <c r="F7" s="4" t="s">
        <v>18</v>
      </c>
      <c r="G7" s="6" t="n">
        <v>4</v>
      </c>
    </row>
    <row r="8" customFormat="false" ht="15" hidden="false" customHeight="false" outlineLevel="0" collapsed="false">
      <c r="A8" s="4" t="s">
        <v>22</v>
      </c>
      <c r="B8" s="4" t="s">
        <v>23</v>
      </c>
      <c r="C8" s="4" t="s">
        <v>24</v>
      </c>
      <c r="D8" s="5" t="n">
        <v>10926.14</v>
      </c>
      <c r="E8" s="6" t="s">
        <v>17</v>
      </c>
      <c r="F8" s="4" t="s">
        <v>18</v>
      </c>
      <c r="G8" s="6" t="n">
        <v>4</v>
      </c>
    </row>
    <row r="9" customFormat="false" ht="15" hidden="false" customHeight="false" outlineLevel="0" collapsed="false">
      <c r="A9" s="4" t="s">
        <v>25</v>
      </c>
      <c r="B9" s="4" t="s">
        <v>26</v>
      </c>
      <c r="C9" s="4" t="s">
        <v>27</v>
      </c>
      <c r="D9" s="5" t="n">
        <v>4991.75</v>
      </c>
      <c r="E9" s="6" t="s">
        <v>17</v>
      </c>
      <c r="F9" s="4" t="s">
        <v>18</v>
      </c>
      <c r="G9" s="6" t="n">
        <v>4</v>
      </c>
    </row>
    <row r="10" customFormat="false" ht="15" hidden="false" customHeight="false" outlineLevel="0" collapsed="false">
      <c r="A10" s="4" t="s">
        <v>28</v>
      </c>
      <c r="B10" s="4" t="s">
        <v>29</v>
      </c>
      <c r="C10" s="4" t="s">
        <v>30</v>
      </c>
      <c r="D10" s="5" t="n">
        <v>5885.18</v>
      </c>
      <c r="E10" s="6" t="s">
        <v>17</v>
      </c>
      <c r="F10" s="4" t="s">
        <v>18</v>
      </c>
      <c r="G10" s="6" t="n">
        <v>4</v>
      </c>
    </row>
    <row r="11" customFormat="false" ht="15" hidden="false" customHeight="false" outlineLevel="0" collapsed="false">
      <c r="A11" s="4" t="s">
        <v>31</v>
      </c>
      <c r="B11" s="4" t="s">
        <v>32</v>
      </c>
      <c r="C11" s="4" t="s">
        <v>33</v>
      </c>
      <c r="D11" s="5" t="n">
        <v>1919.77</v>
      </c>
      <c r="E11" s="6" t="s">
        <v>34</v>
      </c>
      <c r="F11" s="4" t="s">
        <v>35</v>
      </c>
      <c r="G11" s="6" t="n">
        <v>4</v>
      </c>
    </row>
    <row r="12" customFormat="false" ht="15" hidden="false" customHeight="false" outlineLevel="0" collapsed="false">
      <c r="A12" s="4" t="s">
        <v>36</v>
      </c>
      <c r="B12" s="4" t="s">
        <v>37</v>
      </c>
      <c r="C12" s="4" t="s">
        <v>38</v>
      </c>
      <c r="D12" s="5" t="n">
        <v>5109.21</v>
      </c>
      <c r="E12" s="6" t="s">
        <v>34</v>
      </c>
      <c r="F12" s="4" t="s">
        <v>35</v>
      </c>
      <c r="G12" s="6" t="n">
        <v>4</v>
      </c>
    </row>
    <row r="13" customFormat="false" ht="15" hidden="false" customHeight="false" outlineLevel="0" collapsed="false">
      <c r="A13" s="4" t="s">
        <v>39</v>
      </c>
      <c r="B13" s="4" t="s">
        <v>40</v>
      </c>
      <c r="C13" s="4" t="s">
        <v>41</v>
      </c>
      <c r="D13" s="5" t="n">
        <v>7411.43</v>
      </c>
      <c r="E13" s="6" t="s">
        <v>17</v>
      </c>
      <c r="F13" s="4" t="s">
        <v>18</v>
      </c>
      <c r="G13" s="6" t="n">
        <v>4</v>
      </c>
    </row>
    <row r="14" customFormat="false" ht="15" hidden="false" customHeight="false" outlineLevel="0" collapsed="false">
      <c r="A14" s="4" t="s">
        <v>42</v>
      </c>
      <c r="B14" s="4" t="s">
        <v>43</v>
      </c>
      <c r="C14" s="4" t="s">
        <v>44</v>
      </c>
      <c r="D14" s="5" t="n">
        <v>2683.48</v>
      </c>
      <c r="E14" s="6" t="s">
        <v>34</v>
      </c>
      <c r="F14" s="4" t="s">
        <v>35</v>
      </c>
      <c r="G14" s="6" t="n">
        <v>4</v>
      </c>
    </row>
    <row r="15" customFormat="false" ht="15" hidden="false" customHeight="false" outlineLevel="0" collapsed="false">
      <c r="A15" s="4" t="s">
        <v>45</v>
      </c>
      <c r="B15" s="4" t="s">
        <v>46</v>
      </c>
      <c r="C15" s="4" t="s">
        <v>47</v>
      </c>
      <c r="D15" s="5" t="n">
        <v>1154.92</v>
      </c>
      <c r="E15" s="6" t="s">
        <v>48</v>
      </c>
      <c r="F15" s="4" t="s">
        <v>49</v>
      </c>
      <c r="G15" s="6" t="n">
        <v>8</v>
      </c>
    </row>
    <row r="16" customFormat="false" ht="15" hidden="false" customHeight="false" outlineLevel="0" collapsed="false">
      <c r="A16" s="4" t="s">
        <v>50</v>
      </c>
      <c r="B16" s="4" t="s">
        <v>51</v>
      </c>
      <c r="C16" s="4" t="s">
        <v>52</v>
      </c>
      <c r="D16" s="5" t="n">
        <v>2707.17</v>
      </c>
      <c r="E16" s="6" t="s">
        <v>34</v>
      </c>
      <c r="F16" s="4" t="s">
        <v>35</v>
      </c>
      <c r="G16" s="6" t="n">
        <v>4</v>
      </c>
    </row>
    <row r="17" customFormat="false" ht="15" hidden="false" customHeight="false" outlineLevel="0" collapsed="false">
      <c r="A17" s="4" t="s">
        <v>53</v>
      </c>
      <c r="B17" s="4" t="s">
        <v>54</v>
      </c>
      <c r="C17" s="4" t="s">
        <v>55</v>
      </c>
      <c r="D17" s="5" t="n">
        <v>1769.75</v>
      </c>
      <c r="E17" s="6" t="s">
        <v>17</v>
      </c>
      <c r="F17" s="4" t="s">
        <v>18</v>
      </c>
      <c r="G17" s="6" t="n">
        <v>5</v>
      </c>
    </row>
    <row r="18" customFormat="false" ht="15" hidden="false" customHeight="false" outlineLevel="0" collapsed="false">
      <c r="A18" s="4" t="s">
        <v>56</v>
      </c>
      <c r="B18" s="4" t="s">
        <v>57</v>
      </c>
      <c r="C18" s="4" t="s">
        <v>58</v>
      </c>
      <c r="D18" s="5" t="n">
        <v>4906.71</v>
      </c>
      <c r="E18" s="6" t="s">
        <v>12</v>
      </c>
      <c r="F18" s="4" t="s">
        <v>13</v>
      </c>
      <c r="G18" s="6" t="n">
        <v>5</v>
      </c>
    </row>
    <row r="19" customFormat="false" ht="15" hidden="false" customHeight="false" outlineLevel="0" collapsed="false">
      <c r="A19" s="4" t="s">
        <v>59</v>
      </c>
      <c r="B19" s="4" t="s">
        <v>60</v>
      </c>
      <c r="C19" s="4" t="s">
        <v>61</v>
      </c>
      <c r="D19" s="5" t="n">
        <v>3510.58</v>
      </c>
      <c r="E19" s="6" t="s">
        <v>34</v>
      </c>
      <c r="F19" s="4" t="s">
        <v>35</v>
      </c>
      <c r="G19" s="6" t="n">
        <v>4</v>
      </c>
    </row>
    <row r="20" customFormat="false" ht="15" hidden="false" customHeight="false" outlineLevel="0" collapsed="false">
      <c r="A20" s="4" t="s">
        <v>62</v>
      </c>
      <c r="B20" s="4" t="s">
        <v>63</v>
      </c>
      <c r="C20" s="4" t="s">
        <v>64</v>
      </c>
      <c r="D20" s="5" t="n">
        <v>4394.47</v>
      </c>
      <c r="E20" s="6" t="s">
        <v>34</v>
      </c>
      <c r="F20" s="4" t="s">
        <v>35</v>
      </c>
      <c r="G20" s="6" t="n">
        <v>4</v>
      </c>
    </row>
    <row r="21" customFormat="false" ht="15" hidden="false" customHeight="false" outlineLevel="0" collapsed="false">
      <c r="A21" s="4" t="s">
        <v>65</v>
      </c>
      <c r="B21" s="4" t="s">
        <v>66</v>
      </c>
      <c r="C21" s="4" t="s">
        <v>67</v>
      </c>
      <c r="D21" s="5" t="n">
        <v>3190.84</v>
      </c>
      <c r="E21" s="6" t="s">
        <v>34</v>
      </c>
      <c r="F21" s="4" t="s">
        <v>35</v>
      </c>
      <c r="G21" s="6" t="n">
        <v>4</v>
      </c>
    </row>
    <row r="22" customFormat="false" ht="15" hidden="false" customHeight="false" outlineLevel="0" collapsed="false">
      <c r="A22" s="4" t="s">
        <v>68</v>
      </c>
      <c r="B22" s="4" t="s">
        <v>69</v>
      </c>
      <c r="C22" s="4" t="s">
        <v>70</v>
      </c>
      <c r="D22" s="5" t="n">
        <v>3357.89</v>
      </c>
      <c r="E22" s="6" t="s">
        <v>17</v>
      </c>
      <c r="F22" s="4" t="s">
        <v>18</v>
      </c>
      <c r="G22" s="6" t="n">
        <v>5</v>
      </c>
    </row>
    <row r="23" customFormat="false" ht="15" hidden="false" customHeight="false" outlineLevel="0" collapsed="false">
      <c r="A23" s="4" t="s">
        <v>71</v>
      </c>
      <c r="B23" s="4" t="s">
        <v>72</v>
      </c>
      <c r="C23" s="4" t="s">
        <v>55</v>
      </c>
      <c r="D23" s="5" t="n">
        <v>7554.53</v>
      </c>
      <c r="E23" s="6" t="s">
        <v>34</v>
      </c>
      <c r="F23" s="4" t="s">
        <v>35</v>
      </c>
      <c r="G23" s="6" t="n">
        <v>4</v>
      </c>
    </row>
    <row r="24" customFormat="false" ht="15" hidden="false" customHeight="false" outlineLevel="0" collapsed="false">
      <c r="A24" s="4" t="s">
        <v>73</v>
      </c>
      <c r="B24" s="4" t="s">
        <v>74</v>
      </c>
      <c r="C24" s="4" t="s">
        <v>75</v>
      </c>
      <c r="D24" s="5" t="n">
        <v>3890.43</v>
      </c>
      <c r="E24" s="6" t="s">
        <v>17</v>
      </c>
      <c r="F24" s="4" t="s">
        <v>18</v>
      </c>
      <c r="G24" s="6" t="n">
        <v>4</v>
      </c>
    </row>
    <row r="25" customFormat="false" ht="15" hidden="false" customHeight="false" outlineLevel="0" collapsed="false">
      <c r="A25" s="4" t="s">
        <v>76</v>
      </c>
      <c r="B25" s="4" t="s">
        <v>77</v>
      </c>
      <c r="C25" s="4" t="s">
        <v>78</v>
      </c>
      <c r="D25" s="5" t="n">
        <v>6075.45</v>
      </c>
      <c r="E25" s="6" t="s">
        <v>17</v>
      </c>
      <c r="F25" s="4" t="s">
        <v>18</v>
      </c>
      <c r="G25" s="6" t="n">
        <v>4</v>
      </c>
    </row>
    <row r="26" customFormat="false" ht="15" hidden="false" customHeight="false" outlineLevel="0" collapsed="false">
      <c r="A26" s="4" t="s">
        <v>79</v>
      </c>
      <c r="B26" s="4" t="s">
        <v>80</v>
      </c>
      <c r="C26" s="4" t="s">
        <v>78</v>
      </c>
      <c r="D26" s="5" t="n">
        <v>6184.13</v>
      </c>
      <c r="E26" s="6" t="s">
        <v>17</v>
      </c>
      <c r="F26" s="4" t="s">
        <v>18</v>
      </c>
      <c r="G26" s="6" t="n">
        <v>4</v>
      </c>
    </row>
    <row r="27" customFormat="false" ht="15" hidden="false" customHeight="false" outlineLevel="0" collapsed="false">
      <c r="A27" s="4" t="s">
        <v>81</v>
      </c>
      <c r="B27" s="4" t="s">
        <v>82</v>
      </c>
      <c r="C27" s="4" t="s">
        <v>83</v>
      </c>
      <c r="D27" s="5" t="n">
        <v>10161.56</v>
      </c>
      <c r="E27" s="6" t="s">
        <v>34</v>
      </c>
      <c r="F27" s="4" t="s">
        <v>35</v>
      </c>
      <c r="G27" s="6" t="n">
        <v>4</v>
      </c>
    </row>
    <row r="28" customFormat="false" ht="15" hidden="false" customHeight="false" outlineLevel="0" collapsed="false">
      <c r="A28" s="4" t="s">
        <v>84</v>
      </c>
      <c r="B28" s="4" t="s">
        <v>85</v>
      </c>
      <c r="C28" s="4" t="s">
        <v>86</v>
      </c>
      <c r="D28" s="5" t="n">
        <v>8246.05</v>
      </c>
      <c r="E28" s="6" t="s">
        <v>34</v>
      </c>
      <c r="F28" s="4" t="s">
        <v>35</v>
      </c>
      <c r="G28" s="6" t="n">
        <v>4</v>
      </c>
    </row>
    <row r="29" customFormat="false" ht="15" hidden="false" customHeight="false" outlineLevel="0" collapsed="false">
      <c r="A29" s="4" t="s">
        <v>87</v>
      </c>
      <c r="B29" s="4" t="s">
        <v>88</v>
      </c>
      <c r="C29" s="4" t="s">
        <v>89</v>
      </c>
      <c r="D29" s="5" t="n">
        <v>4434.54</v>
      </c>
      <c r="E29" s="6" t="s">
        <v>17</v>
      </c>
      <c r="F29" s="4" t="s">
        <v>18</v>
      </c>
      <c r="G29" s="6" t="n">
        <v>4</v>
      </c>
    </row>
    <row r="30" customFormat="false" ht="15" hidden="false" customHeight="false" outlineLevel="0" collapsed="false">
      <c r="A30" s="4" t="s">
        <v>90</v>
      </c>
      <c r="B30" s="4" t="s">
        <v>91</v>
      </c>
      <c r="C30" s="4" t="s">
        <v>92</v>
      </c>
      <c r="D30" s="5" t="n">
        <v>5575.75</v>
      </c>
      <c r="E30" s="6" t="s">
        <v>17</v>
      </c>
      <c r="F30" s="4" t="s">
        <v>18</v>
      </c>
      <c r="G30" s="6" t="n">
        <v>4</v>
      </c>
    </row>
    <row r="31" customFormat="false" ht="15" hidden="false" customHeight="false" outlineLevel="0" collapsed="false">
      <c r="A31" s="4" t="s">
        <v>93</v>
      </c>
      <c r="B31" s="4" t="s">
        <v>94</v>
      </c>
      <c r="C31" s="4" t="s">
        <v>95</v>
      </c>
      <c r="D31" s="5" t="n">
        <v>1759.54</v>
      </c>
      <c r="E31" s="6" t="s">
        <v>34</v>
      </c>
      <c r="F31" s="4" t="s">
        <v>35</v>
      </c>
      <c r="G31" s="6" t="n">
        <v>4</v>
      </c>
    </row>
    <row r="32" customFormat="false" ht="15" hidden="false" customHeight="false" outlineLevel="0" collapsed="false">
      <c r="A32" s="4" t="s">
        <v>96</v>
      </c>
      <c r="B32" s="4" t="s">
        <v>97</v>
      </c>
      <c r="C32" s="4" t="s">
        <v>98</v>
      </c>
      <c r="D32" s="5" t="n">
        <v>5444.85</v>
      </c>
      <c r="E32" s="6" t="s">
        <v>34</v>
      </c>
      <c r="F32" s="4" t="s">
        <v>35</v>
      </c>
      <c r="G32" s="6" t="n">
        <v>4</v>
      </c>
    </row>
    <row r="33" customFormat="false" ht="15" hidden="false" customHeight="false" outlineLevel="0" collapsed="false">
      <c r="A33" s="4" t="s">
        <v>99</v>
      </c>
      <c r="B33" s="4" t="s">
        <v>100</v>
      </c>
      <c r="C33" s="4" t="s">
        <v>101</v>
      </c>
      <c r="D33" s="5" t="n">
        <v>2427.75</v>
      </c>
      <c r="E33" s="6" t="s">
        <v>17</v>
      </c>
      <c r="F33" s="4" t="s">
        <v>18</v>
      </c>
      <c r="G33" s="6" t="n">
        <v>7</v>
      </c>
    </row>
    <row r="34" customFormat="false" ht="15" hidden="false" customHeight="false" outlineLevel="0" collapsed="false">
      <c r="A34" s="4" t="s">
        <v>102</v>
      </c>
      <c r="B34" s="4" t="s">
        <v>103</v>
      </c>
      <c r="C34" s="4" t="s">
        <v>104</v>
      </c>
      <c r="D34" s="5" t="n">
        <v>755.8</v>
      </c>
      <c r="E34" s="6" t="s">
        <v>105</v>
      </c>
      <c r="F34" s="4" t="s">
        <v>106</v>
      </c>
      <c r="G34" s="6" t="n">
        <v>1</v>
      </c>
    </row>
    <row r="35" customFormat="false" ht="15" hidden="false" customHeight="false" outlineLevel="0" collapsed="false">
      <c r="A35" s="4" t="s">
        <v>107</v>
      </c>
      <c r="B35" s="4" t="s">
        <v>108</v>
      </c>
      <c r="C35" s="4" t="s">
        <v>109</v>
      </c>
      <c r="D35" s="5" t="n">
        <v>4960.91</v>
      </c>
      <c r="E35" s="6" t="s">
        <v>34</v>
      </c>
      <c r="F35" s="4" t="s">
        <v>35</v>
      </c>
      <c r="G35" s="6" t="n">
        <v>4</v>
      </c>
    </row>
    <row r="36" customFormat="false" ht="15" hidden="false" customHeight="false" outlineLevel="0" collapsed="false">
      <c r="A36" s="4" t="s">
        <v>110</v>
      </c>
      <c r="B36" s="4" t="s">
        <v>111</v>
      </c>
      <c r="C36" s="4" t="s">
        <v>112</v>
      </c>
      <c r="D36" s="5" t="n">
        <v>3212.52</v>
      </c>
      <c r="E36" s="6" t="s">
        <v>34</v>
      </c>
      <c r="F36" s="4" t="s">
        <v>35</v>
      </c>
      <c r="G36" s="6" t="n">
        <v>4</v>
      </c>
    </row>
    <row r="37" customFormat="false" ht="15" hidden="false" customHeight="false" outlineLevel="0" collapsed="false">
      <c r="A37" s="4" t="s">
        <v>113</v>
      </c>
      <c r="B37" s="4" t="s">
        <v>114</v>
      </c>
      <c r="C37" s="4" t="s">
        <v>115</v>
      </c>
      <c r="D37" s="5" t="n">
        <v>1080.96</v>
      </c>
      <c r="E37" s="6" t="s">
        <v>105</v>
      </c>
      <c r="F37" s="4" t="s">
        <v>106</v>
      </c>
      <c r="G37" s="6" t="n">
        <v>1</v>
      </c>
    </row>
    <row r="38" customFormat="false" ht="15" hidden="false" customHeight="false" outlineLevel="0" collapsed="false">
      <c r="A38" s="4" t="s">
        <v>116</v>
      </c>
      <c r="B38" s="4" t="s">
        <v>117</v>
      </c>
      <c r="C38" s="4" t="s">
        <v>118</v>
      </c>
      <c r="D38" s="5" t="n">
        <v>959.64</v>
      </c>
      <c r="E38" s="6" t="s">
        <v>105</v>
      </c>
      <c r="F38" s="4" t="s">
        <v>106</v>
      </c>
      <c r="G38" s="6" t="n">
        <v>1</v>
      </c>
    </row>
    <row r="39" customFormat="false" ht="15" hidden="false" customHeight="false" outlineLevel="0" collapsed="false">
      <c r="A39" s="4" t="s">
        <v>119</v>
      </c>
      <c r="B39" s="4" t="s">
        <v>120</v>
      </c>
      <c r="C39" s="4" t="s">
        <v>121</v>
      </c>
      <c r="D39" s="5" t="n">
        <v>553.87</v>
      </c>
      <c r="E39" s="6" t="s">
        <v>105</v>
      </c>
      <c r="F39" s="4" t="s">
        <v>106</v>
      </c>
      <c r="G39" s="6" t="n">
        <v>1</v>
      </c>
    </row>
    <row r="40" customFormat="false" ht="15" hidden="false" customHeight="false" outlineLevel="0" collapsed="false">
      <c r="A40" s="4" t="s">
        <v>122</v>
      </c>
      <c r="B40" s="4" t="s">
        <v>123</v>
      </c>
      <c r="C40" s="4" t="s">
        <v>124</v>
      </c>
      <c r="D40" s="5" t="n">
        <v>1078.53</v>
      </c>
      <c r="E40" s="6" t="s">
        <v>105</v>
      </c>
      <c r="F40" s="4" t="s">
        <v>106</v>
      </c>
      <c r="G40" s="6" t="n">
        <v>1</v>
      </c>
    </row>
    <row r="41" customFormat="false" ht="15" hidden="false" customHeight="false" outlineLevel="0" collapsed="false">
      <c r="A41" s="4" t="s">
        <v>125</v>
      </c>
      <c r="B41" s="4" t="s">
        <v>126</v>
      </c>
      <c r="C41" s="4" t="s">
        <v>127</v>
      </c>
      <c r="D41" s="5" t="n">
        <v>1717.02</v>
      </c>
      <c r="E41" s="6" t="s">
        <v>105</v>
      </c>
      <c r="F41" s="4" t="s">
        <v>106</v>
      </c>
      <c r="G41" s="6" t="n">
        <v>1</v>
      </c>
    </row>
    <row r="42" customFormat="false" ht="15" hidden="false" customHeight="false" outlineLevel="0" collapsed="false">
      <c r="A42" s="4" t="s">
        <v>128</v>
      </c>
      <c r="B42" s="4" t="s">
        <v>129</v>
      </c>
      <c r="C42" s="4" t="s">
        <v>130</v>
      </c>
      <c r="D42" s="5" t="n">
        <v>13097.84</v>
      </c>
      <c r="E42" s="6" t="s">
        <v>12</v>
      </c>
      <c r="F42" s="4" t="s">
        <v>13</v>
      </c>
      <c r="G42" s="6" t="n">
        <v>4</v>
      </c>
    </row>
    <row r="43" customFormat="false" ht="15" hidden="false" customHeight="false" outlineLevel="0" collapsed="false">
      <c r="A43" s="4" t="s">
        <v>131</v>
      </c>
      <c r="B43" s="4" t="s">
        <v>132</v>
      </c>
      <c r="C43" s="4" t="s">
        <v>133</v>
      </c>
      <c r="D43" s="5" t="n">
        <v>5033.99</v>
      </c>
      <c r="E43" s="6" t="s">
        <v>17</v>
      </c>
      <c r="F43" s="4" t="s">
        <v>18</v>
      </c>
      <c r="G43" s="6" t="n">
        <v>4</v>
      </c>
    </row>
    <row r="44" customFormat="false" ht="15" hidden="false" customHeight="false" outlineLevel="0" collapsed="false">
      <c r="A44" s="4" t="s">
        <v>134</v>
      </c>
      <c r="B44" s="4" t="s">
        <v>135</v>
      </c>
      <c r="C44" s="4" t="s">
        <v>136</v>
      </c>
      <c r="D44" s="5" t="n">
        <v>6616.03</v>
      </c>
      <c r="E44" s="6" t="s">
        <v>48</v>
      </c>
      <c r="F44" s="4" t="s">
        <v>49</v>
      </c>
      <c r="G44" s="6" t="n">
        <v>7</v>
      </c>
    </row>
    <row r="45" customFormat="false" ht="15" hidden="false" customHeight="false" outlineLevel="0" collapsed="false">
      <c r="A45" s="4" t="s">
        <v>137</v>
      </c>
      <c r="B45" s="4" t="s">
        <v>138</v>
      </c>
      <c r="C45" s="4" t="s">
        <v>136</v>
      </c>
      <c r="D45" s="5" t="n">
        <v>1271.39</v>
      </c>
      <c r="E45" s="6" t="s">
        <v>105</v>
      </c>
      <c r="F45" s="4" t="s">
        <v>106</v>
      </c>
      <c r="G45" s="6" t="n">
        <v>0</v>
      </c>
    </row>
    <row r="46" customFormat="false" ht="15" hidden="false" customHeight="false" outlineLevel="0" collapsed="false">
      <c r="A46" s="4" t="s">
        <v>139</v>
      </c>
      <c r="B46" s="4" t="s">
        <v>140</v>
      </c>
      <c r="C46" s="4" t="s">
        <v>136</v>
      </c>
      <c r="D46" s="5" t="n">
        <v>1271.39</v>
      </c>
      <c r="E46" s="6" t="s">
        <v>105</v>
      </c>
      <c r="F46" s="4" t="s">
        <v>106</v>
      </c>
      <c r="G46" s="6" t="n">
        <v>0</v>
      </c>
    </row>
    <row r="47" customFormat="false" ht="15" hidden="false" customHeight="false" outlineLevel="0" collapsed="false">
      <c r="A47" s="4" t="s">
        <v>141</v>
      </c>
      <c r="B47" s="4" t="s">
        <v>142</v>
      </c>
      <c r="C47" s="4" t="s">
        <v>136</v>
      </c>
      <c r="D47" s="5" t="n">
        <v>1271.39</v>
      </c>
      <c r="E47" s="6" t="s">
        <v>105</v>
      </c>
      <c r="F47" s="4" t="s">
        <v>106</v>
      </c>
      <c r="G47" s="6" t="n">
        <v>0</v>
      </c>
    </row>
    <row r="48" customFormat="false" ht="15" hidden="false" customHeight="false" outlineLevel="0" collapsed="false">
      <c r="A48" s="4" t="s">
        <v>143</v>
      </c>
      <c r="B48" s="4" t="s">
        <v>144</v>
      </c>
      <c r="C48" s="4" t="s">
        <v>136</v>
      </c>
      <c r="D48" s="5" t="n">
        <v>1271.39</v>
      </c>
      <c r="E48" s="6" t="s">
        <v>105</v>
      </c>
      <c r="F48" s="4" t="s">
        <v>106</v>
      </c>
      <c r="G48" s="6" t="n">
        <v>0</v>
      </c>
    </row>
    <row r="49" customFormat="false" ht="15" hidden="false" customHeight="false" outlineLevel="0" collapsed="false">
      <c r="A49" s="4" t="s">
        <v>145</v>
      </c>
      <c r="B49" s="4" t="s">
        <v>146</v>
      </c>
      <c r="C49" s="4" t="s">
        <v>136</v>
      </c>
      <c r="D49" s="5" t="n">
        <v>1296.87</v>
      </c>
      <c r="E49" s="6" t="s">
        <v>105</v>
      </c>
      <c r="F49" s="4" t="s">
        <v>106</v>
      </c>
      <c r="G49" s="6" t="n">
        <v>0</v>
      </c>
    </row>
    <row r="50" customFormat="false" ht="15" hidden="false" customHeight="false" outlineLevel="0" collapsed="false">
      <c r="A50" s="4" t="s">
        <v>147</v>
      </c>
      <c r="B50" s="4" t="s">
        <v>148</v>
      </c>
      <c r="C50" s="4" t="s">
        <v>136</v>
      </c>
      <c r="D50" s="5" t="n">
        <v>1233.15</v>
      </c>
      <c r="E50" s="6" t="s">
        <v>105</v>
      </c>
      <c r="F50" s="4" t="s">
        <v>106</v>
      </c>
      <c r="G50" s="6" t="n">
        <v>0</v>
      </c>
    </row>
    <row r="51" customFormat="false" ht="15" hidden="false" customHeight="false" outlineLevel="0" collapsed="false">
      <c r="A51" s="4" t="s">
        <v>149</v>
      </c>
      <c r="B51" s="4" t="s">
        <v>150</v>
      </c>
      <c r="C51" s="4" t="s">
        <v>151</v>
      </c>
      <c r="D51" s="5" t="n">
        <v>3405.21</v>
      </c>
      <c r="E51" s="6" t="s">
        <v>12</v>
      </c>
      <c r="F51" s="4" t="s">
        <v>13</v>
      </c>
      <c r="G51" s="6" t="n">
        <v>4</v>
      </c>
    </row>
    <row r="52" customFormat="false" ht="15" hidden="false" customHeight="false" outlineLevel="0" collapsed="false">
      <c r="A52" s="4" t="s">
        <v>152</v>
      </c>
      <c r="B52" s="4" t="s">
        <v>153</v>
      </c>
      <c r="C52" s="4" t="s">
        <v>154</v>
      </c>
      <c r="D52" s="5" t="n">
        <v>1172.08</v>
      </c>
      <c r="E52" s="6" t="s">
        <v>48</v>
      </c>
      <c r="F52" s="4" t="s">
        <v>49</v>
      </c>
      <c r="G52" s="6" t="n">
        <v>8</v>
      </c>
    </row>
    <row r="53" customFormat="false" ht="15" hidden="false" customHeight="false" outlineLevel="0" collapsed="false">
      <c r="A53" s="4" t="s">
        <v>155</v>
      </c>
      <c r="B53" s="4" t="s">
        <v>156</v>
      </c>
      <c r="C53" s="4" t="s">
        <v>157</v>
      </c>
      <c r="D53" s="5" t="n">
        <v>1170.88</v>
      </c>
      <c r="E53" s="6" t="s">
        <v>48</v>
      </c>
      <c r="F53" s="4" t="s">
        <v>49</v>
      </c>
      <c r="G53" s="6" t="n">
        <v>7</v>
      </c>
    </row>
    <row r="54" customFormat="false" ht="15" hidden="false" customHeight="false" outlineLevel="0" collapsed="false">
      <c r="A54" s="4" t="s">
        <v>158</v>
      </c>
      <c r="B54" s="4" t="s">
        <v>159</v>
      </c>
      <c r="C54" s="4" t="s">
        <v>160</v>
      </c>
      <c r="D54" s="5" t="n">
        <v>2005.1</v>
      </c>
      <c r="E54" s="6" t="s">
        <v>34</v>
      </c>
      <c r="F54" s="4" t="s">
        <v>35</v>
      </c>
      <c r="G54" s="6" t="n">
        <v>4</v>
      </c>
    </row>
    <row r="55" customFormat="false" ht="15" hidden="false" customHeight="false" outlineLevel="0" collapsed="false">
      <c r="A55" s="4" t="s">
        <v>161</v>
      </c>
      <c r="B55" s="4" t="s">
        <v>162</v>
      </c>
      <c r="C55" s="4" t="s">
        <v>163</v>
      </c>
      <c r="D55" s="5" t="n">
        <v>523.01</v>
      </c>
      <c r="E55" s="6" t="s">
        <v>105</v>
      </c>
      <c r="F55" s="4" t="s">
        <v>106</v>
      </c>
      <c r="G55" s="6" t="n">
        <v>1</v>
      </c>
    </row>
    <row r="56" customFormat="false" ht="15" hidden="false" customHeight="false" outlineLevel="0" collapsed="false">
      <c r="A56" s="4" t="s">
        <v>164</v>
      </c>
      <c r="B56" s="4" t="s">
        <v>165</v>
      </c>
      <c r="C56" s="4" t="s">
        <v>163</v>
      </c>
      <c r="D56" s="5" t="n">
        <v>416.44</v>
      </c>
      <c r="E56" s="6" t="s">
        <v>105</v>
      </c>
      <c r="F56" s="4" t="s">
        <v>106</v>
      </c>
      <c r="G56" s="6" t="n">
        <v>1</v>
      </c>
    </row>
    <row r="57" customFormat="false" ht="15" hidden="false" customHeight="false" outlineLevel="0" collapsed="false">
      <c r="A57" s="4" t="s">
        <v>166</v>
      </c>
      <c r="B57" s="4" t="s">
        <v>167</v>
      </c>
      <c r="C57" s="4" t="s">
        <v>163</v>
      </c>
      <c r="D57" s="5" t="n">
        <v>2046.48</v>
      </c>
      <c r="E57" s="6" t="s">
        <v>34</v>
      </c>
      <c r="F57" s="4" t="s">
        <v>35</v>
      </c>
      <c r="G57" s="6" t="n">
        <v>4</v>
      </c>
    </row>
    <row r="58" customFormat="false" ht="15" hidden="false" customHeight="false" outlineLevel="0" collapsed="false">
      <c r="A58" s="4" t="s">
        <v>168</v>
      </c>
      <c r="B58" s="4" t="s">
        <v>169</v>
      </c>
      <c r="C58" s="4" t="s">
        <v>170</v>
      </c>
      <c r="D58" s="5" t="n">
        <v>527.31</v>
      </c>
      <c r="E58" s="6" t="s">
        <v>48</v>
      </c>
      <c r="F58" s="4" t="s">
        <v>49</v>
      </c>
      <c r="G58" s="6" t="n">
        <v>9</v>
      </c>
    </row>
    <row r="59" customFormat="false" ht="15" hidden="false" customHeight="false" outlineLevel="0" collapsed="false">
      <c r="A59" s="4" t="s">
        <v>171</v>
      </c>
      <c r="B59" s="4" t="s">
        <v>172</v>
      </c>
      <c r="C59" s="4" t="s">
        <v>170</v>
      </c>
      <c r="D59" s="5" t="n">
        <v>2309.18</v>
      </c>
      <c r="E59" s="6" t="s">
        <v>34</v>
      </c>
      <c r="F59" s="4" t="s">
        <v>35</v>
      </c>
      <c r="G59" s="6" t="n">
        <v>4</v>
      </c>
    </row>
    <row r="60" customFormat="false" ht="15" hidden="false" customHeight="false" outlineLevel="0" collapsed="false">
      <c r="A60" s="4" t="s">
        <v>173</v>
      </c>
      <c r="B60" s="4" t="s">
        <v>174</v>
      </c>
      <c r="C60" s="4" t="s">
        <v>175</v>
      </c>
      <c r="D60" s="5" t="n">
        <v>4106.25</v>
      </c>
      <c r="E60" s="6" t="s">
        <v>17</v>
      </c>
      <c r="F60" s="4" t="s">
        <v>18</v>
      </c>
      <c r="G60" s="6" t="n">
        <v>4</v>
      </c>
    </row>
    <row r="61" customFormat="false" ht="15" hidden="false" customHeight="false" outlineLevel="0" collapsed="false">
      <c r="A61" s="4" t="s">
        <v>176</v>
      </c>
      <c r="B61" s="4" t="s">
        <v>177</v>
      </c>
      <c r="C61" s="4" t="s">
        <v>178</v>
      </c>
      <c r="D61" s="5" t="n">
        <v>1443.68</v>
      </c>
      <c r="E61" s="6" t="s">
        <v>48</v>
      </c>
      <c r="F61" s="4" t="s">
        <v>49</v>
      </c>
      <c r="G61" s="6" t="n">
        <v>8</v>
      </c>
    </row>
    <row r="62" customFormat="false" ht="15" hidden="false" customHeight="false" outlineLevel="0" collapsed="false">
      <c r="A62" s="4" t="s">
        <v>179</v>
      </c>
      <c r="B62" s="4" t="s">
        <v>180</v>
      </c>
      <c r="C62" s="4" t="s">
        <v>181</v>
      </c>
      <c r="D62" s="5" t="n">
        <v>1443.68</v>
      </c>
      <c r="E62" s="6" t="s">
        <v>48</v>
      </c>
      <c r="F62" s="4" t="s">
        <v>49</v>
      </c>
      <c r="G62" s="6" t="n">
        <v>7</v>
      </c>
    </row>
    <row r="63" customFormat="false" ht="15" hidden="false" customHeight="false" outlineLevel="0" collapsed="false">
      <c r="A63" s="4" t="s">
        <v>182</v>
      </c>
      <c r="B63" s="4" t="s">
        <v>183</v>
      </c>
      <c r="C63" s="4" t="s">
        <v>184</v>
      </c>
      <c r="D63" s="5" t="n">
        <v>1443.68</v>
      </c>
      <c r="E63" s="6" t="s">
        <v>48</v>
      </c>
      <c r="F63" s="4" t="s">
        <v>49</v>
      </c>
      <c r="G63" s="6" t="n">
        <v>9</v>
      </c>
    </row>
    <row r="64" customFormat="false" ht="15" hidden="false" customHeight="false" outlineLevel="0" collapsed="false">
      <c r="A64" s="4" t="s">
        <v>185</v>
      </c>
      <c r="B64" s="4" t="s">
        <v>186</v>
      </c>
      <c r="C64" s="4" t="s">
        <v>187</v>
      </c>
      <c r="D64" s="5" t="n">
        <v>9660.1</v>
      </c>
      <c r="E64" s="6" t="s">
        <v>17</v>
      </c>
      <c r="F64" s="4" t="s">
        <v>18</v>
      </c>
      <c r="G64" s="6" t="n">
        <v>4</v>
      </c>
    </row>
    <row r="65" customFormat="false" ht="15" hidden="false" customHeight="false" outlineLevel="0" collapsed="false">
      <c r="A65" s="4" t="s">
        <v>188</v>
      </c>
      <c r="B65" s="4" t="s">
        <v>189</v>
      </c>
      <c r="C65" s="4" t="s">
        <v>190</v>
      </c>
      <c r="D65" s="5" t="n">
        <v>1443.68</v>
      </c>
      <c r="E65" s="6" t="s">
        <v>48</v>
      </c>
      <c r="F65" s="4" t="s">
        <v>49</v>
      </c>
      <c r="G65" s="6" t="n">
        <v>7</v>
      </c>
    </row>
    <row r="66" customFormat="false" ht="15" hidden="false" customHeight="false" outlineLevel="0" collapsed="false">
      <c r="A66" s="4" t="s">
        <v>191</v>
      </c>
      <c r="B66" s="4" t="s">
        <v>192</v>
      </c>
      <c r="C66" s="4" t="s">
        <v>193</v>
      </c>
      <c r="D66" s="5" t="n">
        <v>1443.68</v>
      </c>
      <c r="E66" s="6" t="s">
        <v>194</v>
      </c>
      <c r="F66" s="4" t="s">
        <v>195</v>
      </c>
      <c r="G66" s="6" t="n">
        <v>9</v>
      </c>
    </row>
    <row r="67" customFormat="false" ht="15" hidden="false" customHeight="false" outlineLevel="0" collapsed="false">
      <c r="A67" s="4" t="s">
        <v>196</v>
      </c>
      <c r="B67" s="4" t="s">
        <v>197</v>
      </c>
      <c r="C67" s="4" t="s">
        <v>198</v>
      </c>
      <c r="D67" s="5" t="n">
        <v>1443.68</v>
      </c>
      <c r="E67" s="6" t="s">
        <v>48</v>
      </c>
      <c r="F67" s="4" t="s">
        <v>49</v>
      </c>
      <c r="G67" s="6" t="n">
        <v>8</v>
      </c>
    </row>
    <row r="68" customFormat="false" ht="15" hidden="false" customHeight="false" outlineLevel="0" collapsed="false">
      <c r="A68" s="4" t="s">
        <v>199</v>
      </c>
      <c r="B68" s="4" t="s">
        <v>200</v>
      </c>
      <c r="C68" s="4" t="s">
        <v>201</v>
      </c>
      <c r="D68" s="5" t="n">
        <v>1443.68</v>
      </c>
      <c r="E68" s="6" t="s">
        <v>48</v>
      </c>
      <c r="F68" s="4" t="s">
        <v>49</v>
      </c>
      <c r="G68" s="6" t="n">
        <v>7</v>
      </c>
    </row>
    <row r="69" customFormat="false" ht="15" hidden="false" customHeight="false" outlineLevel="0" collapsed="false">
      <c r="A69" s="4" t="s">
        <v>202</v>
      </c>
      <c r="B69" s="4" t="s">
        <v>203</v>
      </c>
      <c r="C69" s="4" t="s">
        <v>204</v>
      </c>
      <c r="D69" s="5" t="n">
        <v>1443.68</v>
      </c>
      <c r="E69" s="6" t="s">
        <v>194</v>
      </c>
      <c r="F69" s="4" t="s">
        <v>195</v>
      </c>
      <c r="G69" s="6" t="n">
        <v>9</v>
      </c>
    </row>
    <row r="70" customFormat="false" ht="15" hidden="false" customHeight="false" outlineLevel="0" collapsed="false">
      <c r="A70" s="4" t="s">
        <v>205</v>
      </c>
      <c r="B70" s="4" t="s">
        <v>206</v>
      </c>
      <c r="C70" s="4" t="s">
        <v>207</v>
      </c>
      <c r="D70" s="5" t="n">
        <v>1443.68</v>
      </c>
      <c r="E70" s="6" t="s">
        <v>48</v>
      </c>
      <c r="F70" s="4" t="s">
        <v>49</v>
      </c>
      <c r="G70" s="6" t="n">
        <v>8</v>
      </c>
    </row>
    <row r="71" customFormat="false" ht="15" hidden="false" customHeight="false" outlineLevel="0" collapsed="false">
      <c r="A71" s="4" t="s">
        <v>208</v>
      </c>
      <c r="B71" s="4" t="s">
        <v>209</v>
      </c>
      <c r="C71" s="4" t="s">
        <v>210</v>
      </c>
      <c r="D71" s="5" t="n">
        <v>1443.68</v>
      </c>
      <c r="E71" s="6" t="s">
        <v>48</v>
      </c>
      <c r="F71" s="4" t="s">
        <v>49</v>
      </c>
      <c r="G71" s="6" t="n">
        <v>7</v>
      </c>
    </row>
    <row r="72" customFormat="false" ht="15" hidden="false" customHeight="false" outlineLevel="0" collapsed="false">
      <c r="A72" s="4" t="s">
        <v>211</v>
      </c>
      <c r="B72" s="4" t="s">
        <v>212</v>
      </c>
      <c r="C72" s="4" t="s">
        <v>213</v>
      </c>
      <c r="D72" s="5" t="n">
        <v>3243.19</v>
      </c>
      <c r="E72" s="6" t="s">
        <v>34</v>
      </c>
      <c r="F72" s="4" t="s">
        <v>35</v>
      </c>
      <c r="G72" s="6" t="n">
        <v>4</v>
      </c>
    </row>
    <row r="73" customFormat="false" ht="15" hidden="false" customHeight="false" outlineLevel="0" collapsed="false">
      <c r="A73" s="4" t="s">
        <v>214</v>
      </c>
      <c r="B73" s="4" t="s">
        <v>215</v>
      </c>
      <c r="C73" s="4" t="s">
        <v>216</v>
      </c>
      <c r="D73" s="5" t="n">
        <v>6343.2</v>
      </c>
      <c r="E73" s="6" t="s">
        <v>34</v>
      </c>
      <c r="F73" s="4" t="s">
        <v>35</v>
      </c>
      <c r="G73" s="6" t="n">
        <v>4</v>
      </c>
    </row>
    <row r="74" customFormat="false" ht="15" hidden="false" customHeight="false" outlineLevel="0" collapsed="false">
      <c r="A74" s="4" t="s">
        <v>217</v>
      </c>
      <c r="B74" s="4" t="s">
        <v>218</v>
      </c>
      <c r="C74" s="4" t="s">
        <v>78</v>
      </c>
      <c r="D74" s="5" t="n">
        <v>7348.55</v>
      </c>
      <c r="E74" s="6" t="s">
        <v>17</v>
      </c>
      <c r="F74" s="4" t="s">
        <v>18</v>
      </c>
      <c r="G74" s="6" t="n">
        <v>4</v>
      </c>
    </row>
    <row r="75" customFormat="false" ht="15" hidden="false" customHeight="false" outlineLevel="0" collapsed="false">
      <c r="A75" s="4" t="s">
        <v>219</v>
      </c>
      <c r="B75" s="4" t="s">
        <v>220</v>
      </c>
      <c r="C75" s="4" t="s">
        <v>221</v>
      </c>
      <c r="D75" s="5" t="n">
        <v>3117.29</v>
      </c>
      <c r="E75" s="6" t="s">
        <v>34</v>
      </c>
      <c r="F75" s="4" t="s">
        <v>35</v>
      </c>
      <c r="G75" s="6" t="n">
        <v>4</v>
      </c>
    </row>
    <row r="76" customFormat="false" ht="15" hidden="false" customHeight="false" outlineLevel="0" collapsed="false">
      <c r="A76" s="4" t="s">
        <v>222</v>
      </c>
      <c r="B76" s="4" t="s">
        <v>223</v>
      </c>
      <c r="C76" s="4" t="s">
        <v>224</v>
      </c>
      <c r="D76" s="5" t="n">
        <v>7244.71</v>
      </c>
      <c r="E76" s="6" t="s">
        <v>17</v>
      </c>
      <c r="F76" s="4" t="s">
        <v>18</v>
      </c>
      <c r="G76" s="6" t="n">
        <v>4</v>
      </c>
    </row>
    <row r="77" customFormat="false" ht="15" hidden="false" customHeight="false" outlineLevel="0" collapsed="false">
      <c r="A77" s="4" t="s">
        <v>225</v>
      </c>
      <c r="B77" s="4" t="s">
        <v>226</v>
      </c>
      <c r="C77" s="4" t="s">
        <v>227</v>
      </c>
      <c r="D77" s="5" t="n">
        <v>1157.06</v>
      </c>
      <c r="E77" s="6" t="s">
        <v>48</v>
      </c>
      <c r="F77" s="4" t="s">
        <v>49</v>
      </c>
      <c r="G77" s="6" t="n">
        <v>7</v>
      </c>
    </row>
    <row r="78" customFormat="false" ht="15" hidden="false" customHeight="false" outlineLevel="0" collapsed="false">
      <c r="A78" s="4" t="s">
        <v>228</v>
      </c>
      <c r="B78" s="4" t="s">
        <v>229</v>
      </c>
      <c r="C78" s="4" t="s">
        <v>230</v>
      </c>
      <c r="D78" s="5" t="n">
        <v>1157.06</v>
      </c>
      <c r="E78" s="6" t="s">
        <v>194</v>
      </c>
      <c r="F78" s="4" t="s">
        <v>195</v>
      </c>
      <c r="G78" s="6" t="n">
        <v>9</v>
      </c>
    </row>
    <row r="79" customFormat="false" ht="15" hidden="false" customHeight="false" outlineLevel="0" collapsed="false">
      <c r="A79" s="4" t="s">
        <v>231</v>
      </c>
      <c r="B79" s="4" t="s">
        <v>232</v>
      </c>
      <c r="C79" s="4" t="s">
        <v>233</v>
      </c>
      <c r="D79" s="5" t="n">
        <v>1157.06</v>
      </c>
      <c r="E79" s="6" t="s">
        <v>48</v>
      </c>
      <c r="F79" s="4" t="s">
        <v>49</v>
      </c>
      <c r="G79" s="6" t="n">
        <v>8</v>
      </c>
    </row>
    <row r="80" customFormat="false" ht="15" hidden="false" customHeight="false" outlineLevel="0" collapsed="false">
      <c r="A80" s="4" t="s">
        <v>234</v>
      </c>
      <c r="B80" s="4" t="s">
        <v>235</v>
      </c>
      <c r="C80" s="4" t="s">
        <v>236</v>
      </c>
      <c r="D80" s="5" t="n">
        <v>1157.06</v>
      </c>
      <c r="E80" s="6" t="s">
        <v>48</v>
      </c>
      <c r="F80" s="4" t="s">
        <v>49</v>
      </c>
      <c r="G80" s="6" t="n">
        <v>7</v>
      </c>
    </row>
    <row r="81" customFormat="false" ht="15" hidden="false" customHeight="false" outlineLevel="0" collapsed="false">
      <c r="A81" s="4" t="s">
        <v>237</v>
      </c>
      <c r="B81" s="4" t="s">
        <v>238</v>
      </c>
      <c r="C81" s="4" t="s">
        <v>239</v>
      </c>
      <c r="D81" s="5" t="n">
        <v>1157.06</v>
      </c>
      <c r="E81" s="6" t="s">
        <v>194</v>
      </c>
      <c r="F81" s="4" t="s">
        <v>195</v>
      </c>
      <c r="G81" s="6" t="n">
        <v>9</v>
      </c>
    </row>
    <row r="82" customFormat="false" ht="15" hidden="false" customHeight="false" outlineLevel="0" collapsed="false">
      <c r="A82" s="4" t="s">
        <v>240</v>
      </c>
      <c r="B82" s="4" t="s">
        <v>241</v>
      </c>
      <c r="C82" s="4" t="s">
        <v>242</v>
      </c>
      <c r="D82" s="5" t="n">
        <v>1157.06</v>
      </c>
      <c r="E82" s="6" t="s">
        <v>48</v>
      </c>
      <c r="F82" s="4" t="s">
        <v>49</v>
      </c>
      <c r="G82" s="6" t="n">
        <v>8</v>
      </c>
    </row>
    <row r="83" customFormat="false" ht="15" hidden="false" customHeight="false" outlineLevel="0" collapsed="false">
      <c r="A83" s="4" t="s">
        <v>243</v>
      </c>
      <c r="B83" s="4" t="s">
        <v>244</v>
      </c>
      <c r="C83" s="4" t="s">
        <v>245</v>
      </c>
      <c r="D83" s="5" t="n">
        <v>708.57</v>
      </c>
      <c r="E83" s="6" t="s">
        <v>48</v>
      </c>
      <c r="F83" s="4" t="s">
        <v>49</v>
      </c>
      <c r="G83" s="6" t="n">
        <v>7</v>
      </c>
    </row>
    <row r="84" customFormat="false" ht="15" hidden="false" customHeight="false" outlineLevel="0" collapsed="false">
      <c r="A84" s="4" t="s">
        <v>246</v>
      </c>
      <c r="B84" s="4" t="s">
        <v>247</v>
      </c>
      <c r="C84" s="4" t="s">
        <v>248</v>
      </c>
      <c r="D84" s="5" t="n">
        <v>1157.06</v>
      </c>
      <c r="E84" s="6" t="s">
        <v>194</v>
      </c>
      <c r="F84" s="4" t="s">
        <v>195</v>
      </c>
      <c r="G84" s="6" t="n">
        <v>9</v>
      </c>
    </row>
    <row r="85" customFormat="false" ht="15" hidden="false" customHeight="false" outlineLevel="0" collapsed="false">
      <c r="A85" s="4" t="s">
        <v>249</v>
      </c>
      <c r="B85" s="4" t="s">
        <v>250</v>
      </c>
      <c r="C85" s="4" t="s">
        <v>251</v>
      </c>
      <c r="D85" s="5" t="n">
        <v>1157.06</v>
      </c>
      <c r="E85" s="6" t="s">
        <v>48</v>
      </c>
      <c r="F85" s="4" t="s">
        <v>49</v>
      </c>
      <c r="G85" s="6" t="n">
        <v>8</v>
      </c>
    </row>
    <row r="86" customFormat="false" ht="15" hidden="false" customHeight="false" outlineLevel="0" collapsed="false">
      <c r="A86" s="4" t="s">
        <v>252</v>
      </c>
      <c r="B86" s="4" t="s">
        <v>253</v>
      </c>
      <c r="C86" s="4" t="s">
        <v>254</v>
      </c>
      <c r="D86" s="5" t="n">
        <v>1157.06</v>
      </c>
      <c r="E86" s="6" t="s">
        <v>48</v>
      </c>
      <c r="F86" s="4" t="s">
        <v>49</v>
      </c>
      <c r="G86" s="6" t="n">
        <v>7</v>
      </c>
    </row>
    <row r="87" customFormat="false" ht="15" hidden="false" customHeight="false" outlineLevel="0" collapsed="false">
      <c r="A87" s="4" t="s">
        <v>255</v>
      </c>
      <c r="B87" s="4" t="s">
        <v>256</v>
      </c>
      <c r="C87" s="4" t="s">
        <v>257</v>
      </c>
      <c r="D87" s="5" t="n">
        <v>1157.06</v>
      </c>
      <c r="E87" s="6" t="s">
        <v>48</v>
      </c>
      <c r="F87" s="4" t="s">
        <v>49</v>
      </c>
      <c r="G87" s="6" t="n">
        <v>9</v>
      </c>
    </row>
    <row r="88" customFormat="false" ht="15" hidden="false" customHeight="false" outlineLevel="0" collapsed="false">
      <c r="A88" s="4" t="s">
        <v>258</v>
      </c>
      <c r="B88" s="4" t="s">
        <v>259</v>
      </c>
      <c r="C88" s="4" t="s">
        <v>260</v>
      </c>
      <c r="D88" s="5" t="n">
        <v>1157.06</v>
      </c>
      <c r="E88" s="6" t="s">
        <v>48</v>
      </c>
      <c r="F88" s="4" t="s">
        <v>49</v>
      </c>
      <c r="G88" s="6" t="n">
        <v>8</v>
      </c>
    </row>
    <row r="89" customFormat="false" ht="15" hidden="false" customHeight="false" outlineLevel="0" collapsed="false">
      <c r="A89" s="4" t="s">
        <v>261</v>
      </c>
      <c r="B89" s="4" t="s">
        <v>262</v>
      </c>
      <c r="C89" s="4" t="s">
        <v>263</v>
      </c>
      <c r="D89" s="5" t="n">
        <v>1157.06</v>
      </c>
      <c r="E89" s="6" t="s">
        <v>48</v>
      </c>
      <c r="F89" s="4" t="s">
        <v>49</v>
      </c>
      <c r="G89" s="6" t="n">
        <v>7</v>
      </c>
    </row>
    <row r="90" customFormat="false" ht="15" hidden="false" customHeight="false" outlineLevel="0" collapsed="false">
      <c r="A90" s="4" t="s">
        <v>264</v>
      </c>
      <c r="B90" s="4" t="s">
        <v>265</v>
      </c>
      <c r="C90" s="4" t="s">
        <v>266</v>
      </c>
      <c r="D90" s="5" t="n">
        <v>1157.06</v>
      </c>
      <c r="E90" s="6" t="s">
        <v>194</v>
      </c>
      <c r="F90" s="4" t="s">
        <v>195</v>
      </c>
      <c r="G90" s="6" t="n">
        <v>9</v>
      </c>
    </row>
    <row r="91" customFormat="false" ht="15" hidden="false" customHeight="false" outlineLevel="0" collapsed="false">
      <c r="A91" s="4" t="s">
        <v>267</v>
      </c>
      <c r="B91" s="4" t="s">
        <v>268</v>
      </c>
      <c r="C91" s="4" t="s">
        <v>269</v>
      </c>
      <c r="D91" s="5" t="n">
        <v>1157.06</v>
      </c>
      <c r="E91" s="6" t="s">
        <v>48</v>
      </c>
      <c r="F91" s="4" t="s">
        <v>49</v>
      </c>
      <c r="G91" s="6" t="n">
        <v>8</v>
      </c>
    </row>
    <row r="92" customFormat="false" ht="15" hidden="false" customHeight="false" outlineLevel="0" collapsed="false">
      <c r="A92" s="4" t="s">
        <v>270</v>
      </c>
      <c r="B92" s="4" t="s">
        <v>271</v>
      </c>
      <c r="C92" s="4" t="s">
        <v>272</v>
      </c>
      <c r="D92" s="5" t="n">
        <v>1157.06</v>
      </c>
      <c r="E92" s="6" t="s">
        <v>48</v>
      </c>
      <c r="F92" s="4" t="s">
        <v>49</v>
      </c>
      <c r="G92" s="6" t="n">
        <v>7</v>
      </c>
    </row>
    <row r="93" customFormat="false" ht="15" hidden="false" customHeight="false" outlineLevel="0" collapsed="false">
      <c r="A93" s="4" t="s">
        <v>273</v>
      </c>
      <c r="B93" s="4" t="s">
        <v>274</v>
      </c>
      <c r="C93" s="4" t="s">
        <v>275</v>
      </c>
      <c r="D93" s="5" t="n">
        <v>1157.06</v>
      </c>
      <c r="E93" s="6" t="s">
        <v>48</v>
      </c>
      <c r="F93" s="4" t="s">
        <v>49</v>
      </c>
      <c r="G93" s="6" t="n">
        <v>9</v>
      </c>
    </row>
    <row r="94" customFormat="false" ht="15" hidden="false" customHeight="false" outlineLevel="0" collapsed="false">
      <c r="A94" s="4" t="s">
        <v>276</v>
      </c>
      <c r="B94" s="4" t="s">
        <v>277</v>
      </c>
      <c r="C94" s="4" t="s">
        <v>278</v>
      </c>
      <c r="D94" s="5" t="n">
        <v>1157.06</v>
      </c>
      <c r="E94" s="6" t="s">
        <v>48</v>
      </c>
      <c r="F94" s="4" t="s">
        <v>49</v>
      </c>
      <c r="G94" s="6" t="n">
        <v>8</v>
      </c>
    </row>
    <row r="95" customFormat="false" ht="15" hidden="false" customHeight="false" outlineLevel="0" collapsed="false">
      <c r="A95" s="4" t="s">
        <v>279</v>
      </c>
      <c r="B95" s="4" t="s">
        <v>280</v>
      </c>
      <c r="C95" s="4" t="s">
        <v>281</v>
      </c>
      <c r="D95" s="5" t="n">
        <v>2265.35</v>
      </c>
      <c r="E95" s="6" t="s">
        <v>34</v>
      </c>
      <c r="F95" s="4" t="s">
        <v>35</v>
      </c>
      <c r="G95" s="6" t="n">
        <v>4</v>
      </c>
    </row>
    <row r="96" customFormat="false" ht="15" hidden="false" customHeight="false" outlineLevel="0" collapsed="false">
      <c r="A96" s="4" t="s">
        <v>282</v>
      </c>
      <c r="B96" s="4" t="s">
        <v>283</v>
      </c>
      <c r="C96" s="4" t="s">
        <v>284</v>
      </c>
      <c r="D96" s="5" t="n">
        <v>1157.06</v>
      </c>
      <c r="E96" s="6" t="s">
        <v>194</v>
      </c>
      <c r="F96" s="4" t="s">
        <v>195</v>
      </c>
      <c r="G96" s="6" t="n">
        <v>9</v>
      </c>
    </row>
    <row r="97" customFormat="false" ht="15" hidden="false" customHeight="false" outlineLevel="0" collapsed="false">
      <c r="A97" s="4" t="s">
        <v>285</v>
      </c>
      <c r="B97" s="4" t="s">
        <v>286</v>
      </c>
      <c r="C97" s="4" t="s">
        <v>287</v>
      </c>
      <c r="D97" s="5" t="n">
        <v>919.26</v>
      </c>
      <c r="E97" s="6" t="s">
        <v>48</v>
      </c>
      <c r="F97" s="4" t="s">
        <v>49</v>
      </c>
      <c r="G97" s="6" t="n">
        <v>8</v>
      </c>
    </row>
    <row r="98" customFormat="false" ht="15" hidden="false" customHeight="false" outlineLevel="0" collapsed="false">
      <c r="A98" s="4" t="s">
        <v>288</v>
      </c>
      <c r="B98" s="4" t="s">
        <v>289</v>
      </c>
      <c r="C98" s="4" t="s">
        <v>290</v>
      </c>
      <c r="D98" s="5" t="n">
        <v>1157.06</v>
      </c>
      <c r="E98" s="6" t="s">
        <v>48</v>
      </c>
      <c r="F98" s="4" t="s">
        <v>49</v>
      </c>
      <c r="G98" s="6" t="n">
        <v>7</v>
      </c>
    </row>
    <row r="99" customFormat="false" ht="15" hidden="false" customHeight="false" outlineLevel="0" collapsed="false">
      <c r="A99" s="4" t="s">
        <v>291</v>
      </c>
      <c r="B99" s="4" t="s">
        <v>292</v>
      </c>
      <c r="C99" s="4" t="s">
        <v>293</v>
      </c>
      <c r="D99" s="5" t="n">
        <v>1157.06</v>
      </c>
      <c r="E99" s="6" t="s">
        <v>48</v>
      </c>
      <c r="F99" s="4" t="s">
        <v>49</v>
      </c>
      <c r="G99" s="6" t="n">
        <v>9</v>
      </c>
    </row>
    <row r="100" customFormat="false" ht="15" hidden="false" customHeight="false" outlineLevel="0" collapsed="false">
      <c r="A100" s="4" t="s">
        <v>294</v>
      </c>
      <c r="B100" s="4" t="s">
        <v>295</v>
      </c>
      <c r="C100" s="4" t="s">
        <v>296</v>
      </c>
      <c r="D100" s="5" t="n">
        <v>1443.68</v>
      </c>
      <c r="E100" s="6" t="s">
        <v>48</v>
      </c>
      <c r="F100" s="4" t="s">
        <v>49</v>
      </c>
      <c r="G100" s="6" t="n">
        <v>8</v>
      </c>
    </row>
    <row r="101" customFormat="false" ht="15" hidden="false" customHeight="false" outlineLevel="0" collapsed="false">
      <c r="A101" s="4" t="s">
        <v>297</v>
      </c>
      <c r="B101" s="4" t="s">
        <v>298</v>
      </c>
      <c r="C101" s="4" t="s">
        <v>299</v>
      </c>
      <c r="D101" s="5" t="n">
        <v>1443.68</v>
      </c>
      <c r="E101" s="6" t="s">
        <v>48</v>
      </c>
      <c r="F101" s="4" t="s">
        <v>49</v>
      </c>
      <c r="G101" s="6" t="n">
        <v>7</v>
      </c>
    </row>
    <row r="102" customFormat="false" ht="15" hidden="false" customHeight="false" outlineLevel="0" collapsed="false">
      <c r="A102" s="4" t="s">
        <v>300</v>
      </c>
      <c r="B102" s="4" t="s">
        <v>301</v>
      </c>
      <c r="C102" s="4" t="s">
        <v>302</v>
      </c>
      <c r="D102" s="5" t="n">
        <v>1443.68</v>
      </c>
      <c r="E102" s="6" t="s">
        <v>194</v>
      </c>
      <c r="F102" s="4" t="s">
        <v>195</v>
      </c>
      <c r="G102" s="6" t="n">
        <v>9</v>
      </c>
    </row>
    <row r="103" customFormat="false" ht="15" hidden="false" customHeight="false" outlineLevel="0" collapsed="false">
      <c r="A103" s="4" t="s">
        <v>303</v>
      </c>
      <c r="B103" s="4" t="s">
        <v>304</v>
      </c>
      <c r="C103" s="4" t="s">
        <v>305</v>
      </c>
      <c r="D103" s="5" t="n">
        <v>1157.06</v>
      </c>
      <c r="E103" s="6" t="s">
        <v>48</v>
      </c>
      <c r="F103" s="4" t="s">
        <v>49</v>
      </c>
      <c r="G103" s="6" t="n">
        <v>8</v>
      </c>
    </row>
    <row r="104" customFormat="false" ht="15" hidden="false" customHeight="false" outlineLevel="0" collapsed="false">
      <c r="A104" s="4" t="s">
        <v>306</v>
      </c>
      <c r="B104" s="4" t="s">
        <v>307</v>
      </c>
      <c r="C104" s="4" t="s">
        <v>308</v>
      </c>
      <c r="D104" s="5" t="n">
        <v>1443.68</v>
      </c>
      <c r="E104" s="6" t="s">
        <v>48</v>
      </c>
      <c r="F104" s="4" t="s">
        <v>49</v>
      </c>
      <c r="G104" s="6" t="n">
        <v>7</v>
      </c>
    </row>
    <row r="105" customFormat="false" ht="15" hidden="false" customHeight="false" outlineLevel="0" collapsed="false">
      <c r="A105" s="4" t="s">
        <v>309</v>
      </c>
      <c r="B105" s="4" t="s">
        <v>310</v>
      </c>
      <c r="C105" s="4" t="s">
        <v>311</v>
      </c>
      <c r="D105" s="5" t="n">
        <v>1443.68</v>
      </c>
      <c r="E105" s="6" t="s">
        <v>194</v>
      </c>
      <c r="F105" s="4" t="s">
        <v>195</v>
      </c>
      <c r="G105" s="6" t="n">
        <v>9</v>
      </c>
    </row>
    <row r="106" customFormat="false" ht="15" hidden="false" customHeight="false" outlineLevel="0" collapsed="false">
      <c r="A106" s="4" t="s">
        <v>312</v>
      </c>
      <c r="B106" s="4" t="s">
        <v>313</v>
      </c>
      <c r="C106" s="4" t="s">
        <v>314</v>
      </c>
      <c r="D106" s="5" t="n">
        <v>1443.68</v>
      </c>
      <c r="E106" s="6" t="s">
        <v>48</v>
      </c>
      <c r="F106" s="4" t="s">
        <v>49</v>
      </c>
      <c r="G106" s="6" t="n">
        <v>8</v>
      </c>
    </row>
    <row r="107" customFormat="false" ht="15" hidden="false" customHeight="false" outlineLevel="0" collapsed="false">
      <c r="A107" s="4" t="s">
        <v>315</v>
      </c>
      <c r="B107" s="4" t="s">
        <v>316</v>
      </c>
      <c r="C107" s="4" t="s">
        <v>317</v>
      </c>
      <c r="D107" s="5" t="n">
        <v>3751.78</v>
      </c>
      <c r="E107" s="6" t="s">
        <v>34</v>
      </c>
      <c r="F107" s="4" t="s">
        <v>35</v>
      </c>
      <c r="G107" s="6" t="n">
        <v>4</v>
      </c>
    </row>
    <row r="108" customFormat="false" ht="15" hidden="false" customHeight="false" outlineLevel="0" collapsed="false">
      <c r="A108" s="4" t="s">
        <v>318</v>
      </c>
      <c r="B108" s="4" t="s">
        <v>319</v>
      </c>
      <c r="C108" s="4" t="s">
        <v>320</v>
      </c>
      <c r="D108" s="5" t="n">
        <v>1443.68</v>
      </c>
      <c r="E108" s="6" t="s">
        <v>194</v>
      </c>
      <c r="F108" s="4" t="s">
        <v>195</v>
      </c>
      <c r="G108" s="6" t="n">
        <v>9</v>
      </c>
    </row>
    <row r="109" customFormat="false" ht="15" hidden="false" customHeight="false" outlineLevel="0" collapsed="false">
      <c r="A109" s="4" t="s">
        <v>321</v>
      </c>
      <c r="B109" s="4" t="s">
        <v>322</v>
      </c>
      <c r="C109" s="4" t="s">
        <v>323</v>
      </c>
      <c r="D109" s="5" t="n">
        <v>1443.68</v>
      </c>
      <c r="E109" s="6" t="s">
        <v>48</v>
      </c>
      <c r="F109" s="4" t="s">
        <v>49</v>
      </c>
      <c r="G109" s="6" t="n">
        <v>8</v>
      </c>
    </row>
    <row r="110" customFormat="false" ht="15" hidden="false" customHeight="false" outlineLevel="0" collapsed="false">
      <c r="A110" s="4" t="s">
        <v>324</v>
      </c>
      <c r="B110" s="4" t="s">
        <v>325</v>
      </c>
      <c r="C110" s="4" t="s">
        <v>326</v>
      </c>
      <c r="D110" s="5" t="n">
        <v>1443.68</v>
      </c>
      <c r="E110" s="6" t="s">
        <v>48</v>
      </c>
      <c r="F110" s="4" t="s">
        <v>49</v>
      </c>
      <c r="G110" s="6" t="n">
        <v>7</v>
      </c>
    </row>
    <row r="111" customFormat="false" ht="15" hidden="false" customHeight="false" outlineLevel="0" collapsed="false">
      <c r="A111" s="4" t="s">
        <v>327</v>
      </c>
      <c r="B111" s="4" t="s">
        <v>328</v>
      </c>
      <c r="C111" s="4" t="s">
        <v>329</v>
      </c>
      <c r="D111" s="5" t="n">
        <v>1149.61</v>
      </c>
      <c r="E111" s="6" t="s">
        <v>194</v>
      </c>
      <c r="F111" s="4" t="s">
        <v>195</v>
      </c>
      <c r="G111" s="6" t="n">
        <v>9</v>
      </c>
    </row>
    <row r="112" customFormat="false" ht="15" hidden="false" customHeight="false" outlineLevel="0" collapsed="false">
      <c r="A112" s="4" t="s">
        <v>330</v>
      </c>
      <c r="B112" s="4" t="s">
        <v>331</v>
      </c>
      <c r="C112" s="4" t="s">
        <v>332</v>
      </c>
      <c r="D112" s="5" t="n">
        <v>10012.21</v>
      </c>
      <c r="E112" s="6" t="s">
        <v>34</v>
      </c>
      <c r="F112" s="4" t="s">
        <v>35</v>
      </c>
      <c r="G112" s="6" t="n">
        <v>4</v>
      </c>
    </row>
    <row r="113" customFormat="false" ht="15" hidden="false" customHeight="false" outlineLevel="0" collapsed="false">
      <c r="A113" s="4" t="s">
        <v>333</v>
      </c>
      <c r="B113" s="4" t="s">
        <v>334</v>
      </c>
      <c r="C113" s="4" t="s">
        <v>335</v>
      </c>
      <c r="D113" s="5" t="n">
        <v>1208.68</v>
      </c>
      <c r="E113" s="6" t="s">
        <v>48</v>
      </c>
      <c r="F113" s="4" t="s">
        <v>49</v>
      </c>
      <c r="G113" s="6" t="n">
        <v>7</v>
      </c>
    </row>
    <row r="114" customFormat="false" ht="15" hidden="false" customHeight="false" outlineLevel="0" collapsed="false">
      <c r="A114" s="4" t="s">
        <v>336</v>
      </c>
      <c r="B114" s="4" t="s">
        <v>337</v>
      </c>
      <c r="C114" s="4" t="s">
        <v>338</v>
      </c>
      <c r="D114" s="5" t="n">
        <v>1443.68</v>
      </c>
      <c r="E114" s="6" t="s">
        <v>194</v>
      </c>
      <c r="F114" s="4" t="s">
        <v>195</v>
      </c>
      <c r="G114" s="6" t="n">
        <v>9</v>
      </c>
    </row>
    <row r="115" customFormat="false" ht="15" hidden="false" customHeight="false" outlineLevel="0" collapsed="false">
      <c r="A115" s="4" t="s">
        <v>339</v>
      </c>
      <c r="B115" s="4" t="s">
        <v>340</v>
      </c>
      <c r="C115" s="4" t="s">
        <v>341</v>
      </c>
      <c r="D115" s="5" t="n">
        <v>1443.68</v>
      </c>
      <c r="E115" s="6" t="s">
        <v>48</v>
      </c>
      <c r="F115" s="4" t="s">
        <v>49</v>
      </c>
      <c r="G115" s="6" t="n">
        <v>8</v>
      </c>
    </row>
    <row r="116" customFormat="false" ht="15" hidden="false" customHeight="false" outlineLevel="0" collapsed="false">
      <c r="A116" s="4" t="s">
        <v>342</v>
      </c>
      <c r="B116" s="4" t="s">
        <v>343</v>
      </c>
      <c r="C116" s="4" t="s">
        <v>344</v>
      </c>
      <c r="D116" s="5" t="n">
        <v>9966.58</v>
      </c>
      <c r="E116" s="6" t="s">
        <v>17</v>
      </c>
      <c r="F116" s="4" t="s">
        <v>18</v>
      </c>
      <c r="G116" s="6" t="n">
        <v>4</v>
      </c>
    </row>
    <row r="117" customFormat="false" ht="15" hidden="false" customHeight="false" outlineLevel="0" collapsed="false">
      <c r="A117" s="4" t="s">
        <v>345</v>
      </c>
      <c r="B117" s="4" t="s">
        <v>346</v>
      </c>
      <c r="C117" s="4" t="s">
        <v>347</v>
      </c>
      <c r="D117" s="5" t="n">
        <v>5003.21</v>
      </c>
      <c r="E117" s="6" t="s">
        <v>17</v>
      </c>
      <c r="F117" s="4" t="s">
        <v>18</v>
      </c>
      <c r="G117" s="6" t="n">
        <v>4</v>
      </c>
    </row>
    <row r="118" customFormat="false" ht="15" hidden="false" customHeight="false" outlineLevel="0" collapsed="false">
      <c r="A118" s="4" t="s">
        <v>348</v>
      </c>
      <c r="B118" s="4" t="s">
        <v>349</v>
      </c>
      <c r="C118" s="4" t="s">
        <v>78</v>
      </c>
      <c r="D118" s="5" t="n">
        <v>6012.19</v>
      </c>
      <c r="E118" s="6" t="s">
        <v>34</v>
      </c>
      <c r="F118" s="4" t="s">
        <v>35</v>
      </c>
      <c r="G118" s="6" t="n">
        <v>4</v>
      </c>
    </row>
    <row r="119" customFormat="false" ht="15" hidden="false" customHeight="false" outlineLevel="0" collapsed="false">
      <c r="A119" s="4" t="s">
        <v>350</v>
      </c>
      <c r="B119" s="4" t="s">
        <v>351</v>
      </c>
      <c r="C119" s="4" t="s">
        <v>352</v>
      </c>
      <c r="D119" s="5" t="n">
        <v>2763.14</v>
      </c>
      <c r="E119" s="6" t="s">
        <v>34</v>
      </c>
      <c r="F119" s="4" t="s">
        <v>35</v>
      </c>
      <c r="G119" s="6" t="n">
        <v>4</v>
      </c>
    </row>
    <row r="120" customFormat="false" ht="15" hidden="false" customHeight="false" outlineLevel="0" collapsed="false">
      <c r="A120" s="4" t="s">
        <v>353</v>
      </c>
      <c r="B120" s="4" t="s">
        <v>354</v>
      </c>
      <c r="C120" s="4" t="s">
        <v>355</v>
      </c>
      <c r="D120" s="5" t="n">
        <v>5282.67</v>
      </c>
      <c r="E120" s="6" t="s">
        <v>34</v>
      </c>
      <c r="F120" s="4" t="s">
        <v>35</v>
      </c>
      <c r="G120" s="6" t="n">
        <v>4</v>
      </c>
    </row>
    <row r="121" customFormat="false" ht="15" hidden="false" customHeight="false" outlineLevel="0" collapsed="false">
      <c r="A121" s="4" t="s">
        <v>356</v>
      </c>
      <c r="B121" s="4" t="s">
        <v>357</v>
      </c>
      <c r="C121" s="4" t="s">
        <v>358</v>
      </c>
      <c r="D121" s="5" t="n">
        <v>6633.76</v>
      </c>
      <c r="E121" s="6" t="s">
        <v>34</v>
      </c>
      <c r="F121" s="4" t="s">
        <v>35</v>
      </c>
      <c r="G121" s="6" t="n">
        <v>4</v>
      </c>
    </row>
    <row r="122" customFormat="false" ht="15" hidden="false" customHeight="false" outlineLevel="0" collapsed="false">
      <c r="A122" s="4" t="s">
        <v>359</v>
      </c>
      <c r="B122" s="4" t="s">
        <v>360</v>
      </c>
      <c r="C122" s="4" t="s">
        <v>78</v>
      </c>
      <c r="D122" s="5" t="n">
        <v>6782.03</v>
      </c>
      <c r="E122" s="6" t="s">
        <v>17</v>
      </c>
      <c r="F122" s="4" t="s">
        <v>18</v>
      </c>
      <c r="G122" s="6" t="n">
        <v>4</v>
      </c>
    </row>
    <row r="123" customFormat="false" ht="15" hidden="false" customHeight="false" outlineLevel="0" collapsed="false">
      <c r="A123" s="4" t="s">
        <v>361</v>
      </c>
      <c r="B123" s="4" t="s">
        <v>362</v>
      </c>
      <c r="C123" s="4" t="s">
        <v>363</v>
      </c>
      <c r="D123" s="5" t="n">
        <v>8290.62</v>
      </c>
      <c r="E123" s="6" t="s">
        <v>34</v>
      </c>
      <c r="F123" s="4" t="s">
        <v>35</v>
      </c>
      <c r="G123" s="6" t="n">
        <v>4</v>
      </c>
    </row>
    <row r="124" customFormat="false" ht="15" hidden="false" customHeight="false" outlineLevel="0" collapsed="false">
      <c r="A124" s="4" t="s">
        <v>364</v>
      </c>
      <c r="B124" s="4" t="s">
        <v>365</v>
      </c>
      <c r="C124" s="4" t="s">
        <v>366</v>
      </c>
      <c r="D124" s="5" t="n">
        <v>4236.36</v>
      </c>
      <c r="E124" s="6" t="s">
        <v>17</v>
      </c>
      <c r="F124" s="4" t="s">
        <v>18</v>
      </c>
      <c r="G124" s="6" t="n">
        <v>4</v>
      </c>
    </row>
    <row r="125" customFormat="false" ht="15" hidden="false" customHeight="false" outlineLevel="0" collapsed="false">
      <c r="A125" s="4" t="s">
        <v>367</v>
      </c>
      <c r="B125" s="4" t="s">
        <v>368</v>
      </c>
      <c r="C125" s="4" t="s">
        <v>369</v>
      </c>
      <c r="D125" s="5" t="n">
        <v>3526.82</v>
      </c>
      <c r="E125" s="6" t="s">
        <v>34</v>
      </c>
      <c r="F125" s="4" t="s">
        <v>35</v>
      </c>
      <c r="G125" s="6" t="n">
        <v>4</v>
      </c>
    </row>
    <row r="126" customFormat="false" ht="15" hidden="false" customHeight="false" outlineLevel="0" collapsed="false">
      <c r="A126" s="4" t="s">
        <v>370</v>
      </c>
      <c r="B126" s="4" t="s">
        <v>371</v>
      </c>
      <c r="C126" s="4" t="s">
        <v>372</v>
      </c>
      <c r="D126" s="5" t="n">
        <v>4737.02</v>
      </c>
      <c r="E126" s="6" t="s">
        <v>34</v>
      </c>
      <c r="F126" s="4" t="s">
        <v>35</v>
      </c>
      <c r="G126" s="6" t="n">
        <v>4</v>
      </c>
    </row>
    <row r="127" customFormat="false" ht="15" hidden="false" customHeight="false" outlineLevel="0" collapsed="false">
      <c r="A127" s="4" t="s">
        <v>373</v>
      </c>
      <c r="B127" s="4" t="s">
        <v>374</v>
      </c>
      <c r="C127" s="4" t="s">
        <v>375</v>
      </c>
      <c r="D127" s="5" t="n">
        <v>5075.19</v>
      </c>
      <c r="E127" s="6" t="s">
        <v>34</v>
      </c>
      <c r="F127" s="4" t="s">
        <v>35</v>
      </c>
      <c r="G127" s="6" t="n">
        <v>4</v>
      </c>
    </row>
    <row r="128" customFormat="false" ht="15" hidden="false" customHeight="false" outlineLevel="0" collapsed="false">
      <c r="A128" s="4" t="s">
        <v>376</v>
      </c>
      <c r="B128" s="4" t="s">
        <v>377</v>
      </c>
      <c r="C128" s="4" t="s">
        <v>358</v>
      </c>
      <c r="D128" s="5" t="n">
        <v>5965.06</v>
      </c>
      <c r="E128" s="6" t="s">
        <v>17</v>
      </c>
      <c r="F128" s="4" t="s">
        <v>18</v>
      </c>
      <c r="G128" s="6" t="n">
        <v>4</v>
      </c>
    </row>
    <row r="129" customFormat="false" ht="15" hidden="false" customHeight="false" outlineLevel="0" collapsed="false">
      <c r="A129" s="4" t="s">
        <v>378</v>
      </c>
      <c r="B129" s="4" t="s">
        <v>379</v>
      </c>
      <c r="C129" s="4" t="s">
        <v>380</v>
      </c>
      <c r="D129" s="5" t="n">
        <v>5402.24</v>
      </c>
      <c r="E129" s="6" t="s">
        <v>34</v>
      </c>
      <c r="F129" s="4" t="s">
        <v>35</v>
      </c>
      <c r="G129" s="6" t="n">
        <v>4</v>
      </c>
    </row>
    <row r="130" customFormat="false" ht="15" hidden="false" customHeight="false" outlineLevel="0" collapsed="false">
      <c r="A130" s="4" t="s">
        <v>381</v>
      </c>
      <c r="B130" s="4" t="s">
        <v>382</v>
      </c>
      <c r="C130" s="4" t="s">
        <v>358</v>
      </c>
      <c r="D130" s="5" t="n">
        <v>8786.46</v>
      </c>
      <c r="E130" s="6" t="s">
        <v>17</v>
      </c>
      <c r="F130" s="4" t="s">
        <v>18</v>
      </c>
      <c r="G130" s="6" t="n">
        <v>4</v>
      </c>
    </row>
    <row r="131" customFormat="false" ht="15" hidden="false" customHeight="false" outlineLevel="0" collapsed="false">
      <c r="A131" s="4" t="s">
        <v>383</v>
      </c>
      <c r="B131" s="4" t="s">
        <v>384</v>
      </c>
      <c r="C131" s="4" t="s">
        <v>385</v>
      </c>
      <c r="D131" s="5" t="n">
        <v>5488.84</v>
      </c>
      <c r="E131" s="6" t="s">
        <v>17</v>
      </c>
      <c r="F131" s="4" t="s">
        <v>18</v>
      </c>
      <c r="G131" s="6" t="n">
        <v>4</v>
      </c>
    </row>
    <row r="132" customFormat="false" ht="15" hidden="false" customHeight="false" outlineLevel="0" collapsed="false">
      <c r="A132" s="4" t="s">
        <v>386</v>
      </c>
      <c r="B132" s="4" t="s">
        <v>387</v>
      </c>
      <c r="C132" s="4" t="s">
        <v>358</v>
      </c>
      <c r="D132" s="5" t="n">
        <v>3947.74</v>
      </c>
      <c r="E132" s="6" t="s">
        <v>34</v>
      </c>
      <c r="F132" s="4" t="s">
        <v>35</v>
      </c>
      <c r="G132" s="6" t="n">
        <v>4</v>
      </c>
    </row>
    <row r="133" customFormat="false" ht="15" hidden="false" customHeight="false" outlineLevel="0" collapsed="false">
      <c r="A133" s="4" t="s">
        <v>388</v>
      </c>
      <c r="B133" s="4" t="s">
        <v>389</v>
      </c>
      <c r="C133" s="4" t="s">
        <v>390</v>
      </c>
      <c r="D133" s="5" t="n">
        <v>2846.93</v>
      </c>
      <c r="E133" s="6" t="s">
        <v>391</v>
      </c>
      <c r="F133" s="4" t="s">
        <v>392</v>
      </c>
      <c r="G133" s="6" t="n">
        <v>8</v>
      </c>
    </row>
    <row r="134" customFormat="false" ht="15" hidden="false" customHeight="false" outlineLevel="0" collapsed="false">
      <c r="A134" s="4" t="s">
        <v>393</v>
      </c>
      <c r="B134" s="4" t="s">
        <v>394</v>
      </c>
      <c r="C134" s="4" t="s">
        <v>390</v>
      </c>
      <c r="D134" s="5" t="n">
        <v>1409.89</v>
      </c>
      <c r="E134" s="6" t="s">
        <v>48</v>
      </c>
      <c r="F134" s="4" t="s">
        <v>49</v>
      </c>
      <c r="G134" s="6" t="n">
        <v>7</v>
      </c>
    </row>
    <row r="135" customFormat="false" ht="15" hidden="false" customHeight="false" outlineLevel="0" collapsed="false">
      <c r="A135" s="4" t="s">
        <v>395</v>
      </c>
      <c r="B135" s="4" t="s">
        <v>396</v>
      </c>
      <c r="C135" s="4" t="s">
        <v>390</v>
      </c>
      <c r="D135" s="5" t="n">
        <v>1409.89</v>
      </c>
      <c r="E135" s="6" t="s">
        <v>48</v>
      </c>
      <c r="F135" s="4" t="s">
        <v>49</v>
      </c>
      <c r="G135" s="6" t="n">
        <v>9</v>
      </c>
    </row>
    <row r="136" customFormat="false" ht="15" hidden="false" customHeight="false" outlineLevel="0" collapsed="false">
      <c r="A136" s="4" t="s">
        <v>397</v>
      </c>
      <c r="B136" s="4" t="s">
        <v>398</v>
      </c>
      <c r="C136" s="4" t="s">
        <v>399</v>
      </c>
      <c r="D136" s="5" t="n">
        <v>21338.82</v>
      </c>
      <c r="E136" s="6" t="s">
        <v>400</v>
      </c>
      <c r="F136" s="4" t="s">
        <v>401</v>
      </c>
      <c r="G136" s="6" t="n">
        <v>5</v>
      </c>
    </row>
    <row r="137" customFormat="false" ht="15" hidden="false" customHeight="false" outlineLevel="0" collapsed="false">
      <c r="A137" s="4" t="s">
        <v>402</v>
      </c>
      <c r="B137" s="4" t="s">
        <v>403</v>
      </c>
      <c r="C137" s="4" t="s">
        <v>404</v>
      </c>
      <c r="D137" s="5" t="n">
        <v>659.34</v>
      </c>
      <c r="E137" s="6" t="s">
        <v>17</v>
      </c>
      <c r="F137" s="4" t="s">
        <v>18</v>
      </c>
      <c r="G137" s="6" t="n">
        <v>5</v>
      </c>
    </row>
    <row r="138" customFormat="false" ht="15" hidden="false" customHeight="false" outlineLevel="0" collapsed="false">
      <c r="A138" s="4" t="s">
        <v>405</v>
      </c>
      <c r="B138" s="4" t="s">
        <v>406</v>
      </c>
      <c r="C138" s="4" t="s">
        <v>407</v>
      </c>
      <c r="D138" s="5" t="n">
        <v>244.46</v>
      </c>
      <c r="E138" s="6" t="s">
        <v>17</v>
      </c>
      <c r="F138" s="4" t="s">
        <v>18</v>
      </c>
      <c r="G138" s="6" t="n">
        <v>7</v>
      </c>
    </row>
    <row r="139" customFormat="false" ht="15" hidden="false" customHeight="false" outlineLevel="0" collapsed="false">
      <c r="A139" s="4" t="s">
        <v>408</v>
      </c>
      <c r="B139" s="4" t="s">
        <v>409</v>
      </c>
      <c r="C139" s="4" t="s">
        <v>410</v>
      </c>
      <c r="D139" s="5" t="n">
        <v>5789.29</v>
      </c>
      <c r="E139" s="6" t="s">
        <v>17</v>
      </c>
      <c r="F139" s="4" t="s">
        <v>18</v>
      </c>
      <c r="G139" s="6" t="n">
        <v>4</v>
      </c>
    </row>
    <row r="140" customFormat="false" ht="15" hidden="false" customHeight="false" outlineLevel="0" collapsed="false">
      <c r="A140" s="4" t="s">
        <v>411</v>
      </c>
      <c r="B140" s="4" t="s">
        <v>412</v>
      </c>
      <c r="C140" s="4" t="s">
        <v>413</v>
      </c>
      <c r="D140" s="5" t="n">
        <v>10421.41</v>
      </c>
      <c r="E140" s="6" t="s">
        <v>17</v>
      </c>
      <c r="F140" s="4" t="s">
        <v>18</v>
      </c>
      <c r="G140" s="6" t="n">
        <v>4</v>
      </c>
    </row>
    <row r="141" customFormat="false" ht="15" hidden="false" customHeight="false" outlineLevel="0" collapsed="false">
      <c r="A141" s="4" t="s">
        <v>414</v>
      </c>
      <c r="B141" s="4" t="s">
        <v>415</v>
      </c>
      <c r="C141" s="4" t="s">
        <v>416</v>
      </c>
      <c r="D141" s="5" t="n">
        <v>5017.9</v>
      </c>
      <c r="E141" s="6" t="s">
        <v>34</v>
      </c>
      <c r="F141" s="4" t="s">
        <v>35</v>
      </c>
      <c r="G141" s="6" t="n">
        <v>4</v>
      </c>
    </row>
    <row r="142" customFormat="false" ht="15" hidden="false" customHeight="false" outlineLevel="0" collapsed="false">
      <c r="A142" s="4" t="s">
        <v>417</v>
      </c>
      <c r="B142" s="4" t="s">
        <v>418</v>
      </c>
      <c r="C142" s="4" t="s">
        <v>419</v>
      </c>
      <c r="D142" s="5" t="n">
        <v>10086.86</v>
      </c>
      <c r="E142" s="6" t="s">
        <v>17</v>
      </c>
      <c r="F142" s="4" t="s">
        <v>18</v>
      </c>
      <c r="G142" s="6" t="n">
        <v>4</v>
      </c>
    </row>
    <row r="143" customFormat="false" ht="15" hidden="false" customHeight="false" outlineLevel="0" collapsed="false">
      <c r="A143" s="4" t="s">
        <v>420</v>
      </c>
      <c r="B143" s="4" t="s">
        <v>421</v>
      </c>
      <c r="C143" s="4" t="s">
        <v>422</v>
      </c>
      <c r="D143" s="5" t="n">
        <v>9268.04</v>
      </c>
      <c r="E143" s="6" t="s">
        <v>12</v>
      </c>
      <c r="F143" s="4" t="s">
        <v>13</v>
      </c>
      <c r="G143" s="6" t="n">
        <v>6</v>
      </c>
    </row>
    <row r="144" customFormat="false" ht="15" hidden="false" customHeight="false" outlineLevel="0" collapsed="false">
      <c r="A144" s="4" t="s">
        <v>423</v>
      </c>
      <c r="B144" s="4" t="s">
        <v>424</v>
      </c>
      <c r="C144" s="4" t="s">
        <v>425</v>
      </c>
      <c r="D144" s="5" t="n">
        <v>1586.64</v>
      </c>
      <c r="E144" s="6" t="s">
        <v>17</v>
      </c>
      <c r="F144" s="4" t="s">
        <v>18</v>
      </c>
      <c r="G144" s="6" t="n">
        <v>4</v>
      </c>
    </row>
    <row r="145" customFormat="false" ht="15" hidden="false" customHeight="false" outlineLevel="0" collapsed="false">
      <c r="A145" s="4" t="s">
        <v>426</v>
      </c>
      <c r="B145" s="4" t="s">
        <v>427</v>
      </c>
      <c r="C145" s="4" t="s">
        <v>428</v>
      </c>
      <c r="D145" s="5" t="n">
        <v>6316.93</v>
      </c>
      <c r="E145" s="6" t="s">
        <v>34</v>
      </c>
      <c r="F145" s="4" t="s">
        <v>35</v>
      </c>
      <c r="G145" s="6" t="n">
        <v>5</v>
      </c>
    </row>
    <row r="146" customFormat="false" ht="15" hidden="false" customHeight="false" outlineLevel="0" collapsed="false">
      <c r="A146" s="4" t="s">
        <v>429</v>
      </c>
      <c r="B146" s="4" t="s">
        <v>430</v>
      </c>
      <c r="C146" s="4" t="s">
        <v>428</v>
      </c>
      <c r="D146" s="5" t="n">
        <v>6428.23</v>
      </c>
      <c r="E146" s="6" t="s">
        <v>17</v>
      </c>
      <c r="F146" s="4" t="s">
        <v>18</v>
      </c>
      <c r="G146" s="6" t="n">
        <v>5</v>
      </c>
    </row>
    <row r="147" customFormat="false" ht="15" hidden="false" customHeight="false" outlineLevel="0" collapsed="false">
      <c r="A147" s="4" t="s">
        <v>431</v>
      </c>
      <c r="B147" s="4" t="s">
        <v>432</v>
      </c>
      <c r="C147" s="4" t="s">
        <v>433</v>
      </c>
      <c r="D147" s="5" t="n">
        <v>7355.99</v>
      </c>
      <c r="E147" s="6" t="s">
        <v>17</v>
      </c>
      <c r="F147" s="4" t="s">
        <v>18</v>
      </c>
      <c r="G147" s="6" t="n">
        <v>4</v>
      </c>
    </row>
    <row r="148" customFormat="false" ht="15" hidden="false" customHeight="false" outlineLevel="0" collapsed="false">
      <c r="A148" s="4" t="s">
        <v>434</v>
      </c>
      <c r="B148" s="4" t="s">
        <v>435</v>
      </c>
      <c r="C148" s="4" t="s">
        <v>436</v>
      </c>
      <c r="D148" s="5" t="n">
        <v>21027.39</v>
      </c>
      <c r="E148" s="6" t="s">
        <v>12</v>
      </c>
      <c r="F148" s="4" t="s">
        <v>13</v>
      </c>
      <c r="G148" s="6" t="n">
        <v>4</v>
      </c>
    </row>
    <row r="149" customFormat="false" ht="15" hidden="false" customHeight="false" outlineLevel="0" collapsed="false">
      <c r="A149" s="4" t="s">
        <v>437</v>
      </c>
      <c r="B149" s="4" t="s">
        <v>438</v>
      </c>
      <c r="C149" s="4" t="s">
        <v>439</v>
      </c>
      <c r="D149" s="5" t="n">
        <v>6292.71</v>
      </c>
      <c r="E149" s="6" t="s">
        <v>17</v>
      </c>
      <c r="F149" s="4" t="s">
        <v>18</v>
      </c>
      <c r="G149" s="6" t="n">
        <v>4</v>
      </c>
    </row>
    <row r="150" customFormat="false" ht="15" hidden="false" customHeight="false" outlineLevel="0" collapsed="false">
      <c r="A150" s="4" t="s">
        <v>440</v>
      </c>
      <c r="B150" s="4" t="s">
        <v>441</v>
      </c>
      <c r="C150" s="4" t="s">
        <v>442</v>
      </c>
      <c r="D150" s="5" t="n">
        <v>10752</v>
      </c>
      <c r="E150" s="6" t="s">
        <v>17</v>
      </c>
      <c r="F150" s="4" t="s">
        <v>18</v>
      </c>
      <c r="G150" s="6" t="n">
        <v>4</v>
      </c>
    </row>
    <row r="151" customFormat="false" ht="15" hidden="false" customHeight="false" outlineLevel="0" collapsed="false">
      <c r="A151" s="4" t="s">
        <v>443</v>
      </c>
      <c r="B151" s="4" t="s">
        <v>444</v>
      </c>
      <c r="C151" s="4" t="s">
        <v>445</v>
      </c>
      <c r="D151" s="5" t="n">
        <v>5106.31</v>
      </c>
      <c r="E151" s="6" t="s">
        <v>34</v>
      </c>
      <c r="F151" s="4" t="s">
        <v>35</v>
      </c>
      <c r="G151" s="6" t="n">
        <v>5</v>
      </c>
    </row>
    <row r="152" customFormat="false" ht="15" hidden="false" customHeight="false" outlineLevel="0" collapsed="false">
      <c r="A152" s="4" t="s">
        <v>446</v>
      </c>
      <c r="B152" s="4" t="s">
        <v>447</v>
      </c>
      <c r="C152" s="4" t="s">
        <v>448</v>
      </c>
      <c r="D152" s="5" t="n">
        <v>1227.71</v>
      </c>
      <c r="E152" s="6" t="s">
        <v>48</v>
      </c>
      <c r="F152" s="4" t="s">
        <v>49</v>
      </c>
      <c r="G152" s="6" t="n">
        <v>8</v>
      </c>
    </row>
    <row r="153" customFormat="false" ht="15" hidden="false" customHeight="false" outlineLevel="0" collapsed="false">
      <c r="A153" s="4" t="s">
        <v>449</v>
      </c>
      <c r="B153" s="4" t="s">
        <v>450</v>
      </c>
      <c r="C153" s="4" t="s">
        <v>451</v>
      </c>
      <c r="D153" s="5" t="n">
        <v>1768.51</v>
      </c>
      <c r="E153" s="6" t="s">
        <v>17</v>
      </c>
      <c r="F153" s="4" t="s">
        <v>18</v>
      </c>
      <c r="G153" s="6" t="n">
        <v>6</v>
      </c>
    </row>
    <row r="154" customFormat="false" ht="15" hidden="false" customHeight="false" outlineLevel="0" collapsed="false">
      <c r="A154" s="4" t="s">
        <v>452</v>
      </c>
      <c r="B154" s="4" t="s">
        <v>453</v>
      </c>
      <c r="C154" s="4" t="s">
        <v>454</v>
      </c>
      <c r="D154" s="5" t="n">
        <v>18963.79</v>
      </c>
      <c r="E154" s="6" t="s">
        <v>17</v>
      </c>
      <c r="F154" s="4" t="s">
        <v>18</v>
      </c>
      <c r="G154" s="6" t="n">
        <v>4</v>
      </c>
    </row>
    <row r="155" customFormat="false" ht="15" hidden="false" customHeight="false" outlineLevel="0" collapsed="false">
      <c r="A155" s="4" t="s">
        <v>455</v>
      </c>
      <c r="B155" s="4" t="s">
        <v>456</v>
      </c>
      <c r="C155" s="4" t="s">
        <v>457</v>
      </c>
      <c r="D155" s="5" t="n">
        <v>5371.36</v>
      </c>
      <c r="E155" s="6" t="s">
        <v>17</v>
      </c>
      <c r="F155" s="4" t="s">
        <v>18</v>
      </c>
      <c r="G155" s="6" t="n">
        <v>5</v>
      </c>
    </row>
    <row r="156" customFormat="false" ht="15" hidden="false" customHeight="false" outlineLevel="0" collapsed="false">
      <c r="A156" s="4" t="s">
        <v>458</v>
      </c>
      <c r="B156" s="4" t="s">
        <v>459</v>
      </c>
      <c r="C156" s="4" t="s">
        <v>460</v>
      </c>
      <c r="D156" s="5" t="n">
        <v>5117.88</v>
      </c>
      <c r="E156" s="6" t="s">
        <v>12</v>
      </c>
      <c r="F156" s="4" t="s">
        <v>13</v>
      </c>
      <c r="G156" s="6" t="n">
        <v>5</v>
      </c>
    </row>
    <row r="157" customFormat="false" ht="15" hidden="false" customHeight="false" outlineLevel="0" collapsed="false">
      <c r="A157" s="4" t="s">
        <v>461</v>
      </c>
      <c r="B157" s="4" t="s">
        <v>462</v>
      </c>
      <c r="C157" s="4" t="s">
        <v>463</v>
      </c>
      <c r="D157" s="5" t="n">
        <v>5908.87</v>
      </c>
      <c r="E157" s="6" t="s">
        <v>17</v>
      </c>
      <c r="F157" s="4" t="s">
        <v>18</v>
      </c>
      <c r="G157" s="6" t="n">
        <v>4</v>
      </c>
    </row>
    <row r="158" customFormat="false" ht="15" hidden="false" customHeight="false" outlineLevel="0" collapsed="false">
      <c r="A158" s="4" t="s">
        <v>464</v>
      </c>
      <c r="B158" s="4" t="s">
        <v>465</v>
      </c>
      <c r="C158" s="4" t="s">
        <v>457</v>
      </c>
      <c r="D158" s="5" t="n">
        <v>201.7</v>
      </c>
      <c r="E158" s="6" t="s">
        <v>466</v>
      </c>
      <c r="F158" s="4" t="s">
        <v>467</v>
      </c>
      <c r="G158" s="6" t="n">
        <v>9</v>
      </c>
    </row>
    <row r="159" customFormat="false" ht="15" hidden="false" customHeight="false" outlineLevel="0" collapsed="false">
      <c r="A159" s="4" t="s">
        <v>468</v>
      </c>
      <c r="B159" s="4" t="s">
        <v>469</v>
      </c>
      <c r="C159" s="4" t="s">
        <v>470</v>
      </c>
      <c r="D159" s="5" t="n">
        <v>259.56</v>
      </c>
      <c r="E159" s="6" t="s">
        <v>466</v>
      </c>
      <c r="F159" s="4" t="s">
        <v>467</v>
      </c>
      <c r="G159" s="6" t="n">
        <v>8</v>
      </c>
    </row>
    <row r="160" customFormat="false" ht="15" hidden="false" customHeight="false" outlineLevel="0" collapsed="false">
      <c r="A160" s="4" t="s">
        <v>471</v>
      </c>
      <c r="B160" s="4" t="s">
        <v>472</v>
      </c>
      <c r="C160" s="4" t="s">
        <v>470</v>
      </c>
      <c r="D160" s="5" t="n">
        <v>145.05</v>
      </c>
      <c r="E160" s="6" t="s">
        <v>466</v>
      </c>
      <c r="F160" s="4" t="s">
        <v>467</v>
      </c>
      <c r="G160" s="6" t="n">
        <v>7</v>
      </c>
    </row>
    <row r="161" customFormat="false" ht="15" hidden="false" customHeight="false" outlineLevel="0" collapsed="false">
      <c r="A161" s="4" t="s">
        <v>473</v>
      </c>
      <c r="B161" s="4" t="s">
        <v>474</v>
      </c>
      <c r="C161" s="4" t="s">
        <v>475</v>
      </c>
      <c r="D161" s="5" t="n">
        <v>145.05</v>
      </c>
      <c r="E161" s="6" t="s">
        <v>466</v>
      </c>
      <c r="F161" s="4" t="s">
        <v>467</v>
      </c>
      <c r="G161" s="6" t="n">
        <v>6</v>
      </c>
    </row>
    <row r="162" customFormat="false" ht="15" hidden="false" customHeight="false" outlineLevel="0" collapsed="false">
      <c r="A162" s="4" t="s">
        <v>476</v>
      </c>
      <c r="B162" s="4" t="s">
        <v>477</v>
      </c>
      <c r="C162" s="4" t="s">
        <v>475</v>
      </c>
      <c r="D162" s="5" t="n">
        <v>135.85</v>
      </c>
      <c r="E162" s="6" t="s">
        <v>466</v>
      </c>
      <c r="F162" s="4" t="s">
        <v>467</v>
      </c>
      <c r="G162" s="6" t="n">
        <v>5</v>
      </c>
    </row>
    <row r="163" customFormat="false" ht="15" hidden="false" customHeight="false" outlineLevel="0" collapsed="false">
      <c r="A163" s="4" t="s">
        <v>478</v>
      </c>
      <c r="B163" s="4" t="s">
        <v>479</v>
      </c>
      <c r="C163" s="4" t="s">
        <v>475</v>
      </c>
      <c r="D163" s="5" t="n">
        <v>152.94</v>
      </c>
      <c r="E163" s="6" t="s">
        <v>466</v>
      </c>
      <c r="F163" s="4" t="s">
        <v>467</v>
      </c>
      <c r="G163" s="6" t="n">
        <v>4</v>
      </c>
    </row>
    <row r="164" customFormat="false" ht="15" hidden="false" customHeight="false" outlineLevel="0" collapsed="false">
      <c r="A164" s="4" t="s">
        <v>480</v>
      </c>
      <c r="B164" s="4" t="s">
        <v>481</v>
      </c>
      <c r="C164" s="4" t="s">
        <v>460</v>
      </c>
      <c r="D164" s="5" t="n">
        <v>333.32</v>
      </c>
      <c r="E164" s="6" t="s">
        <v>466</v>
      </c>
      <c r="F164" s="4" t="s">
        <v>467</v>
      </c>
      <c r="G164" s="6" t="n">
        <v>4</v>
      </c>
    </row>
    <row r="165" customFormat="false" ht="15" hidden="false" customHeight="false" outlineLevel="0" collapsed="false">
      <c r="A165" s="4" t="s">
        <v>482</v>
      </c>
      <c r="B165" s="4" t="s">
        <v>483</v>
      </c>
      <c r="C165" s="4" t="s">
        <v>460</v>
      </c>
      <c r="D165" s="5" t="n">
        <v>3931.78</v>
      </c>
      <c r="E165" s="6" t="s">
        <v>17</v>
      </c>
      <c r="F165" s="4" t="s">
        <v>18</v>
      </c>
      <c r="G165" s="6" t="n">
        <v>5</v>
      </c>
    </row>
    <row r="166" customFormat="false" ht="15" hidden="false" customHeight="false" outlineLevel="0" collapsed="false">
      <c r="A166" s="4" t="s">
        <v>484</v>
      </c>
      <c r="B166" s="4" t="s">
        <v>485</v>
      </c>
      <c r="C166" s="4" t="s">
        <v>486</v>
      </c>
      <c r="D166" s="5" t="n">
        <v>3135.92</v>
      </c>
      <c r="E166" s="6" t="s">
        <v>17</v>
      </c>
      <c r="F166" s="4" t="s">
        <v>18</v>
      </c>
      <c r="G166" s="6" t="n">
        <v>4</v>
      </c>
    </row>
    <row r="167" customFormat="false" ht="15" hidden="false" customHeight="false" outlineLevel="0" collapsed="false">
      <c r="A167" s="4" t="s">
        <v>487</v>
      </c>
      <c r="B167" s="4" t="s">
        <v>488</v>
      </c>
      <c r="C167" s="4" t="s">
        <v>489</v>
      </c>
      <c r="D167" s="5" t="n">
        <v>8822.05</v>
      </c>
      <c r="E167" s="6" t="s">
        <v>17</v>
      </c>
      <c r="F167" s="4" t="s">
        <v>18</v>
      </c>
      <c r="G167" s="6" t="n">
        <v>4</v>
      </c>
    </row>
    <row r="168" customFormat="false" ht="15" hidden="false" customHeight="false" outlineLevel="0" collapsed="false">
      <c r="A168" s="4" t="s">
        <v>490</v>
      </c>
      <c r="B168" s="4" t="s">
        <v>491</v>
      </c>
      <c r="C168" s="4" t="s">
        <v>492</v>
      </c>
      <c r="D168" s="5" t="n">
        <v>9822.51</v>
      </c>
      <c r="E168" s="6" t="s">
        <v>17</v>
      </c>
      <c r="F168" s="4" t="s">
        <v>18</v>
      </c>
      <c r="G168" s="6" t="n">
        <v>4</v>
      </c>
    </row>
    <row r="169" customFormat="false" ht="15" hidden="false" customHeight="false" outlineLevel="0" collapsed="false">
      <c r="A169" s="4" t="s">
        <v>493</v>
      </c>
      <c r="B169" s="4" t="s">
        <v>494</v>
      </c>
      <c r="C169" s="4" t="s">
        <v>495</v>
      </c>
      <c r="D169" s="5" t="n">
        <v>9887.52</v>
      </c>
      <c r="E169" s="6" t="s">
        <v>12</v>
      </c>
      <c r="F169" s="4" t="s">
        <v>13</v>
      </c>
      <c r="G169" s="6" t="n">
        <v>4</v>
      </c>
    </row>
    <row r="170" customFormat="false" ht="15" hidden="false" customHeight="false" outlineLevel="0" collapsed="false">
      <c r="A170" s="4" t="s">
        <v>496</v>
      </c>
      <c r="B170" s="4" t="s">
        <v>497</v>
      </c>
      <c r="C170" s="4" t="s">
        <v>498</v>
      </c>
      <c r="D170" s="5" t="n">
        <v>7276.29</v>
      </c>
      <c r="E170" s="6" t="s">
        <v>17</v>
      </c>
      <c r="F170" s="4" t="s">
        <v>18</v>
      </c>
      <c r="G170" s="6" t="n">
        <v>4</v>
      </c>
    </row>
    <row r="171" customFormat="false" ht="15" hidden="false" customHeight="false" outlineLevel="0" collapsed="false">
      <c r="A171" s="4" t="s">
        <v>499</v>
      </c>
      <c r="B171" s="4" t="s">
        <v>500</v>
      </c>
      <c r="C171" s="4" t="s">
        <v>501</v>
      </c>
      <c r="D171" s="5" t="n">
        <v>9677.35</v>
      </c>
      <c r="E171" s="6" t="s">
        <v>17</v>
      </c>
      <c r="F171" s="4" t="s">
        <v>18</v>
      </c>
      <c r="G171" s="6" t="n">
        <v>4</v>
      </c>
    </row>
    <row r="172" customFormat="false" ht="15" hidden="false" customHeight="false" outlineLevel="0" collapsed="false">
      <c r="A172" s="4" t="s">
        <v>502</v>
      </c>
      <c r="B172" s="4" t="s">
        <v>503</v>
      </c>
      <c r="C172" s="4" t="s">
        <v>504</v>
      </c>
      <c r="D172" s="5" t="n">
        <v>1185.64</v>
      </c>
      <c r="E172" s="6" t="s">
        <v>48</v>
      </c>
      <c r="F172" s="4" t="s">
        <v>49</v>
      </c>
      <c r="G172" s="6" t="n">
        <v>7</v>
      </c>
    </row>
    <row r="173" customFormat="false" ht="15" hidden="false" customHeight="false" outlineLevel="0" collapsed="false">
      <c r="A173" s="4" t="s">
        <v>505</v>
      </c>
      <c r="B173" s="4" t="s">
        <v>506</v>
      </c>
      <c r="C173" s="4" t="s">
        <v>507</v>
      </c>
      <c r="D173" s="5" t="n">
        <v>8183.31</v>
      </c>
      <c r="E173" s="6" t="s">
        <v>17</v>
      </c>
      <c r="F173" s="4" t="s">
        <v>18</v>
      </c>
      <c r="G173" s="6" t="n">
        <v>4</v>
      </c>
    </row>
    <row r="174" customFormat="false" ht="15" hidden="false" customHeight="false" outlineLevel="0" collapsed="false">
      <c r="A174" s="4" t="s">
        <v>508</v>
      </c>
      <c r="B174" s="4" t="s">
        <v>509</v>
      </c>
      <c r="C174" s="4" t="s">
        <v>510</v>
      </c>
      <c r="D174" s="5" t="n">
        <v>4345.07</v>
      </c>
      <c r="E174" s="6" t="s">
        <v>34</v>
      </c>
      <c r="F174" s="4" t="s">
        <v>35</v>
      </c>
      <c r="G174" s="6" t="n">
        <v>4</v>
      </c>
    </row>
    <row r="175" customFormat="false" ht="15" hidden="false" customHeight="false" outlineLevel="0" collapsed="false">
      <c r="A175" s="4" t="s">
        <v>511</v>
      </c>
      <c r="B175" s="4" t="s">
        <v>512</v>
      </c>
      <c r="C175" s="4" t="s">
        <v>428</v>
      </c>
      <c r="D175" s="5" t="n">
        <v>8183.31</v>
      </c>
      <c r="E175" s="6" t="s">
        <v>34</v>
      </c>
      <c r="F175" s="4" t="s">
        <v>35</v>
      </c>
      <c r="G175" s="6" t="n">
        <v>5</v>
      </c>
    </row>
    <row r="176" customFormat="false" ht="15" hidden="false" customHeight="false" outlineLevel="0" collapsed="false">
      <c r="A176" s="4" t="s">
        <v>513</v>
      </c>
      <c r="B176" s="4" t="s">
        <v>514</v>
      </c>
      <c r="C176" s="4" t="s">
        <v>515</v>
      </c>
      <c r="D176" s="5" t="n">
        <v>6031.89</v>
      </c>
      <c r="E176" s="6" t="s">
        <v>17</v>
      </c>
      <c r="F176" s="4" t="s">
        <v>18</v>
      </c>
      <c r="G176" s="6" t="n">
        <v>4</v>
      </c>
    </row>
    <row r="177" customFormat="false" ht="15" hidden="false" customHeight="false" outlineLevel="0" collapsed="false">
      <c r="A177" s="4" t="s">
        <v>516</v>
      </c>
      <c r="B177" s="4" t="s">
        <v>517</v>
      </c>
      <c r="C177" s="4" t="s">
        <v>518</v>
      </c>
      <c r="D177" s="5" t="n">
        <v>1221.36</v>
      </c>
      <c r="E177" s="6" t="s">
        <v>48</v>
      </c>
      <c r="F177" s="4" t="s">
        <v>49</v>
      </c>
      <c r="G177" s="6" t="n">
        <v>8</v>
      </c>
    </row>
    <row r="178" customFormat="false" ht="15" hidden="false" customHeight="false" outlineLevel="0" collapsed="false">
      <c r="A178" s="4" t="s">
        <v>519</v>
      </c>
      <c r="B178" s="4" t="s">
        <v>520</v>
      </c>
      <c r="C178" s="4" t="s">
        <v>521</v>
      </c>
      <c r="D178" s="5" t="n">
        <v>31408.55</v>
      </c>
      <c r="E178" s="6" t="s">
        <v>400</v>
      </c>
      <c r="F178" s="4" t="s">
        <v>401</v>
      </c>
      <c r="G178" s="6" t="n">
        <v>5</v>
      </c>
    </row>
    <row r="179" customFormat="false" ht="15" hidden="false" customHeight="false" outlineLevel="0" collapsed="false">
      <c r="A179" s="4" t="s">
        <v>522</v>
      </c>
      <c r="B179" s="4" t="s">
        <v>523</v>
      </c>
      <c r="C179" s="4" t="s">
        <v>524</v>
      </c>
      <c r="D179" s="5" t="n">
        <v>272.82</v>
      </c>
      <c r="E179" s="6" t="s">
        <v>105</v>
      </c>
      <c r="F179" s="4" t="s">
        <v>106</v>
      </c>
      <c r="G179" s="6" t="n">
        <v>1</v>
      </c>
    </row>
    <row r="180" customFormat="false" ht="15" hidden="false" customHeight="false" outlineLevel="0" collapsed="false">
      <c r="A180" s="4" t="s">
        <v>525</v>
      </c>
      <c r="B180" s="4" t="s">
        <v>526</v>
      </c>
      <c r="C180" s="4" t="s">
        <v>524</v>
      </c>
      <c r="D180" s="5" t="n">
        <v>278.05</v>
      </c>
      <c r="E180" s="6" t="s">
        <v>105</v>
      </c>
      <c r="F180" s="4" t="s">
        <v>106</v>
      </c>
      <c r="G180" s="6" t="n">
        <v>1</v>
      </c>
    </row>
    <row r="181" customFormat="false" ht="15" hidden="false" customHeight="false" outlineLevel="0" collapsed="false">
      <c r="A181" s="4" t="s">
        <v>527</v>
      </c>
      <c r="B181" s="4" t="s">
        <v>528</v>
      </c>
      <c r="C181" s="4" t="s">
        <v>524</v>
      </c>
      <c r="D181" s="5" t="n">
        <v>483.87</v>
      </c>
      <c r="E181" s="6" t="s">
        <v>105</v>
      </c>
      <c r="F181" s="4" t="s">
        <v>106</v>
      </c>
      <c r="G181" s="6" t="n">
        <v>1</v>
      </c>
    </row>
    <row r="182" customFormat="false" ht="15" hidden="false" customHeight="false" outlineLevel="0" collapsed="false">
      <c r="A182" s="4" t="s">
        <v>529</v>
      </c>
      <c r="B182" s="4" t="s">
        <v>530</v>
      </c>
      <c r="C182" s="4" t="s">
        <v>531</v>
      </c>
      <c r="D182" s="5" t="n">
        <v>817.26</v>
      </c>
      <c r="E182" s="6" t="s">
        <v>48</v>
      </c>
      <c r="F182" s="4" t="s">
        <v>49</v>
      </c>
      <c r="G182" s="6" t="n">
        <v>7</v>
      </c>
    </row>
    <row r="183" customFormat="false" ht="15" hidden="false" customHeight="false" outlineLevel="0" collapsed="false">
      <c r="A183" s="4" t="s">
        <v>532</v>
      </c>
      <c r="B183" s="4" t="s">
        <v>533</v>
      </c>
      <c r="C183" s="4" t="s">
        <v>534</v>
      </c>
      <c r="D183" s="5" t="n">
        <v>5163.17</v>
      </c>
      <c r="E183" s="6" t="s">
        <v>12</v>
      </c>
      <c r="F183" s="4" t="s">
        <v>13</v>
      </c>
      <c r="G183" s="6" t="n">
        <v>4</v>
      </c>
    </row>
    <row r="184" customFormat="false" ht="15" hidden="false" customHeight="false" outlineLevel="0" collapsed="false">
      <c r="A184" s="4" t="s">
        <v>535</v>
      </c>
      <c r="B184" s="4" t="s">
        <v>536</v>
      </c>
      <c r="C184" s="4" t="s">
        <v>537</v>
      </c>
      <c r="D184" s="5" t="n">
        <v>64460.17</v>
      </c>
      <c r="E184" s="6" t="s">
        <v>12</v>
      </c>
      <c r="F184" s="4" t="s">
        <v>13</v>
      </c>
      <c r="G184" s="6" t="n">
        <v>5</v>
      </c>
    </row>
    <row r="185" customFormat="false" ht="15" hidden="false" customHeight="false" outlineLevel="0" collapsed="false">
      <c r="A185" s="4" t="s">
        <v>538</v>
      </c>
      <c r="B185" s="4" t="s">
        <v>539</v>
      </c>
      <c r="C185" s="4" t="s">
        <v>534</v>
      </c>
      <c r="D185" s="5" t="n">
        <v>41021.13</v>
      </c>
      <c r="E185" s="6" t="s">
        <v>12</v>
      </c>
      <c r="F185" s="4" t="s">
        <v>13</v>
      </c>
      <c r="G185" s="6" t="n">
        <v>4</v>
      </c>
    </row>
    <row r="186" customFormat="false" ht="15" hidden="false" customHeight="false" outlineLevel="0" collapsed="false">
      <c r="A186" s="4" t="s">
        <v>540</v>
      </c>
      <c r="B186" s="4" t="s">
        <v>541</v>
      </c>
      <c r="C186" s="4" t="s">
        <v>542</v>
      </c>
      <c r="D186" s="5" t="n">
        <v>2102.7</v>
      </c>
      <c r="E186" s="6" t="s">
        <v>391</v>
      </c>
      <c r="F186" s="4" t="s">
        <v>392</v>
      </c>
      <c r="G186" s="6" t="n">
        <v>8</v>
      </c>
    </row>
    <row r="187" customFormat="false" ht="15" hidden="false" customHeight="false" outlineLevel="0" collapsed="false">
      <c r="A187" s="4" t="s">
        <v>543</v>
      </c>
      <c r="B187" s="4" t="s">
        <v>544</v>
      </c>
      <c r="C187" s="4" t="s">
        <v>545</v>
      </c>
      <c r="D187" s="5" t="n">
        <v>8072.65</v>
      </c>
      <c r="E187" s="6" t="s">
        <v>34</v>
      </c>
      <c r="F187" s="4" t="s">
        <v>35</v>
      </c>
      <c r="G187" s="6" t="n">
        <v>5</v>
      </c>
    </row>
    <row r="188" customFormat="false" ht="15" hidden="false" customHeight="false" outlineLevel="0" collapsed="false">
      <c r="A188" s="4" t="s">
        <v>546</v>
      </c>
      <c r="B188" s="4" t="s">
        <v>547</v>
      </c>
      <c r="C188" s="4" t="s">
        <v>548</v>
      </c>
      <c r="D188" s="5" t="n">
        <v>134.53</v>
      </c>
      <c r="E188" s="6" t="s">
        <v>466</v>
      </c>
      <c r="F188" s="4" t="s">
        <v>467</v>
      </c>
      <c r="G188" s="6" t="n">
        <v>5</v>
      </c>
    </row>
    <row r="189" customFormat="false" ht="15" hidden="false" customHeight="false" outlineLevel="0" collapsed="false">
      <c r="A189" s="4" t="s">
        <v>549</v>
      </c>
      <c r="B189" s="4" t="s">
        <v>550</v>
      </c>
      <c r="C189" s="4" t="s">
        <v>548</v>
      </c>
      <c r="D189" s="5" t="n">
        <v>134.53</v>
      </c>
      <c r="E189" s="6" t="s">
        <v>466</v>
      </c>
      <c r="F189" s="4" t="s">
        <v>467</v>
      </c>
      <c r="G189" s="6" t="n">
        <v>5</v>
      </c>
    </row>
    <row r="190" customFormat="false" ht="15" hidden="false" customHeight="false" outlineLevel="0" collapsed="false">
      <c r="A190" s="4" t="s">
        <v>551</v>
      </c>
      <c r="B190" s="4" t="s">
        <v>552</v>
      </c>
      <c r="C190" s="4" t="s">
        <v>548</v>
      </c>
      <c r="D190" s="5" t="n">
        <v>134.53</v>
      </c>
      <c r="E190" s="6" t="s">
        <v>466</v>
      </c>
      <c r="F190" s="4" t="s">
        <v>467</v>
      </c>
      <c r="G190" s="6" t="n">
        <v>4</v>
      </c>
    </row>
    <row r="191" customFormat="false" ht="15" hidden="false" customHeight="false" outlineLevel="0" collapsed="false">
      <c r="A191" s="4" t="s">
        <v>553</v>
      </c>
      <c r="B191" s="4" t="s">
        <v>554</v>
      </c>
      <c r="C191" s="4" t="s">
        <v>555</v>
      </c>
      <c r="D191" s="5" t="n">
        <v>4584.02</v>
      </c>
      <c r="E191" s="6" t="s">
        <v>34</v>
      </c>
      <c r="F191" s="4" t="s">
        <v>35</v>
      </c>
      <c r="G191" s="6" t="n">
        <v>4</v>
      </c>
    </row>
    <row r="192" customFormat="false" ht="15" hidden="false" customHeight="false" outlineLevel="0" collapsed="false">
      <c r="A192" s="4" t="s">
        <v>556</v>
      </c>
      <c r="B192" s="4" t="s">
        <v>557</v>
      </c>
      <c r="C192" s="4" t="s">
        <v>558</v>
      </c>
      <c r="D192" s="5" t="n">
        <v>3206.48</v>
      </c>
      <c r="E192" s="6" t="s">
        <v>34</v>
      </c>
      <c r="F192" s="4" t="s">
        <v>35</v>
      </c>
      <c r="G192" s="6" t="n">
        <v>4</v>
      </c>
    </row>
    <row r="193" customFormat="false" ht="15" hidden="false" customHeight="false" outlineLevel="0" collapsed="false">
      <c r="A193" s="4" t="s">
        <v>559</v>
      </c>
      <c r="B193" s="4" t="s">
        <v>560</v>
      </c>
      <c r="C193" s="4" t="s">
        <v>561</v>
      </c>
      <c r="D193" s="5" t="n">
        <v>132.42</v>
      </c>
      <c r="E193" s="6" t="s">
        <v>12</v>
      </c>
      <c r="F193" s="4" t="s">
        <v>13</v>
      </c>
      <c r="G193" s="6" t="n">
        <v>5</v>
      </c>
    </row>
    <row r="194" customFormat="false" ht="15" hidden="false" customHeight="false" outlineLevel="0" collapsed="false">
      <c r="A194" s="4" t="s">
        <v>562</v>
      </c>
      <c r="B194" s="4" t="s">
        <v>563</v>
      </c>
      <c r="C194" s="4" t="s">
        <v>564</v>
      </c>
      <c r="D194" s="5" t="n">
        <v>7590.08</v>
      </c>
      <c r="E194" s="6" t="s">
        <v>12</v>
      </c>
      <c r="F194" s="4" t="s">
        <v>13</v>
      </c>
      <c r="G194" s="6" t="n">
        <v>5</v>
      </c>
    </row>
    <row r="195" customFormat="false" ht="15" hidden="false" customHeight="false" outlineLevel="0" collapsed="false">
      <c r="A195" s="4" t="s">
        <v>565</v>
      </c>
      <c r="B195" s="4" t="s">
        <v>566</v>
      </c>
      <c r="C195" s="4" t="s">
        <v>372</v>
      </c>
      <c r="D195" s="5" t="n">
        <v>5838.09</v>
      </c>
      <c r="E195" s="6" t="s">
        <v>34</v>
      </c>
      <c r="F195" s="4" t="s">
        <v>35</v>
      </c>
      <c r="G195" s="6" t="n">
        <v>5</v>
      </c>
    </row>
    <row r="196" customFormat="false" ht="15" hidden="false" customHeight="false" outlineLevel="0" collapsed="false">
      <c r="A196" s="4" t="s">
        <v>567</v>
      </c>
      <c r="B196" s="4" t="s">
        <v>568</v>
      </c>
      <c r="C196" s="4" t="s">
        <v>372</v>
      </c>
      <c r="D196" s="5" t="n">
        <v>4023.54</v>
      </c>
      <c r="E196" s="6" t="s">
        <v>34</v>
      </c>
      <c r="F196" s="4" t="s">
        <v>35</v>
      </c>
      <c r="G196" s="6" t="n">
        <v>4</v>
      </c>
    </row>
    <row r="197" customFormat="false" ht="15" hidden="false" customHeight="false" outlineLevel="0" collapsed="false">
      <c r="A197" s="4" t="s">
        <v>569</v>
      </c>
      <c r="B197" s="4" t="s">
        <v>570</v>
      </c>
      <c r="C197" s="4" t="s">
        <v>571</v>
      </c>
      <c r="D197" s="5" t="n">
        <v>7705.9</v>
      </c>
      <c r="E197" s="6" t="s">
        <v>400</v>
      </c>
      <c r="F197" s="4" t="s">
        <v>401</v>
      </c>
      <c r="G197" s="6" t="n">
        <v>5</v>
      </c>
    </row>
    <row r="198" customFormat="false" ht="15" hidden="false" customHeight="false" outlineLevel="0" collapsed="false">
      <c r="A198" s="4" t="s">
        <v>572</v>
      </c>
      <c r="B198" s="4" t="s">
        <v>573</v>
      </c>
      <c r="C198" s="4" t="s">
        <v>574</v>
      </c>
      <c r="D198" s="5" t="n">
        <v>3395.46</v>
      </c>
      <c r="E198" s="6" t="s">
        <v>34</v>
      </c>
      <c r="F198" s="4" t="s">
        <v>35</v>
      </c>
      <c r="G198" s="6" t="n">
        <v>4</v>
      </c>
    </row>
    <row r="199" customFormat="false" ht="15" hidden="false" customHeight="false" outlineLevel="0" collapsed="false">
      <c r="A199" s="4" t="s">
        <v>575</v>
      </c>
      <c r="B199" s="4" t="s">
        <v>576</v>
      </c>
      <c r="C199" s="4" t="s">
        <v>577</v>
      </c>
      <c r="D199" s="5" t="n">
        <v>3514.2</v>
      </c>
      <c r="E199" s="6" t="s">
        <v>34</v>
      </c>
      <c r="F199" s="4" t="s">
        <v>35</v>
      </c>
      <c r="G199" s="6" t="n">
        <v>4</v>
      </c>
    </row>
    <row r="200" customFormat="false" ht="15" hidden="false" customHeight="false" outlineLevel="0" collapsed="false">
      <c r="A200" s="4" t="s">
        <v>578</v>
      </c>
      <c r="B200" s="4" t="s">
        <v>579</v>
      </c>
      <c r="C200" s="4" t="s">
        <v>580</v>
      </c>
      <c r="D200" s="5" t="n">
        <v>3275.12</v>
      </c>
      <c r="E200" s="6" t="s">
        <v>12</v>
      </c>
      <c r="F200" s="4" t="s">
        <v>13</v>
      </c>
      <c r="G200" s="6" t="n">
        <v>4</v>
      </c>
    </row>
    <row r="201" customFormat="false" ht="15" hidden="false" customHeight="false" outlineLevel="0" collapsed="false">
      <c r="A201" s="4" t="s">
        <v>581</v>
      </c>
      <c r="B201" s="4" t="s">
        <v>582</v>
      </c>
      <c r="C201" s="4" t="s">
        <v>583</v>
      </c>
      <c r="D201" s="5" t="n">
        <v>3474.77</v>
      </c>
      <c r="E201" s="6" t="s">
        <v>34</v>
      </c>
      <c r="F201" s="4" t="s">
        <v>35</v>
      </c>
      <c r="G201" s="6" t="n">
        <v>4</v>
      </c>
    </row>
    <row r="202" customFormat="false" ht="15" hidden="false" customHeight="false" outlineLevel="0" collapsed="false">
      <c r="A202" s="4" t="s">
        <v>584</v>
      </c>
      <c r="B202" s="4" t="s">
        <v>585</v>
      </c>
      <c r="C202" s="4" t="s">
        <v>586</v>
      </c>
      <c r="D202" s="5" t="n">
        <v>16702.45</v>
      </c>
      <c r="E202" s="6" t="s">
        <v>400</v>
      </c>
      <c r="F202" s="4" t="s">
        <v>401</v>
      </c>
      <c r="G202" s="6" t="n">
        <v>5</v>
      </c>
    </row>
    <row r="203" customFormat="false" ht="15" hidden="false" customHeight="false" outlineLevel="0" collapsed="false">
      <c r="A203" s="4" t="s">
        <v>587</v>
      </c>
      <c r="B203" s="4" t="s">
        <v>588</v>
      </c>
      <c r="C203" s="4" t="s">
        <v>589</v>
      </c>
      <c r="D203" s="5" t="n">
        <v>3793.25</v>
      </c>
      <c r="E203" s="6" t="s">
        <v>34</v>
      </c>
      <c r="F203" s="4" t="s">
        <v>35</v>
      </c>
      <c r="G203" s="6" t="n">
        <v>4</v>
      </c>
    </row>
    <row r="204" customFormat="false" ht="15" hidden="false" customHeight="false" outlineLevel="0" collapsed="false">
      <c r="A204" s="4" t="s">
        <v>590</v>
      </c>
      <c r="B204" s="4" t="s">
        <v>591</v>
      </c>
      <c r="C204" s="4" t="s">
        <v>592</v>
      </c>
      <c r="D204" s="5" t="n">
        <v>594.79</v>
      </c>
      <c r="E204" s="6" t="s">
        <v>48</v>
      </c>
      <c r="F204" s="4" t="s">
        <v>49</v>
      </c>
      <c r="G204" s="6" t="n">
        <v>7</v>
      </c>
    </row>
    <row r="205" customFormat="false" ht="15" hidden="false" customHeight="false" outlineLevel="0" collapsed="false">
      <c r="A205" s="4" t="s">
        <v>593</v>
      </c>
      <c r="B205" s="4" t="s">
        <v>594</v>
      </c>
      <c r="C205" s="4" t="s">
        <v>595</v>
      </c>
      <c r="D205" s="5" t="n">
        <v>11082.44</v>
      </c>
      <c r="E205" s="6" t="s">
        <v>12</v>
      </c>
      <c r="F205" s="4" t="s">
        <v>13</v>
      </c>
      <c r="G205" s="6" t="n">
        <v>5</v>
      </c>
    </row>
    <row r="206" customFormat="false" ht="15" hidden="false" customHeight="false" outlineLevel="0" collapsed="false">
      <c r="A206" s="4" t="s">
        <v>596</v>
      </c>
      <c r="B206" s="4" t="s">
        <v>597</v>
      </c>
      <c r="C206" s="4" t="s">
        <v>598</v>
      </c>
      <c r="D206" s="5" t="n">
        <v>1512.29</v>
      </c>
      <c r="E206" s="6" t="s">
        <v>48</v>
      </c>
      <c r="F206" s="4" t="s">
        <v>49</v>
      </c>
      <c r="G206" s="6" t="n">
        <v>8</v>
      </c>
    </row>
    <row r="207" customFormat="false" ht="15" hidden="false" customHeight="false" outlineLevel="0" collapsed="false">
      <c r="A207" s="4" t="s">
        <v>599</v>
      </c>
      <c r="B207" s="4" t="s">
        <v>600</v>
      </c>
      <c r="C207" s="4" t="s">
        <v>601</v>
      </c>
      <c r="D207" s="5" t="n">
        <v>6312</v>
      </c>
      <c r="E207" s="6" t="s">
        <v>34</v>
      </c>
      <c r="F207" s="4" t="s">
        <v>35</v>
      </c>
      <c r="G207" s="6" t="n">
        <v>5</v>
      </c>
    </row>
    <row r="208" customFormat="false" ht="15" hidden="false" customHeight="false" outlineLevel="0" collapsed="false">
      <c r="A208" s="4" t="s">
        <v>602</v>
      </c>
      <c r="B208" s="4" t="s">
        <v>603</v>
      </c>
      <c r="C208" s="4" t="s">
        <v>604</v>
      </c>
      <c r="D208" s="5" t="n">
        <v>10749.81</v>
      </c>
      <c r="E208" s="6" t="s">
        <v>34</v>
      </c>
      <c r="F208" s="4" t="s">
        <v>35</v>
      </c>
      <c r="G208" s="6" t="n">
        <v>5</v>
      </c>
    </row>
    <row r="209" customFormat="false" ht="15" hidden="false" customHeight="false" outlineLevel="0" collapsed="false">
      <c r="A209" s="4" t="s">
        <v>605</v>
      </c>
      <c r="B209" s="4" t="s">
        <v>606</v>
      </c>
      <c r="C209" s="4" t="s">
        <v>607</v>
      </c>
      <c r="D209" s="5" t="n">
        <v>3883.27</v>
      </c>
      <c r="E209" s="6" t="s">
        <v>34</v>
      </c>
      <c r="F209" s="4" t="s">
        <v>35</v>
      </c>
      <c r="G209" s="6" t="n">
        <v>4</v>
      </c>
    </row>
    <row r="210" customFormat="false" ht="15" hidden="false" customHeight="false" outlineLevel="0" collapsed="false">
      <c r="A210" s="4" t="s">
        <v>608</v>
      </c>
      <c r="B210" s="4" t="s">
        <v>609</v>
      </c>
      <c r="C210" s="4" t="s">
        <v>610</v>
      </c>
      <c r="D210" s="5" t="n">
        <v>3833.72</v>
      </c>
      <c r="E210" s="6" t="s">
        <v>34</v>
      </c>
      <c r="F210" s="4" t="s">
        <v>35</v>
      </c>
      <c r="G210" s="6" t="n">
        <v>4</v>
      </c>
    </row>
    <row r="211" customFormat="false" ht="15" hidden="false" customHeight="false" outlineLevel="0" collapsed="false">
      <c r="A211" s="4" t="s">
        <v>611</v>
      </c>
      <c r="B211" s="4" t="s">
        <v>612</v>
      </c>
      <c r="C211" s="4" t="s">
        <v>613</v>
      </c>
      <c r="D211" s="5" t="n">
        <v>8404.99</v>
      </c>
      <c r="E211" s="6" t="s">
        <v>400</v>
      </c>
      <c r="F211" s="4" t="s">
        <v>401</v>
      </c>
      <c r="G211" s="6" t="n">
        <v>5</v>
      </c>
    </row>
    <row r="212" customFormat="false" ht="15" hidden="false" customHeight="false" outlineLevel="0" collapsed="false">
      <c r="A212" s="4" t="s">
        <v>614</v>
      </c>
      <c r="B212" s="4" t="s">
        <v>615</v>
      </c>
      <c r="C212" s="4" t="s">
        <v>616</v>
      </c>
      <c r="D212" s="5" t="n">
        <v>6637.86</v>
      </c>
      <c r="E212" s="6" t="s">
        <v>400</v>
      </c>
      <c r="F212" s="4" t="s">
        <v>401</v>
      </c>
      <c r="G212" s="6" t="n">
        <v>5</v>
      </c>
    </row>
    <row r="213" customFormat="false" ht="15" hidden="false" customHeight="false" outlineLevel="0" collapsed="false">
      <c r="A213" s="4" t="s">
        <v>617</v>
      </c>
      <c r="B213" s="4" t="s">
        <v>618</v>
      </c>
      <c r="C213" s="4" t="s">
        <v>619</v>
      </c>
      <c r="D213" s="5" t="n">
        <v>21467.9</v>
      </c>
      <c r="E213" s="6" t="s">
        <v>12</v>
      </c>
      <c r="F213" s="4" t="s">
        <v>13</v>
      </c>
      <c r="G213" s="6" t="n">
        <v>5</v>
      </c>
    </row>
    <row r="214" customFormat="false" ht="15" hidden="false" customHeight="false" outlineLevel="0" collapsed="false">
      <c r="A214" s="4" t="s">
        <v>620</v>
      </c>
      <c r="B214" s="4" t="s">
        <v>621</v>
      </c>
      <c r="C214" s="4" t="s">
        <v>622</v>
      </c>
      <c r="D214" s="5" t="n">
        <v>7189.16</v>
      </c>
      <c r="E214" s="6" t="s">
        <v>12</v>
      </c>
      <c r="F214" s="4" t="s">
        <v>13</v>
      </c>
      <c r="G214" s="6" t="n">
        <v>5</v>
      </c>
    </row>
    <row r="215" customFormat="false" ht="15" hidden="false" customHeight="false" outlineLevel="0" collapsed="false">
      <c r="A215" s="4" t="s">
        <v>623</v>
      </c>
      <c r="B215" s="4" t="s">
        <v>624</v>
      </c>
      <c r="C215" s="4" t="s">
        <v>625</v>
      </c>
      <c r="D215" s="5" t="n">
        <v>3246.94</v>
      </c>
      <c r="E215" s="6" t="s">
        <v>34</v>
      </c>
      <c r="F215" s="4" t="s">
        <v>35</v>
      </c>
      <c r="G215" s="6" t="n">
        <v>4</v>
      </c>
    </row>
    <row r="216" customFormat="false" ht="15" hidden="false" customHeight="false" outlineLevel="0" collapsed="false">
      <c r="A216" s="4" t="s">
        <v>626</v>
      </c>
      <c r="B216" s="4" t="s">
        <v>627</v>
      </c>
      <c r="C216" s="4" t="s">
        <v>628</v>
      </c>
      <c r="D216" s="5" t="n">
        <v>6350.92</v>
      </c>
      <c r="E216" s="6" t="s">
        <v>12</v>
      </c>
      <c r="F216" s="4" t="s">
        <v>13</v>
      </c>
      <c r="G216" s="6" t="n">
        <v>5</v>
      </c>
    </row>
    <row r="217" customFormat="false" ht="15" hidden="false" customHeight="false" outlineLevel="0" collapsed="false">
      <c r="A217" s="4" t="s">
        <v>629</v>
      </c>
      <c r="B217" s="4" t="s">
        <v>630</v>
      </c>
      <c r="C217" s="4" t="s">
        <v>631</v>
      </c>
      <c r="D217" s="5" t="n">
        <v>1814.61</v>
      </c>
      <c r="E217" s="6" t="s">
        <v>12</v>
      </c>
      <c r="F217" s="4" t="s">
        <v>13</v>
      </c>
      <c r="G217" s="6" t="n">
        <v>5</v>
      </c>
    </row>
    <row r="218" customFormat="false" ht="15" hidden="false" customHeight="false" outlineLevel="0" collapsed="false">
      <c r="A218" s="4" t="s">
        <v>632</v>
      </c>
      <c r="B218" s="4" t="s">
        <v>633</v>
      </c>
      <c r="C218" s="4" t="s">
        <v>634</v>
      </c>
      <c r="D218" s="5" t="n">
        <v>8626.72</v>
      </c>
      <c r="E218" s="6" t="s">
        <v>12</v>
      </c>
      <c r="F218" s="4" t="s">
        <v>13</v>
      </c>
      <c r="G218" s="6" t="n">
        <v>4</v>
      </c>
    </row>
    <row r="219" customFormat="false" ht="15" hidden="false" customHeight="false" outlineLevel="0" collapsed="false">
      <c r="A219" s="4" t="s">
        <v>635</v>
      </c>
      <c r="B219" s="4" t="s">
        <v>636</v>
      </c>
      <c r="C219" s="4" t="s">
        <v>637</v>
      </c>
      <c r="D219" s="5" t="n">
        <v>1624</v>
      </c>
      <c r="E219" s="6" t="s">
        <v>12</v>
      </c>
      <c r="F219" s="4" t="s">
        <v>13</v>
      </c>
      <c r="G219" s="6" t="n">
        <v>5</v>
      </c>
    </row>
    <row r="220" customFormat="false" ht="15" hidden="false" customHeight="false" outlineLevel="0" collapsed="false">
      <c r="A220" s="4" t="s">
        <v>638</v>
      </c>
      <c r="B220" s="4" t="s">
        <v>639</v>
      </c>
      <c r="C220" s="4" t="s">
        <v>372</v>
      </c>
      <c r="D220" s="5" t="n">
        <v>14568.98</v>
      </c>
      <c r="E220" s="6" t="s">
        <v>12</v>
      </c>
      <c r="F220" s="4" t="s">
        <v>13</v>
      </c>
      <c r="G220" s="6" t="n">
        <v>5</v>
      </c>
    </row>
    <row r="221" customFormat="false" ht="15" hidden="false" customHeight="false" outlineLevel="0" collapsed="false">
      <c r="A221" s="4" t="s">
        <v>640</v>
      </c>
      <c r="B221" s="4" t="s">
        <v>641</v>
      </c>
      <c r="C221" s="4" t="s">
        <v>642</v>
      </c>
      <c r="D221" s="5" t="n">
        <v>5944.54</v>
      </c>
      <c r="E221" s="6" t="s">
        <v>12</v>
      </c>
      <c r="F221" s="4" t="s">
        <v>13</v>
      </c>
      <c r="G221" s="6" t="n">
        <v>5</v>
      </c>
    </row>
    <row r="222" customFormat="false" ht="15" hidden="false" customHeight="false" outlineLevel="0" collapsed="false">
      <c r="A222" s="4" t="s">
        <v>643</v>
      </c>
      <c r="B222" s="4" t="s">
        <v>644</v>
      </c>
      <c r="C222" s="4" t="s">
        <v>645</v>
      </c>
      <c r="D222" s="5" t="n">
        <v>3565.45</v>
      </c>
      <c r="E222" s="6" t="s">
        <v>12</v>
      </c>
      <c r="F222" s="4" t="s">
        <v>13</v>
      </c>
      <c r="G222" s="6" t="n">
        <v>5</v>
      </c>
    </row>
    <row r="223" customFormat="false" ht="15" hidden="false" customHeight="false" outlineLevel="0" collapsed="false">
      <c r="A223" s="4" t="s">
        <v>646</v>
      </c>
      <c r="B223" s="4" t="s">
        <v>647</v>
      </c>
      <c r="C223" s="4" t="s">
        <v>648</v>
      </c>
      <c r="D223" s="5" t="n">
        <v>5368.03</v>
      </c>
      <c r="E223" s="6" t="s">
        <v>12</v>
      </c>
      <c r="F223" s="4" t="s">
        <v>13</v>
      </c>
      <c r="G223" s="6" t="n">
        <v>5</v>
      </c>
    </row>
    <row r="224" customFormat="false" ht="15" hidden="false" customHeight="false" outlineLevel="0" collapsed="false">
      <c r="A224" s="4" t="s">
        <v>649</v>
      </c>
      <c r="B224" s="4" t="s">
        <v>650</v>
      </c>
      <c r="C224" s="4" t="s">
        <v>651</v>
      </c>
      <c r="D224" s="5" t="n">
        <v>11039.71</v>
      </c>
      <c r="E224" s="6" t="s">
        <v>12</v>
      </c>
      <c r="F224" s="4" t="s">
        <v>13</v>
      </c>
      <c r="G224" s="6" t="n">
        <v>6</v>
      </c>
    </row>
    <row r="225" customFormat="false" ht="15" hidden="false" customHeight="false" outlineLevel="0" collapsed="false">
      <c r="A225" s="4" t="s">
        <v>652</v>
      </c>
      <c r="B225" s="4" t="s">
        <v>653</v>
      </c>
      <c r="C225" s="4" t="s">
        <v>654</v>
      </c>
      <c r="D225" s="5" t="n">
        <v>4600.39</v>
      </c>
      <c r="E225" s="6" t="s">
        <v>12</v>
      </c>
      <c r="F225" s="4" t="s">
        <v>13</v>
      </c>
      <c r="G225" s="6" t="n">
        <v>5</v>
      </c>
    </row>
    <row r="226" customFormat="false" ht="15" hidden="false" customHeight="false" outlineLevel="0" collapsed="false">
      <c r="A226" s="4" t="s">
        <v>655</v>
      </c>
      <c r="B226" s="4" t="s">
        <v>656</v>
      </c>
      <c r="C226" s="4" t="s">
        <v>657</v>
      </c>
      <c r="D226" s="5" t="n">
        <v>6481.57</v>
      </c>
      <c r="E226" s="6" t="s">
        <v>12</v>
      </c>
      <c r="F226" s="4" t="s">
        <v>13</v>
      </c>
      <c r="G226" s="6" t="n">
        <v>5</v>
      </c>
    </row>
    <row r="227" customFormat="false" ht="15" hidden="false" customHeight="false" outlineLevel="0" collapsed="false">
      <c r="A227" s="4" t="s">
        <v>658</v>
      </c>
      <c r="B227" s="4" t="s">
        <v>659</v>
      </c>
      <c r="C227" s="4" t="s">
        <v>660</v>
      </c>
      <c r="D227" s="5" t="n">
        <v>6651.16</v>
      </c>
      <c r="E227" s="6" t="s">
        <v>12</v>
      </c>
      <c r="F227" s="4" t="s">
        <v>13</v>
      </c>
      <c r="G227" s="6" t="n">
        <v>5</v>
      </c>
    </row>
    <row r="228" customFormat="false" ht="15" hidden="false" customHeight="false" outlineLevel="0" collapsed="false">
      <c r="A228" s="4" t="s">
        <v>661</v>
      </c>
      <c r="B228" s="4" t="s">
        <v>662</v>
      </c>
      <c r="C228" s="4" t="s">
        <v>663</v>
      </c>
      <c r="D228" s="5" t="n">
        <v>4272.59</v>
      </c>
      <c r="E228" s="6" t="s">
        <v>12</v>
      </c>
      <c r="F228" s="4" t="s">
        <v>13</v>
      </c>
      <c r="G228" s="6" t="n">
        <v>5</v>
      </c>
    </row>
    <row r="229" customFormat="false" ht="15" hidden="false" customHeight="false" outlineLevel="0" collapsed="false">
      <c r="A229" s="4" t="s">
        <v>664</v>
      </c>
      <c r="B229" s="4" t="s">
        <v>665</v>
      </c>
      <c r="C229" s="4" t="s">
        <v>666</v>
      </c>
      <c r="D229" s="5" t="n">
        <v>29845.97</v>
      </c>
      <c r="E229" s="6" t="s">
        <v>12</v>
      </c>
      <c r="F229" s="4" t="s">
        <v>13</v>
      </c>
      <c r="G229" s="6" t="n">
        <v>5</v>
      </c>
    </row>
    <row r="230" customFormat="false" ht="15" hidden="false" customHeight="false" outlineLevel="0" collapsed="false">
      <c r="A230" s="4" t="s">
        <v>667</v>
      </c>
      <c r="B230" s="4" t="s">
        <v>668</v>
      </c>
      <c r="C230" s="4" t="s">
        <v>669</v>
      </c>
      <c r="D230" s="5" t="n">
        <v>5965.8</v>
      </c>
      <c r="E230" s="6" t="s">
        <v>12</v>
      </c>
      <c r="F230" s="4" t="s">
        <v>13</v>
      </c>
      <c r="G230" s="6" t="n">
        <v>5</v>
      </c>
    </row>
    <row r="231" customFormat="false" ht="15" hidden="false" customHeight="false" outlineLevel="0" collapsed="false">
      <c r="A231" s="4" t="s">
        <v>670</v>
      </c>
      <c r="B231" s="4" t="s">
        <v>671</v>
      </c>
      <c r="C231" s="4" t="s">
        <v>672</v>
      </c>
      <c r="D231" s="5" t="n">
        <v>6027.95</v>
      </c>
      <c r="E231" s="6" t="s">
        <v>12</v>
      </c>
      <c r="F231" s="4" t="s">
        <v>13</v>
      </c>
      <c r="G231" s="6" t="n">
        <v>5</v>
      </c>
    </row>
    <row r="232" customFormat="false" ht="15" hidden="false" customHeight="false" outlineLevel="0" collapsed="false">
      <c r="A232" s="4" t="s">
        <v>673</v>
      </c>
      <c r="B232" s="4" t="s">
        <v>674</v>
      </c>
      <c r="C232" s="4" t="s">
        <v>675</v>
      </c>
      <c r="D232" s="5" t="n">
        <v>3077.15</v>
      </c>
      <c r="E232" s="6" t="s">
        <v>12</v>
      </c>
      <c r="F232" s="4" t="s">
        <v>13</v>
      </c>
      <c r="G232" s="6" t="n">
        <v>5</v>
      </c>
    </row>
    <row r="233" customFormat="false" ht="15" hidden="false" customHeight="false" outlineLevel="0" collapsed="false">
      <c r="A233" s="4" t="s">
        <v>676</v>
      </c>
      <c r="B233" s="4" t="s">
        <v>677</v>
      </c>
      <c r="C233" s="4" t="s">
        <v>678</v>
      </c>
      <c r="D233" s="5" t="n">
        <v>2884.19</v>
      </c>
      <c r="E233" s="6" t="s">
        <v>12</v>
      </c>
      <c r="F233" s="4" t="s">
        <v>13</v>
      </c>
      <c r="G233" s="6" t="n">
        <v>5</v>
      </c>
    </row>
    <row r="234" customFormat="false" ht="15" hidden="false" customHeight="false" outlineLevel="0" collapsed="false">
      <c r="A234" s="4" t="s">
        <v>679</v>
      </c>
      <c r="B234" s="4" t="s">
        <v>680</v>
      </c>
      <c r="C234" s="4" t="s">
        <v>681</v>
      </c>
      <c r="D234" s="5" t="n">
        <v>1921.82</v>
      </c>
      <c r="E234" s="6" t="s">
        <v>12</v>
      </c>
      <c r="F234" s="4" t="s">
        <v>13</v>
      </c>
      <c r="G234" s="6" t="n">
        <v>5</v>
      </c>
    </row>
    <row r="235" customFormat="false" ht="15" hidden="false" customHeight="false" outlineLevel="0" collapsed="false">
      <c r="A235" s="4" t="s">
        <v>682</v>
      </c>
      <c r="B235" s="4" t="s">
        <v>683</v>
      </c>
      <c r="C235" s="4" t="s">
        <v>684</v>
      </c>
      <c r="D235" s="5" t="n">
        <v>6401.47</v>
      </c>
      <c r="E235" s="6" t="s">
        <v>12</v>
      </c>
      <c r="F235" s="4" t="s">
        <v>13</v>
      </c>
      <c r="G235" s="6" t="n">
        <v>5</v>
      </c>
    </row>
    <row r="236" customFormat="false" ht="15" hidden="false" customHeight="false" outlineLevel="0" collapsed="false">
      <c r="A236" s="4" t="s">
        <v>685</v>
      </c>
      <c r="B236" s="4" t="s">
        <v>686</v>
      </c>
      <c r="C236" s="4" t="s">
        <v>687</v>
      </c>
      <c r="D236" s="5" t="n">
        <v>5529.47</v>
      </c>
      <c r="E236" s="6" t="s">
        <v>12</v>
      </c>
      <c r="F236" s="4" t="s">
        <v>13</v>
      </c>
      <c r="G236" s="6" t="n">
        <v>6</v>
      </c>
    </row>
    <row r="237" customFormat="false" ht="15" hidden="false" customHeight="false" outlineLevel="0" collapsed="false">
      <c r="A237" s="4" t="s">
        <v>688</v>
      </c>
      <c r="B237" s="4" t="s">
        <v>689</v>
      </c>
      <c r="C237" s="4" t="s">
        <v>690</v>
      </c>
      <c r="D237" s="5" t="n">
        <v>2851.74</v>
      </c>
      <c r="E237" s="6" t="s">
        <v>12</v>
      </c>
      <c r="F237" s="4" t="s">
        <v>13</v>
      </c>
      <c r="G237" s="6" t="n">
        <v>5</v>
      </c>
    </row>
    <row r="238" customFormat="false" ht="15" hidden="false" customHeight="false" outlineLevel="0" collapsed="false">
      <c r="A238" s="4" t="s">
        <v>691</v>
      </c>
      <c r="B238" s="4" t="s">
        <v>692</v>
      </c>
      <c r="C238" s="4" t="s">
        <v>693</v>
      </c>
      <c r="D238" s="5" t="n">
        <v>3464.45</v>
      </c>
      <c r="E238" s="6" t="s">
        <v>12</v>
      </c>
      <c r="F238" s="4" t="s">
        <v>13</v>
      </c>
      <c r="G238" s="6" t="n">
        <v>5</v>
      </c>
    </row>
    <row r="239" customFormat="false" ht="15" hidden="false" customHeight="false" outlineLevel="0" collapsed="false">
      <c r="A239" s="4" t="s">
        <v>694</v>
      </c>
      <c r="B239" s="4" t="s">
        <v>695</v>
      </c>
      <c r="C239" s="4" t="s">
        <v>696</v>
      </c>
      <c r="D239" s="5" t="n">
        <v>6546.31</v>
      </c>
      <c r="E239" s="6" t="s">
        <v>12</v>
      </c>
      <c r="F239" s="4" t="s">
        <v>13</v>
      </c>
      <c r="G239" s="6" t="n">
        <v>5</v>
      </c>
    </row>
    <row r="240" customFormat="false" ht="15" hidden="false" customHeight="false" outlineLevel="0" collapsed="false">
      <c r="A240" s="4" t="s">
        <v>697</v>
      </c>
      <c r="B240" s="4" t="s">
        <v>698</v>
      </c>
      <c r="C240" s="4" t="s">
        <v>699</v>
      </c>
      <c r="D240" s="5" t="n">
        <v>3898.48</v>
      </c>
      <c r="E240" s="6" t="s">
        <v>12</v>
      </c>
      <c r="F240" s="4" t="s">
        <v>13</v>
      </c>
      <c r="G240" s="6" t="n">
        <v>5</v>
      </c>
    </row>
    <row r="241" customFormat="false" ht="15" hidden="false" customHeight="false" outlineLevel="0" collapsed="false">
      <c r="A241" s="4" t="s">
        <v>700</v>
      </c>
      <c r="B241" s="4" t="s">
        <v>701</v>
      </c>
      <c r="C241" s="4" t="s">
        <v>702</v>
      </c>
      <c r="D241" s="5" t="n">
        <v>8399.2</v>
      </c>
      <c r="E241" s="6" t="s">
        <v>12</v>
      </c>
      <c r="F241" s="4" t="s">
        <v>13</v>
      </c>
      <c r="G241" s="6" t="n">
        <v>5</v>
      </c>
    </row>
    <row r="242" customFormat="false" ht="15" hidden="false" customHeight="false" outlineLevel="0" collapsed="false">
      <c r="A242" s="4" t="s">
        <v>703</v>
      </c>
      <c r="B242" s="4" t="s">
        <v>704</v>
      </c>
      <c r="C242" s="4" t="s">
        <v>705</v>
      </c>
      <c r="D242" s="5" t="n">
        <v>6035.05</v>
      </c>
      <c r="E242" s="6" t="s">
        <v>12</v>
      </c>
      <c r="F242" s="4" t="s">
        <v>13</v>
      </c>
      <c r="G242" s="6" t="n">
        <v>5</v>
      </c>
    </row>
    <row r="243" customFormat="false" ht="15" hidden="false" customHeight="false" outlineLevel="0" collapsed="false">
      <c r="A243" s="4" t="s">
        <v>706</v>
      </c>
      <c r="B243" s="4" t="s">
        <v>707</v>
      </c>
      <c r="C243" s="4" t="s">
        <v>708</v>
      </c>
      <c r="D243" s="5" t="n">
        <v>5106.17</v>
      </c>
      <c r="E243" s="6" t="s">
        <v>12</v>
      </c>
      <c r="F243" s="4" t="s">
        <v>13</v>
      </c>
      <c r="G243" s="6" t="n">
        <v>5</v>
      </c>
    </row>
    <row r="244" customFormat="false" ht="15" hidden="false" customHeight="false" outlineLevel="0" collapsed="false">
      <c r="A244" s="4" t="s">
        <v>709</v>
      </c>
      <c r="B244" s="4" t="s">
        <v>710</v>
      </c>
      <c r="C244" s="4" t="s">
        <v>711</v>
      </c>
      <c r="D244" s="5" t="n">
        <v>2249.39</v>
      </c>
      <c r="E244" s="6" t="s">
        <v>12</v>
      </c>
      <c r="F244" s="4" t="s">
        <v>13</v>
      </c>
      <c r="G244" s="6" t="n">
        <v>5</v>
      </c>
    </row>
    <row r="245" customFormat="false" ht="15" hidden="false" customHeight="false" outlineLevel="0" collapsed="false">
      <c r="A245" s="4" t="s">
        <v>712</v>
      </c>
      <c r="B245" s="4" t="s">
        <v>713</v>
      </c>
      <c r="C245" s="4" t="s">
        <v>714</v>
      </c>
      <c r="D245" s="5" t="n">
        <v>1662.59</v>
      </c>
      <c r="E245" s="6" t="s">
        <v>12</v>
      </c>
      <c r="F245" s="4" t="s">
        <v>13</v>
      </c>
      <c r="G245" s="6" t="n">
        <v>5</v>
      </c>
    </row>
    <row r="246" customFormat="false" ht="15" hidden="false" customHeight="false" outlineLevel="0" collapsed="false">
      <c r="A246" s="4" t="s">
        <v>715</v>
      </c>
      <c r="B246" s="4" t="s">
        <v>716</v>
      </c>
      <c r="C246" s="4" t="s">
        <v>78</v>
      </c>
      <c r="D246" s="5" t="n">
        <v>3545.51</v>
      </c>
      <c r="E246" s="6" t="s">
        <v>12</v>
      </c>
      <c r="F246" s="4" t="s">
        <v>13</v>
      </c>
      <c r="G246" s="6" t="n">
        <v>5</v>
      </c>
    </row>
    <row r="247" customFormat="false" ht="15" hidden="false" customHeight="false" outlineLevel="0" collapsed="false">
      <c r="A247" s="4" t="s">
        <v>717</v>
      </c>
      <c r="B247" s="4" t="s">
        <v>718</v>
      </c>
      <c r="C247" s="4" t="s">
        <v>719</v>
      </c>
      <c r="D247" s="5" t="n">
        <v>3059.27</v>
      </c>
      <c r="E247" s="6" t="s">
        <v>12</v>
      </c>
      <c r="F247" s="4" t="s">
        <v>13</v>
      </c>
      <c r="G247" s="6" t="n">
        <v>5</v>
      </c>
    </row>
    <row r="248" customFormat="false" ht="15" hidden="false" customHeight="false" outlineLevel="0" collapsed="false">
      <c r="A248" s="4" t="s">
        <v>720</v>
      </c>
      <c r="B248" s="4" t="s">
        <v>721</v>
      </c>
      <c r="C248" s="4" t="s">
        <v>722</v>
      </c>
      <c r="D248" s="5" t="n">
        <v>10430.9</v>
      </c>
      <c r="E248" s="6" t="s">
        <v>12</v>
      </c>
      <c r="F248" s="4" t="s">
        <v>13</v>
      </c>
      <c r="G248" s="6" t="n">
        <v>5</v>
      </c>
    </row>
    <row r="249" customFormat="false" ht="15" hidden="false" customHeight="false" outlineLevel="0" collapsed="false">
      <c r="A249" s="4" t="s">
        <v>723</v>
      </c>
      <c r="B249" s="4" t="s">
        <v>724</v>
      </c>
      <c r="C249" s="4" t="s">
        <v>725</v>
      </c>
      <c r="D249" s="5" t="n">
        <v>2445.76</v>
      </c>
      <c r="E249" s="6" t="s">
        <v>12</v>
      </c>
      <c r="F249" s="4" t="s">
        <v>13</v>
      </c>
      <c r="G249" s="6" t="n">
        <v>5</v>
      </c>
    </row>
    <row r="250" customFormat="false" ht="15" hidden="false" customHeight="false" outlineLevel="0" collapsed="false">
      <c r="A250" s="4" t="s">
        <v>726</v>
      </c>
      <c r="B250" s="4" t="s">
        <v>727</v>
      </c>
      <c r="C250" s="4" t="s">
        <v>78</v>
      </c>
      <c r="D250" s="5" t="n">
        <v>3545.51</v>
      </c>
      <c r="E250" s="6" t="s">
        <v>12</v>
      </c>
      <c r="F250" s="4" t="s">
        <v>13</v>
      </c>
      <c r="G250" s="6" t="n">
        <v>5</v>
      </c>
    </row>
    <row r="251" customFormat="false" ht="15" hidden="false" customHeight="false" outlineLevel="0" collapsed="false">
      <c r="A251" s="4" t="s">
        <v>728</v>
      </c>
      <c r="B251" s="4" t="s">
        <v>729</v>
      </c>
      <c r="C251" s="4" t="s">
        <v>78</v>
      </c>
      <c r="D251" s="5" t="n">
        <v>3146.09</v>
      </c>
      <c r="E251" s="6" t="s">
        <v>12</v>
      </c>
      <c r="F251" s="4" t="s">
        <v>13</v>
      </c>
      <c r="G251" s="6" t="n">
        <v>5</v>
      </c>
    </row>
    <row r="252" customFormat="false" ht="15" hidden="false" customHeight="false" outlineLevel="0" collapsed="false">
      <c r="A252" s="4" t="s">
        <v>730</v>
      </c>
      <c r="B252" s="4" t="s">
        <v>731</v>
      </c>
      <c r="C252" s="4" t="s">
        <v>732</v>
      </c>
      <c r="D252" s="5" t="n">
        <v>8648.39</v>
      </c>
      <c r="E252" s="6" t="s">
        <v>12</v>
      </c>
      <c r="F252" s="4" t="s">
        <v>13</v>
      </c>
      <c r="G252" s="6" t="n">
        <v>5</v>
      </c>
    </row>
    <row r="253" customFormat="false" ht="15" hidden="false" customHeight="false" outlineLevel="0" collapsed="false">
      <c r="A253" s="4" t="s">
        <v>733</v>
      </c>
      <c r="B253" s="4" t="s">
        <v>734</v>
      </c>
      <c r="C253" s="4" t="s">
        <v>735</v>
      </c>
      <c r="D253" s="5" t="n">
        <v>3181.98</v>
      </c>
      <c r="E253" s="6" t="s">
        <v>12</v>
      </c>
      <c r="F253" s="4" t="s">
        <v>13</v>
      </c>
      <c r="G253" s="6" t="n">
        <v>5</v>
      </c>
    </row>
    <row r="254" customFormat="false" ht="15" hidden="false" customHeight="false" outlineLevel="0" collapsed="false">
      <c r="A254" s="4" t="s">
        <v>736</v>
      </c>
      <c r="B254" s="4" t="s">
        <v>737</v>
      </c>
      <c r="C254" s="4" t="s">
        <v>738</v>
      </c>
      <c r="D254" s="5" t="n">
        <v>6563.53</v>
      </c>
      <c r="E254" s="6" t="s">
        <v>12</v>
      </c>
      <c r="F254" s="4" t="s">
        <v>13</v>
      </c>
      <c r="G254" s="6" t="n">
        <v>5</v>
      </c>
    </row>
    <row r="255" customFormat="false" ht="15" hidden="false" customHeight="false" outlineLevel="0" collapsed="false">
      <c r="A255" s="4" t="s">
        <v>739</v>
      </c>
      <c r="B255" s="4" t="s">
        <v>740</v>
      </c>
      <c r="C255" s="4" t="s">
        <v>741</v>
      </c>
      <c r="D255" s="5" t="n">
        <v>2091.6</v>
      </c>
      <c r="E255" s="6" t="s">
        <v>12</v>
      </c>
      <c r="F255" s="4" t="s">
        <v>13</v>
      </c>
      <c r="G255" s="6" t="n">
        <v>5</v>
      </c>
    </row>
    <row r="256" customFormat="false" ht="15" hidden="false" customHeight="false" outlineLevel="0" collapsed="false">
      <c r="A256" s="4" t="s">
        <v>742</v>
      </c>
      <c r="B256" s="4" t="s">
        <v>743</v>
      </c>
      <c r="C256" s="4" t="s">
        <v>372</v>
      </c>
      <c r="D256" s="5" t="n">
        <v>8215.85</v>
      </c>
      <c r="E256" s="6" t="s">
        <v>400</v>
      </c>
      <c r="F256" s="4" t="s">
        <v>401</v>
      </c>
      <c r="G256" s="6" t="n">
        <v>5</v>
      </c>
    </row>
    <row r="257" customFormat="false" ht="15" hidden="false" customHeight="false" outlineLevel="0" collapsed="false">
      <c r="A257" s="4" t="s">
        <v>744</v>
      </c>
      <c r="B257" s="4" t="s">
        <v>745</v>
      </c>
      <c r="C257" s="4" t="s">
        <v>746</v>
      </c>
      <c r="D257" s="5" t="n">
        <v>6479.38</v>
      </c>
      <c r="E257" s="6" t="s">
        <v>12</v>
      </c>
      <c r="F257" s="4" t="s">
        <v>13</v>
      </c>
      <c r="G257" s="6" t="n">
        <v>5</v>
      </c>
    </row>
    <row r="258" customFormat="false" ht="15" hidden="false" customHeight="false" outlineLevel="0" collapsed="false">
      <c r="A258" s="4" t="s">
        <v>747</v>
      </c>
      <c r="B258" s="4" t="s">
        <v>748</v>
      </c>
      <c r="C258" s="4" t="s">
        <v>749</v>
      </c>
      <c r="D258" s="5" t="n">
        <v>9165.14</v>
      </c>
      <c r="E258" s="6" t="s">
        <v>12</v>
      </c>
      <c r="F258" s="4" t="s">
        <v>13</v>
      </c>
      <c r="G258" s="6" t="n">
        <v>5</v>
      </c>
    </row>
    <row r="259" customFormat="false" ht="15" hidden="false" customHeight="false" outlineLevel="0" collapsed="false">
      <c r="A259" s="4" t="s">
        <v>750</v>
      </c>
      <c r="B259" s="4" t="s">
        <v>751</v>
      </c>
      <c r="C259" s="4" t="s">
        <v>752</v>
      </c>
      <c r="D259" s="5" t="n">
        <v>3043.3</v>
      </c>
      <c r="E259" s="6" t="s">
        <v>12</v>
      </c>
      <c r="F259" s="4" t="s">
        <v>13</v>
      </c>
      <c r="G259" s="6" t="n">
        <v>5</v>
      </c>
    </row>
    <row r="260" customFormat="false" ht="15" hidden="false" customHeight="false" outlineLevel="0" collapsed="false">
      <c r="A260" s="4" t="s">
        <v>753</v>
      </c>
      <c r="B260" s="4" t="s">
        <v>754</v>
      </c>
      <c r="C260" s="4" t="s">
        <v>755</v>
      </c>
      <c r="D260" s="5" t="n">
        <v>7909.41</v>
      </c>
      <c r="E260" s="6" t="s">
        <v>400</v>
      </c>
      <c r="F260" s="4" t="s">
        <v>401</v>
      </c>
      <c r="G260" s="6" t="n">
        <v>5</v>
      </c>
    </row>
    <row r="261" customFormat="false" ht="15" hidden="false" customHeight="false" outlineLevel="0" collapsed="false">
      <c r="A261" s="4" t="s">
        <v>756</v>
      </c>
      <c r="B261" s="4" t="s">
        <v>757</v>
      </c>
      <c r="C261" s="4" t="s">
        <v>758</v>
      </c>
      <c r="D261" s="5" t="n">
        <v>3366.24</v>
      </c>
      <c r="E261" s="6" t="s">
        <v>12</v>
      </c>
      <c r="F261" s="4" t="s">
        <v>13</v>
      </c>
      <c r="G261" s="6" t="n">
        <v>5</v>
      </c>
    </row>
    <row r="262" customFormat="false" ht="15" hidden="false" customHeight="false" outlineLevel="0" collapsed="false">
      <c r="A262" s="4" t="s">
        <v>759</v>
      </c>
      <c r="B262" s="4" t="s">
        <v>760</v>
      </c>
      <c r="C262" s="4" t="s">
        <v>761</v>
      </c>
      <c r="D262" s="5" t="n">
        <v>4393.85</v>
      </c>
      <c r="E262" s="6" t="s">
        <v>400</v>
      </c>
      <c r="F262" s="4" t="s">
        <v>401</v>
      </c>
      <c r="G262" s="6" t="n">
        <v>5</v>
      </c>
    </row>
    <row r="263" customFormat="false" ht="15" hidden="false" customHeight="false" outlineLevel="0" collapsed="false">
      <c r="A263" s="4" t="s">
        <v>762</v>
      </c>
      <c r="B263" s="4" t="s">
        <v>763</v>
      </c>
      <c r="C263" s="4" t="s">
        <v>764</v>
      </c>
      <c r="D263" s="5" t="n">
        <v>8878.17</v>
      </c>
      <c r="E263" s="6" t="s">
        <v>12</v>
      </c>
      <c r="F263" s="4" t="s">
        <v>13</v>
      </c>
      <c r="G263" s="6" t="n">
        <v>5</v>
      </c>
    </row>
    <row r="264" customFormat="false" ht="15" hidden="false" customHeight="false" outlineLevel="0" collapsed="false">
      <c r="A264" s="4" t="s">
        <v>765</v>
      </c>
      <c r="B264" s="4" t="s">
        <v>766</v>
      </c>
      <c r="C264" s="4" t="s">
        <v>767</v>
      </c>
      <c r="D264" s="5" t="n">
        <v>6892.88</v>
      </c>
      <c r="E264" s="6" t="s">
        <v>12</v>
      </c>
      <c r="F264" s="4" t="s">
        <v>13</v>
      </c>
      <c r="G264" s="6" t="n">
        <v>5</v>
      </c>
    </row>
    <row r="265" customFormat="false" ht="15" hidden="false" customHeight="false" outlineLevel="0" collapsed="false">
      <c r="A265" s="4" t="s">
        <v>768</v>
      </c>
      <c r="B265" s="4" t="s">
        <v>769</v>
      </c>
      <c r="C265" s="4" t="s">
        <v>770</v>
      </c>
      <c r="D265" s="5" t="n">
        <v>4914.91</v>
      </c>
      <c r="E265" s="6" t="s">
        <v>400</v>
      </c>
      <c r="F265" s="4" t="s">
        <v>401</v>
      </c>
      <c r="G265" s="6" t="n">
        <v>5</v>
      </c>
    </row>
    <row r="266" customFormat="false" ht="15" hidden="false" customHeight="false" outlineLevel="0" collapsed="false">
      <c r="A266" s="4" t="s">
        <v>771</v>
      </c>
      <c r="B266" s="4" t="s">
        <v>772</v>
      </c>
      <c r="C266" s="4" t="s">
        <v>773</v>
      </c>
      <c r="D266" s="5" t="n">
        <v>10045.05</v>
      </c>
      <c r="E266" s="6" t="s">
        <v>12</v>
      </c>
      <c r="F266" s="4" t="s">
        <v>13</v>
      </c>
      <c r="G266" s="6" t="n">
        <v>5</v>
      </c>
    </row>
    <row r="267" customFormat="false" ht="15" hidden="false" customHeight="false" outlineLevel="0" collapsed="false">
      <c r="A267" s="4" t="s">
        <v>774</v>
      </c>
      <c r="B267" s="4" t="s">
        <v>775</v>
      </c>
      <c r="C267" s="4" t="s">
        <v>776</v>
      </c>
      <c r="D267" s="5" t="n">
        <v>3180.02</v>
      </c>
      <c r="E267" s="6" t="s">
        <v>12</v>
      </c>
      <c r="F267" s="4" t="s">
        <v>13</v>
      </c>
      <c r="G267" s="6" t="n">
        <v>5</v>
      </c>
    </row>
    <row r="268" customFormat="false" ht="15" hidden="false" customHeight="false" outlineLevel="0" collapsed="false">
      <c r="A268" s="4" t="s">
        <v>777</v>
      </c>
      <c r="B268" s="4" t="s">
        <v>778</v>
      </c>
      <c r="C268" s="4" t="s">
        <v>779</v>
      </c>
      <c r="D268" s="5" t="n">
        <v>6305.9</v>
      </c>
      <c r="E268" s="6" t="s">
        <v>12</v>
      </c>
      <c r="F268" s="4" t="s">
        <v>13</v>
      </c>
      <c r="G268" s="6" t="n">
        <v>5</v>
      </c>
    </row>
    <row r="269" customFormat="false" ht="15" hidden="false" customHeight="false" outlineLevel="0" collapsed="false">
      <c r="A269" s="4" t="s">
        <v>780</v>
      </c>
      <c r="B269" s="4" t="s">
        <v>781</v>
      </c>
      <c r="C269" s="4" t="s">
        <v>782</v>
      </c>
      <c r="D269" s="5" t="n">
        <v>7099.11</v>
      </c>
      <c r="E269" s="6" t="s">
        <v>12</v>
      </c>
      <c r="F269" s="4" t="s">
        <v>13</v>
      </c>
      <c r="G269" s="6" t="n">
        <v>5</v>
      </c>
    </row>
    <row r="270" customFormat="false" ht="15" hidden="false" customHeight="false" outlineLevel="0" collapsed="false">
      <c r="A270" s="4" t="s">
        <v>783</v>
      </c>
      <c r="B270" s="4" t="s">
        <v>784</v>
      </c>
      <c r="C270" s="4" t="s">
        <v>628</v>
      </c>
      <c r="D270" s="5" t="n">
        <v>8521.29</v>
      </c>
      <c r="E270" s="6" t="s">
        <v>12</v>
      </c>
      <c r="F270" s="4" t="s">
        <v>13</v>
      </c>
      <c r="G270" s="6" t="n">
        <v>5</v>
      </c>
    </row>
    <row r="271" customFormat="false" ht="15" hidden="false" customHeight="false" outlineLevel="0" collapsed="false">
      <c r="A271" s="4" t="s">
        <v>785</v>
      </c>
      <c r="B271" s="4" t="s">
        <v>786</v>
      </c>
      <c r="C271" s="4" t="s">
        <v>787</v>
      </c>
      <c r="D271" s="5" t="n">
        <v>1332.27</v>
      </c>
      <c r="E271" s="6" t="s">
        <v>34</v>
      </c>
      <c r="F271" s="4" t="s">
        <v>35</v>
      </c>
      <c r="G271" s="6" t="n">
        <v>4</v>
      </c>
    </row>
    <row r="272" customFormat="false" ht="15" hidden="false" customHeight="false" outlineLevel="0" collapsed="false">
      <c r="A272" s="4" t="s">
        <v>788</v>
      </c>
      <c r="B272" s="4" t="s">
        <v>789</v>
      </c>
      <c r="C272" s="4" t="s">
        <v>790</v>
      </c>
      <c r="D272" s="5" t="n">
        <v>5263.4</v>
      </c>
      <c r="E272" s="6" t="s">
        <v>12</v>
      </c>
      <c r="F272" s="4" t="s">
        <v>13</v>
      </c>
      <c r="G272" s="6" t="n">
        <v>5</v>
      </c>
    </row>
    <row r="273" customFormat="false" ht="15" hidden="false" customHeight="false" outlineLevel="0" collapsed="false">
      <c r="A273" s="4" t="s">
        <v>791</v>
      </c>
      <c r="B273" s="4" t="s">
        <v>792</v>
      </c>
      <c r="C273" s="4" t="s">
        <v>793</v>
      </c>
      <c r="D273" s="5" t="n">
        <v>11240.17</v>
      </c>
      <c r="E273" s="6" t="s">
        <v>400</v>
      </c>
      <c r="F273" s="4" t="s">
        <v>401</v>
      </c>
      <c r="G273" s="6" t="n">
        <v>5</v>
      </c>
    </row>
    <row r="274" customFormat="false" ht="15" hidden="false" customHeight="false" outlineLevel="0" collapsed="false">
      <c r="A274" s="4" t="s">
        <v>794</v>
      </c>
      <c r="B274" s="4" t="s">
        <v>795</v>
      </c>
      <c r="C274" s="4" t="s">
        <v>796</v>
      </c>
      <c r="D274" s="5" t="n">
        <v>5972.48</v>
      </c>
      <c r="E274" s="6" t="s">
        <v>400</v>
      </c>
      <c r="F274" s="4" t="s">
        <v>401</v>
      </c>
      <c r="G274" s="6" t="n">
        <v>5</v>
      </c>
    </row>
    <row r="275" customFormat="false" ht="15" hidden="false" customHeight="false" outlineLevel="0" collapsed="false">
      <c r="A275" s="4" t="s">
        <v>797</v>
      </c>
      <c r="B275" s="4" t="s">
        <v>798</v>
      </c>
      <c r="C275" s="4" t="s">
        <v>799</v>
      </c>
      <c r="D275" s="5" t="n">
        <v>4063.66</v>
      </c>
      <c r="E275" s="6" t="s">
        <v>12</v>
      </c>
      <c r="F275" s="4" t="s">
        <v>13</v>
      </c>
      <c r="G275" s="6" t="n">
        <v>5</v>
      </c>
    </row>
    <row r="276" customFormat="false" ht="15" hidden="false" customHeight="false" outlineLevel="0" collapsed="false">
      <c r="A276" s="4" t="s">
        <v>800</v>
      </c>
      <c r="B276" s="4" t="s">
        <v>801</v>
      </c>
      <c r="C276" s="4" t="s">
        <v>802</v>
      </c>
      <c r="D276" s="5" t="n">
        <v>14139.19</v>
      </c>
      <c r="E276" s="6" t="s">
        <v>12</v>
      </c>
      <c r="F276" s="4" t="s">
        <v>13</v>
      </c>
      <c r="G276" s="6" t="n">
        <v>5</v>
      </c>
    </row>
    <row r="277" customFormat="false" ht="15" hidden="false" customHeight="false" outlineLevel="0" collapsed="false">
      <c r="A277" s="4" t="s">
        <v>803</v>
      </c>
      <c r="B277" s="4" t="s">
        <v>804</v>
      </c>
      <c r="C277" s="4" t="s">
        <v>805</v>
      </c>
      <c r="D277" s="5" t="n">
        <v>5302.45</v>
      </c>
      <c r="E277" s="6" t="s">
        <v>12</v>
      </c>
      <c r="F277" s="4" t="s">
        <v>13</v>
      </c>
      <c r="G277" s="6" t="n">
        <v>5</v>
      </c>
    </row>
    <row r="278" customFormat="false" ht="15" hidden="false" customHeight="false" outlineLevel="0" collapsed="false">
      <c r="A278" s="4" t="s">
        <v>806</v>
      </c>
      <c r="B278" s="4" t="s">
        <v>807</v>
      </c>
      <c r="C278" s="4" t="s">
        <v>808</v>
      </c>
      <c r="D278" s="5" t="n">
        <v>6084.1</v>
      </c>
      <c r="E278" s="6" t="s">
        <v>12</v>
      </c>
      <c r="F278" s="4" t="s">
        <v>13</v>
      </c>
      <c r="G278" s="6" t="n">
        <v>5</v>
      </c>
    </row>
    <row r="279" customFormat="false" ht="15" hidden="false" customHeight="false" outlineLevel="0" collapsed="false">
      <c r="A279" s="4" t="s">
        <v>809</v>
      </c>
      <c r="B279" s="4" t="s">
        <v>810</v>
      </c>
      <c r="C279" s="4" t="s">
        <v>811</v>
      </c>
      <c r="D279" s="5" t="n">
        <v>7029.64</v>
      </c>
      <c r="E279" s="6" t="s">
        <v>12</v>
      </c>
      <c r="F279" s="4" t="s">
        <v>13</v>
      </c>
      <c r="G279" s="6" t="n">
        <v>5</v>
      </c>
    </row>
    <row r="280" customFormat="false" ht="15" hidden="false" customHeight="false" outlineLevel="0" collapsed="false">
      <c r="A280" s="4" t="s">
        <v>812</v>
      </c>
      <c r="B280" s="4" t="s">
        <v>813</v>
      </c>
      <c r="C280" s="4" t="s">
        <v>814</v>
      </c>
      <c r="D280" s="5" t="n">
        <v>6621.44</v>
      </c>
      <c r="E280" s="6" t="s">
        <v>12</v>
      </c>
      <c r="F280" s="4" t="s">
        <v>13</v>
      </c>
      <c r="G280" s="6" t="n">
        <v>5</v>
      </c>
    </row>
    <row r="281" customFormat="false" ht="15" hidden="false" customHeight="false" outlineLevel="0" collapsed="false">
      <c r="A281" s="4" t="s">
        <v>815</v>
      </c>
      <c r="B281" s="4" t="s">
        <v>816</v>
      </c>
      <c r="C281" s="4" t="s">
        <v>817</v>
      </c>
      <c r="D281" s="5" t="n">
        <v>6339.43</v>
      </c>
      <c r="E281" s="6" t="s">
        <v>12</v>
      </c>
      <c r="F281" s="4" t="s">
        <v>13</v>
      </c>
      <c r="G281" s="6" t="n">
        <v>5</v>
      </c>
    </row>
    <row r="282" customFormat="false" ht="15" hidden="false" customHeight="false" outlineLevel="0" collapsed="false">
      <c r="A282" s="4" t="s">
        <v>818</v>
      </c>
      <c r="B282" s="4" t="s">
        <v>819</v>
      </c>
      <c r="C282" s="4" t="s">
        <v>820</v>
      </c>
      <c r="D282" s="5" t="n">
        <v>1759.83</v>
      </c>
      <c r="E282" s="6" t="s">
        <v>12</v>
      </c>
      <c r="F282" s="4" t="s">
        <v>13</v>
      </c>
      <c r="G282" s="6" t="n">
        <v>5</v>
      </c>
    </row>
    <row r="283" customFormat="false" ht="15" hidden="false" customHeight="false" outlineLevel="0" collapsed="false">
      <c r="A283" s="4" t="s">
        <v>821</v>
      </c>
      <c r="B283" s="4" t="s">
        <v>822</v>
      </c>
      <c r="C283" s="4" t="s">
        <v>823</v>
      </c>
      <c r="D283" s="5" t="n">
        <v>6556.02</v>
      </c>
      <c r="E283" s="6" t="s">
        <v>400</v>
      </c>
      <c r="F283" s="4" t="s">
        <v>401</v>
      </c>
      <c r="G283" s="6" t="n">
        <v>5</v>
      </c>
    </row>
    <row r="284" customFormat="false" ht="15" hidden="false" customHeight="false" outlineLevel="0" collapsed="false">
      <c r="A284" s="4" t="s">
        <v>824</v>
      </c>
      <c r="B284" s="4" t="s">
        <v>825</v>
      </c>
      <c r="C284" s="4" t="s">
        <v>826</v>
      </c>
      <c r="D284" s="5" t="n">
        <v>7092.92</v>
      </c>
      <c r="E284" s="6" t="s">
        <v>400</v>
      </c>
      <c r="F284" s="4" t="s">
        <v>401</v>
      </c>
      <c r="G284" s="6" t="n">
        <v>5</v>
      </c>
    </row>
    <row r="285" customFormat="false" ht="15" hidden="false" customHeight="false" outlineLevel="0" collapsed="false">
      <c r="A285" s="4" t="s">
        <v>827</v>
      </c>
      <c r="B285" s="4" t="s">
        <v>828</v>
      </c>
      <c r="C285" s="4" t="s">
        <v>829</v>
      </c>
      <c r="D285" s="5" t="n">
        <v>10015.46</v>
      </c>
      <c r="E285" s="6" t="s">
        <v>12</v>
      </c>
      <c r="F285" s="4" t="s">
        <v>13</v>
      </c>
      <c r="G285" s="6" t="n">
        <v>6</v>
      </c>
    </row>
    <row r="286" customFormat="false" ht="15" hidden="false" customHeight="false" outlineLevel="0" collapsed="false">
      <c r="A286" s="4" t="s">
        <v>830</v>
      </c>
      <c r="B286" s="4" t="s">
        <v>831</v>
      </c>
      <c r="C286" s="4" t="s">
        <v>832</v>
      </c>
      <c r="D286" s="5" t="n">
        <v>12666.49</v>
      </c>
      <c r="E286" s="6" t="s">
        <v>400</v>
      </c>
      <c r="F286" s="4" t="s">
        <v>401</v>
      </c>
      <c r="G286" s="6" t="n">
        <v>5</v>
      </c>
    </row>
    <row r="287" customFormat="false" ht="15" hidden="false" customHeight="false" outlineLevel="0" collapsed="false">
      <c r="A287" s="4" t="s">
        <v>833</v>
      </c>
      <c r="B287" s="4" t="s">
        <v>834</v>
      </c>
      <c r="C287" s="4" t="s">
        <v>835</v>
      </c>
      <c r="D287" s="5" t="n">
        <v>14205.14</v>
      </c>
      <c r="E287" s="6" t="s">
        <v>400</v>
      </c>
      <c r="F287" s="4" t="s">
        <v>401</v>
      </c>
      <c r="G287" s="6" t="n">
        <v>5</v>
      </c>
    </row>
    <row r="288" customFormat="false" ht="15" hidden="false" customHeight="false" outlineLevel="0" collapsed="false">
      <c r="A288" s="4" t="s">
        <v>836</v>
      </c>
      <c r="B288" s="4" t="s">
        <v>837</v>
      </c>
      <c r="C288" s="4" t="s">
        <v>838</v>
      </c>
      <c r="D288" s="5" t="n">
        <v>6696.87</v>
      </c>
      <c r="E288" s="6" t="s">
        <v>12</v>
      </c>
      <c r="F288" s="4" t="s">
        <v>13</v>
      </c>
      <c r="G288" s="6" t="n">
        <v>5</v>
      </c>
    </row>
    <row r="289" customFormat="false" ht="15" hidden="false" customHeight="false" outlineLevel="0" collapsed="false">
      <c r="A289" s="4" t="s">
        <v>839</v>
      </c>
      <c r="B289" s="4" t="s">
        <v>840</v>
      </c>
      <c r="C289" s="4" t="s">
        <v>841</v>
      </c>
      <c r="D289" s="5" t="n">
        <v>2055.19</v>
      </c>
      <c r="E289" s="6" t="s">
        <v>391</v>
      </c>
      <c r="F289" s="4" t="s">
        <v>392</v>
      </c>
      <c r="G289" s="6" t="n">
        <v>7</v>
      </c>
    </row>
    <row r="290" customFormat="false" ht="15" hidden="false" customHeight="false" outlineLevel="0" collapsed="false">
      <c r="A290" s="4" t="s">
        <v>842</v>
      </c>
      <c r="B290" s="4" t="s">
        <v>843</v>
      </c>
      <c r="C290" s="4" t="s">
        <v>841</v>
      </c>
      <c r="D290" s="5" t="n">
        <v>8277.42</v>
      </c>
      <c r="E290" s="6" t="s">
        <v>400</v>
      </c>
      <c r="F290" s="4" t="s">
        <v>401</v>
      </c>
      <c r="G290" s="6" t="n">
        <v>5</v>
      </c>
    </row>
    <row r="291" customFormat="false" ht="15" hidden="false" customHeight="false" outlineLevel="0" collapsed="false">
      <c r="A291" s="4" t="s">
        <v>844</v>
      </c>
      <c r="B291" s="4" t="s">
        <v>845</v>
      </c>
      <c r="C291" s="4" t="s">
        <v>841</v>
      </c>
      <c r="D291" s="5" t="n">
        <v>4785.63</v>
      </c>
      <c r="E291" s="6" t="s">
        <v>12</v>
      </c>
      <c r="F291" s="4" t="s">
        <v>13</v>
      </c>
      <c r="G291" s="6" t="n">
        <v>5</v>
      </c>
    </row>
    <row r="292" customFormat="false" ht="15" hidden="false" customHeight="false" outlineLevel="0" collapsed="false">
      <c r="A292" s="4" t="s">
        <v>846</v>
      </c>
      <c r="B292" s="4" t="s">
        <v>847</v>
      </c>
      <c r="C292" s="4" t="s">
        <v>848</v>
      </c>
      <c r="D292" s="5" t="n">
        <v>15879.35</v>
      </c>
      <c r="E292" s="6" t="s">
        <v>12</v>
      </c>
      <c r="F292" s="4" t="s">
        <v>13</v>
      </c>
      <c r="G292" s="6" t="n">
        <v>5</v>
      </c>
    </row>
    <row r="293" customFormat="false" ht="15" hidden="false" customHeight="false" outlineLevel="0" collapsed="false">
      <c r="A293" s="4" t="s">
        <v>849</v>
      </c>
      <c r="B293" s="4" t="s">
        <v>850</v>
      </c>
      <c r="C293" s="4" t="s">
        <v>851</v>
      </c>
      <c r="D293" s="5" t="n">
        <v>5926.18</v>
      </c>
      <c r="E293" s="6" t="s">
        <v>12</v>
      </c>
      <c r="F293" s="4" t="s">
        <v>13</v>
      </c>
      <c r="G293" s="6" t="n">
        <v>5</v>
      </c>
    </row>
    <row r="294" customFormat="false" ht="15" hidden="false" customHeight="false" outlineLevel="0" collapsed="false">
      <c r="A294" s="4" t="s">
        <v>852</v>
      </c>
      <c r="B294" s="4" t="s">
        <v>853</v>
      </c>
      <c r="C294" s="4" t="s">
        <v>854</v>
      </c>
      <c r="D294" s="5" t="n">
        <v>3892.77</v>
      </c>
      <c r="E294" s="6" t="s">
        <v>12</v>
      </c>
      <c r="F294" s="4" t="s">
        <v>13</v>
      </c>
      <c r="G294" s="6" t="n">
        <v>5</v>
      </c>
    </row>
    <row r="295" customFormat="false" ht="15" hidden="false" customHeight="false" outlineLevel="0" collapsed="false">
      <c r="A295" s="4" t="s">
        <v>855</v>
      </c>
      <c r="B295" s="4" t="s">
        <v>856</v>
      </c>
      <c r="C295" s="4" t="s">
        <v>857</v>
      </c>
      <c r="D295" s="5" t="n">
        <v>4722.22</v>
      </c>
      <c r="E295" s="6" t="s">
        <v>12</v>
      </c>
      <c r="F295" s="4" t="s">
        <v>13</v>
      </c>
      <c r="G295" s="6" t="n">
        <v>5</v>
      </c>
    </row>
    <row r="296" customFormat="false" ht="15" hidden="false" customHeight="false" outlineLevel="0" collapsed="false">
      <c r="A296" s="4" t="s">
        <v>858</v>
      </c>
      <c r="B296" s="4" t="s">
        <v>859</v>
      </c>
      <c r="C296" s="4" t="s">
        <v>860</v>
      </c>
      <c r="D296" s="5" t="n">
        <v>4908.41</v>
      </c>
      <c r="E296" s="6" t="s">
        <v>12</v>
      </c>
      <c r="F296" s="4" t="s">
        <v>13</v>
      </c>
      <c r="G296" s="6" t="n">
        <v>5</v>
      </c>
    </row>
    <row r="297" customFormat="false" ht="15" hidden="false" customHeight="false" outlineLevel="0" collapsed="false">
      <c r="A297" s="4" t="s">
        <v>861</v>
      </c>
      <c r="B297" s="4" t="s">
        <v>862</v>
      </c>
      <c r="C297" s="4" t="s">
        <v>863</v>
      </c>
      <c r="D297" s="5" t="n">
        <v>4647.94</v>
      </c>
      <c r="E297" s="6" t="s">
        <v>12</v>
      </c>
      <c r="F297" s="4" t="s">
        <v>13</v>
      </c>
      <c r="G297" s="6" t="n">
        <v>5</v>
      </c>
    </row>
    <row r="298" customFormat="false" ht="15" hidden="false" customHeight="false" outlineLevel="0" collapsed="false">
      <c r="A298" s="4" t="s">
        <v>864</v>
      </c>
      <c r="B298" s="4" t="s">
        <v>865</v>
      </c>
      <c r="C298" s="4" t="s">
        <v>866</v>
      </c>
      <c r="D298" s="5" t="n">
        <v>9320.28</v>
      </c>
      <c r="E298" s="6" t="s">
        <v>12</v>
      </c>
      <c r="F298" s="4" t="s">
        <v>13</v>
      </c>
      <c r="G298" s="6" t="n">
        <v>5</v>
      </c>
    </row>
    <row r="299" customFormat="false" ht="15" hidden="false" customHeight="false" outlineLevel="0" collapsed="false">
      <c r="A299" s="4" t="s">
        <v>867</v>
      </c>
      <c r="B299" s="4" t="s">
        <v>868</v>
      </c>
      <c r="C299" s="4" t="s">
        <v>869</v>
      </c>
      <c r="D299" s="5" t="n">
        <v>7512.4</v>
      </c>
      <c r="E299" s="6" t="s">
        <v>12</v>
      </c>
      <c r="F299" s="4" t="s">
        <v>13</v>
      </c>
      <c r="G299" s="6" t="n">
        <v>5</v>
      </c>
    </row>
    <row r="300" customFormat="false" ht="15" hidden="false" customHeight="false" outlineLevel="0" collapsed="false">
      <c r="A300" s="4" t="s">
        <v>870</v>
      </c>
      <c r="B300" s="4" t="s">
        <v>871</v>
      </c>
      <c r="C300" s="4" t="s">
        <v>872</v>
      </c>
      <c r="D300" s="5" t="n">
        <v>10125.26</v>
      </c>
      <c r="E300" s="6" t="s">
        <v>12</v>
      </c>
      <c r="F300" s="4" t="s">
        <v>13</v>
      </c>
      <c r="G300" s="6" t="n">
        <v>5</v>
      </c>
    </row>
    <row r="301" customFormat="false" ht="15" hidden="false" customHeight="false" outlineLevel="0" collapsed="false">
      <c r="A301" s="4" t="s">
        <v>873</v>
      </c>
      <c r="B301" s="4" t="s">
        <v>874</v>
      </c>
      <c r="C301" s="4" t="s">
        <v>875</v>
      </c>
      <c r="D301" s="5" t="n">
        <v>4994.26</v>
      </c>
      <c r="E301" s="6" t="s">
        <v>12</v>
      </c>
      <c r="F301" s="4" t="s">
        <v>13</v>
      </c>
      <c r="G301" s="6" t="n">
        <v>5</v>
      </c>
    </row>
    <row r="302" customFormat="false" ht="15" hidden="false" customHeight="false" outlineLevel="0" collapsed="false">
      <c r="A302" s="4" t="s">
        <v>876</v>
      </c>
      <c r="B302" s="4" t="s">
        <v>877</v>
      </c>
      <c r="C302" s="4" t="s">
        <v>878</v>
      </c>
      <c r="D302" s="5" t="n">
        <v>4143.47</v>
      </c>
      <c r="E302" s="6" t="s">
        <v>400</v>
      </c>
      <c r="F302" s="4" t="s">
        <v>401</v>
      </c>
      <c r="G302" s="6" t="n">
        <v>5</v>
      </c>
    </row>
    <row r="303" customFormat="false" ht="15" hidden="false" customHeight="false" outlineLevel="0" collapsed="false">
      <c r="A303" s="4" t="s">
        <v>879</v>
      </c>
      <c r="B303" s="4" t="s">
        <v>880</v>
      </c>
      <c r="C303" s="4" t="s">
        <v>878</v>
      </c>
      <c r="D303" s="5" t="n">
        <v>7030.5</v>
      </c>
      <c r="E303" s="6" t="s">
        <v>400</v>
      </c>
      <c r="F303" s="4" t="s">
        <v>401</v>
      </c>
      <c r="G303" s="6" t="n">
        <v>5</v>
      </c>
    </row>
    <row r="304" customFormat="false" ht="15" hidden="false" customHeight="false" outlineLevel="0" collapsed="false">
      <c r="A304" s="4" t="s">
        <v>881</v>
      </c>
      <c r="B304" s="4" t="s">
        <v>882</v>
      </c>
      <c r="C304" s="4" t="s">
        <v>878</v>
      </c>
      <c r="D304" s="5" t="n">
        <v>2653.15</v>
      </c>
      <c r="E304" s="6" t="s">
        <v>400</v>
      </c>
      <c r="F304" s="4" t="s">
        <v>401</v>
      </c>
      <c r="G304" s="6" t="n">
        <v>5</v>
      </c>
    </row>
    <row r="305" customFormat="false" ht="15" hidden="false" customHeight="false" outlineLevel="0" collapsed="false">
      <c r="A305" s="4" t="s">
        <v>883</v>
      </c>
      <c r="B305" s="4" t="s">
        <v>884</v>
      </c>
      <c r="C305" s="4" t="s">
        <v>885</v>
      </c>
      <c r="D305" s="5" t="n">
        <v>1840.56</v>
      </c>
      <c r="E305" s="6" t="s">
        <v>48</v>
      </c>
      <c r="F305" s="4" t="s">
        <v>49</v>
      </c>
      <c r="G305" s="6" t="n">
        <v>8</v>
      </c>
    </row>
    <row r="306" customFormat="false" ht="15" hidden="false" customHeight="false" outlineLevel="0" collapsed="false">
      <c r="A306" s="4" t="s">
        <v>886</v>
      </c>
      <c r="B306" s="4" t="s">
        <v>887</v>
      </c>
      <c r="C306" s="4" t="s">
        <v>888</v>
      </c>
      <c r="D306" s="5" t="n">
        <v>19008.86</v>
      </c>
      <c r="E306" s="6" t="s">
        <v>400</v>
      </c>
      <c r="F306" s="4" t="s">
        <v>401</v>
      </c>
      <c r="G306" s="6" t="n">
        <v>5</v>
      </c>
    </row>
    <row r="307" customFormat="false" ht="15" hidden="false" customHeight="false" outlineLevel="0" collapsed="false">
      <c r="A307" s="4" t="s">
        <v>889</v>
      </c>
      <c r="B307" s="4" t="s">
        <v>890</v>
      </c>
      <c r="C307" s="4" t="s">
        <v>891</v>
      </c>
      <c r="D307" s="5" t="n">
        <v>5998.76</v>
      </c>
      <c r="E307" s="6" t="s">
        <v>12</v>
      </c>
      <c r="F307" s="4" t="s">
        <v>13</v>
      </c>
      <c r="G307" s="6" t="n">
        <v>5</v>
      </c>
    </row>
    <row r="308" customFormat="false" ht="15" hidden="false" customHeight="false" outlineLevel="0" collapsed="false">
      <c r="A308" s="4" t="s">
        <v>892</v>
      </c>
      <c r="B308" s="4" t="s">
        <v>893</v>
      </c>
      <c r="C308" s="4" t="s">
        <v>894</v>
      </c>
      <c r="D308" s="5" t="n">
        <v>5210.9</v>
      </c>
      <c r="E308" s="6" t="s">
        <v>400</v>
      </c>
      <c r="F308" s="4" t="s">
        <v>401</v>
      </c>
      <c r="G308" s="6" t="n">
        <v>5</v>
      </c>
    </row>
    <row r="309" customFormat="false" ht="15" hidden="false" customHeight="false" outlineLevel="0" collapsed="false">
      <c r="A309" s="4" t="s">
        <v>895</v>
      </c>
      <c r="B309" s="4" t="s">
        <v>896</v>
      </c>
      <c r="C309" s="4" t="s">
        <v>897</v>
      </c>
      <c r="D309" s="5" t="n">
        <v>15933.94</v>
      </c>
      <c r="E309" s="6" t="s">
        <v>400</v>
      </c>
      <c r="F309" s="4" t="s">
        <v>401</v>
      </c>
      <c r="G309" s="6" t="n">
        <v>5</v>
      </c>
    </row>
    <row r="310" customFormat="false" ht="15" hidden="false" customHeight="false" outlineLevel="0" collapsed="false">
      <c r="A310" s="4" t="s">
        <v>898</v>
      </c>
      <c r="B310" s="4" t="s">
        <v>899</v>
      </c>
      <c r="C310" s="4" t="s">
        <v>900</v>
      </c>
      <c r="D310" s="5" t="n">
        <v>17314.94</v>
      </c>
      <c r="E310" s="6" t="s">
        <v>400</v>
      </c>
      <c r="F310" s="4" t="s">
        <v>401</v>
      </c>
      <c r="G310" s="6" t="n">
        <v>5</v>
      </c>
    </row>
    <row r="311" customFormat="false" ht="15" hidden="false" customHeight="false" outlineLevel="0" collapsed="false">
      <c r="A311" s="4" t="s">
        <v>901</v>
      </c>
      <c r="B311" s="4" t="s">
        <v>902</v>
      </c>
      <c r="C311" s="4" t="s">
        <v>903</v>
      </c>
      <c r="D311" s="5" t="n">
        <v>7014.77</v>
      </c>
      <c r="E311" s="6" t="s">
        <v>12</v>
      </c>
      <c r="F311" s="4" t="s">
        <v>13</v>
      </c>
      <c r="G311" s="6" t="n">
        <v>5</v>
      </c>
    </row>
    <row r="312" customFormat="false" ht="15" hidden="false" customHeight="false" outlineLevel="0" collapsed="false">
      <c r="A312" s="4" t="s">
        <v>904</v>
      </c>
      <c r="B312" s="4" t="s">
        <v>905</v>
      </c>
      <c r="C312" s="4" t="s">
        <v>906</v>
      </c>
      <c r="D312" s="5" t="n">
        <v>7742.86</v>
      </c>
      <c r="E312" s="6" t="s">
        <v>400</v>
      </c>
      <c r="F312" s="4" t="s">
        <v>401</v>
      </c>
      <c r="G312" s="6" t="n">
        <v>5</v>
      </c>
    </row>
    <row r="313" customFormat="false" ht="15" hidden="false" customHeight="false" outlineLevel="0" collapsed="false">
      <c r="A313" s="4" t="s">
        <v>907</v>
      </c>
      <c r="B313" s="4" t="s">
        <v>908</v>
      </c>
      <c r="C313" s="4" t="s">
        <v>909</v>
      </c>
      <c r="D313" s="5" t="n">
        <v>6773.53</v>
      </c>
      <c r="E313" s="6" t="s">
        <v>12</v>
      </c>
      <c r="F313" s="4" t="s">
        <v>13</v>
      </c>
      <c r="G313" s="6" t="n">
        <v>5</v>
      </c>
    </row>
    <row r="314" customFormat="false" ht="15" hidden="false" customHeight="false" outlineLevel="0" collapsed="false">
      <c r="A314" s="4" t="s">
        <v>910</v>
      </c>
      <c r="B314" s="4" t="s">
        <v>911</v>
      </c>
      <c r="C314" s="4" t="s">
        <v>912</v>
      </c>
      <c r="D314" s="5" t="n">
        <v>8522.21</v>
      </c>
      <c r="E314" s="6" t="s">
        <v>400</v>
      </c>
      <c r="F314" s="4" t="s">
        <v>401</v>
      </c>
      <c r="G314" s="6" t="n">
        <v>5</v>
      </c>
    </row>
    <row r="315" customFormat="false" ht="15" hidden="false" customHeight="false" outlineLevel="0" collapsed="false">
      <c r="A315" s="4" t="s">
        <v>913</v>
      </c>
      <c r="B315" s="4" t="s">
        <v>914</v>
      </c>
      <c r="C315" s="4" t="s">
        <v>915</v>
      </c>
      <c r="D315" s="5" t="n">
        <v>3994.09</v>
      </c>
      <c r="E315" s="6" t="s">
        <v>12</v>
      </c>
      <c r="F315" s="4" t="s">
        <v>13</v>
      </c>
      <c r="G315" s="6" t="n">
        <v>5</v>
      </c>
    </row>
    <row r="316" customFormat="false" ht="15" hidden="false" customHeight="false" outlineLevel="0" collapsed="false">
      <c r="A316" s="4" t="s">
        <v>916</v>
      </c>
      <c r="B316" s="4" t="s">
        <v>917</v>
      </c>
      <c r="C316" s="4" t="s">
        <v>918</v>
      </c>
      <c r="D316" s="5" t="n">
        <v>14288.79</v>
      </c>
      <c r="E316" s="6" t="s">
        <v>400</v>
      </c>
      <c r="F316" s="4" t="s">
        <v>401</v>
      </c>
      <c r="G316" s="6" t="n">
        <v>5</v>
      </c>
    </row>
    <row r="317" customFormat="false" ht="15" hidden="false" customHeight="false" outlineLevel="0" collapsed="false">
      <c r="A317" s="4" t="s">
        <v>919</v>
      </c>
      <c r="B317" s="4" t="s">
        <v>920</v>
      </c>
      <c r="C317" s="4" t="s">
        <v>921</v>
      </c>
      <c r="D317" s="5" t="n">
        <v>14500.03</v>
      </c>
      <c r="E317" s="6" t="s">
        <v>400</v>
      </c>
      <c r="F317" s="4" t="s">
        <v>401</v>
      </c>
      <c r="G317" s="6" t="n">
        <v>5</v>
      </c>
    </row>
    <row r="318" customFormat="false" ht="15" hidden="false" customHeight="false" outlineLevel="0" collapsed="false">
      <c r="A318" s="4" t="s">
        <v>922</v>
      </c>
      <c r="B318" s="4" t="s">
        <v>923</v>
      </c>
      <c r="C318" s="4" t="s">
        <v>924</v>
      </c>
      <c r="D318" s="5" t="n">
        <v>14611.1</v>
      </c>
      <c r="E318" s="6" t="s">
        <v>12</v>
      </c>
      <c r="F318" s="4" t="s">
        <v>13</v>
      </c>
      <c r="G318" s="6" t="n">
        <v>5</v>
      </c>
    </row>
    <row r="319" customFormat="false" ht="15" hidden="false" customHeight="false" outlineLevel="0" collapsed="false">
      <c r="A319" s="4" t="s">
        <v>925</v>
      </c>
      <c r="B319" s="4" t="s">
        <v>926</v>
      </c>
      <c r="C319" s="4" t="s">
        <v>927</v>
      </c>
      <c r="D319" s="5" t="n">
        <v>8641.11</v>
      </c>
      <c r="E319" s="6" t="s">
        <v>12</v>
      </c>
      <c r="F319" s="4" t="s">
        <v>13</v>
      </c>
      <c r="G319" s="6" t="n">
        <v>5</v>
      </c>
    </row>
    <row r="320" customFormat="false" ht="15" hidden="false" customHeight="false" outlineLevel="0" collapsed="false">
      <c r="A320" s="4" t="s">
        <v>928</v>
      </c>
      <c r="B320" s="4" t="s">
        <v>929</v>
      </c>
      <c r="C320" s="4" t="s">
        <v>930</v>
      </c>
      <c r="D320" s="5" t="n">
        <v>1038.26</v>
      </c>
      <c r="E320" s="6" t="s">
        <v>48</v>
      </c>
      <c r="F320" s="4" t="s">
        <v>49</v>
      </c>
      <c r="G320" s="6" t="n">
        <v>9</v>
      </c>
    </row>
    <row r="321" customFormat="false" ht="15" hidden="false" customHeight="false" outlineLevel="0" collapsed="false">
      <c r="A321" s="4" t="s">
        <v>931</v>
      </c>
      <c r="B321" s="4" t="s">
        <v>932</v>
      </c>
      <c r="C321" s="4" t="s">
        <v>933</v>
      </c>
      <c r="D321" s="5" t="n">
        <v>7375.99</v>
      </c>
      <c r="E321" s="6" t="s">
        <v>400</v>
      </c>
      <c r="F321" s="4" t="s">
        <v>401</v>
      </c>
      <c r="G321" s="6" t="n">
        <v>5</v>
      </c>
    </row>
    <row r="322" customFormat="false" ht="15" hidden="false" customHeight="false" outlineLevel="0" collapsed="false">
      <c r="A322" s="4" t="s">
        <v>934</v>
      </c>
      <c r="B322" s="4" t="s">
        <v>935</v>
      </c>
      <c r="C322" s="4" t="s">
        <v>936</v>
      </c>
      <c r="D322" s="5" t="n">
        <v>919.46</v>
      </c>
      <c r="E322" s="6" t="s">
        <v>48</v>
      </c>
      <c r="F322" s="4" t="s">
        <v>49</v>
      </c>
      <c r="G322" s="6" t="n">
        <v>7</v>
      </c>
    </row>
    <row r="323" customFormat="false" ht="15" hidden="false" customHeight="false" outlineLevel="0" collapsed="false">
      <c r="A323" s="4" t="s">
        <v>937</v>
      </c>
      <c r="B323" s="4" t="s">
        <v>938</v>
      </c>
      <c r="C323" s="4" t="s">
        <v>939</v>
      </c>
      <c r="D323" s="5" t="n">
        <v>4293.67</v>
      </c>
      <c r="E323" s="6" t="s">
        <v>48</v>
      </c>
      <c r="F323" s="4" t="s">
        <v>49</v>
      </c>
      <c r="G323" s="6" t="n">
        <v>9</v>
      </c>
    </row>
    <row r="324" customFormat="false" ht="15" hidden="false" customHeight="false" outlineLevel="0" collapsed="false">
      <c r="A324" s="4" t="s">
        <v>940</v>
      </c>
      <c r="B324" s="4" t="s">
        <v>941</v>
      </c>
      <c r="C324" s="4" t="s">
        <v>942</v>
      </c>
      <c r="D324" s="5" t="n">
        <v>929.12</v>
      </c>
      <c r="E324" s="6" t="s">
        <v>391</v>
      </c>
      <c r="F324" s="4" t="s">
        <v>392</v>
      </c>
      <c r="G324" s="6" t="n">
        <v>7</v>
      </c>
    </row>
    <row r="325" customFormat="false" ht="15" hidden="false" customHeight="false" outlineLevel="0" collapsed="false">
      <c r="A325" s="4" t="s">
        <v>943</v>
      </c>
      <c r="B325" s="4" t="s">
        <v>944</v>
      </c>
      <c r="C325" s="4" t="s">
        <v>942</v>
      </c>
      <c r="D325" s="5" t="n">
        <v>691.97</v>
      </c>
      <c r="E325" s="6" t="s">
        <v>466</v>
      </c>
      <c r="F325" s="4" t="s">
        <v>467</v>
      </c>
      <c r="G325" s="6" t="n">
        <v>5</v>
      </c>
    </row>
    <row r="326" customFormat="false" ht="15" hidden="false" customHeight="false" outlineLevel="0" collapsed="false">
      <c r="A326" s="4" t="s">
        <v>945</v>
      </c>
      <c r="B326" s="4" t="s">
        <v>946</v>
      </c>
      <c r="C326" s="4" t="s">
        <v>947</v>
      </c>
      <c r="D326" s="5" t="n">
        <v>3698.58</v>
      </c>
      <c r="E326" s="6" t="s">
        <v>400</v>
      </c>
      <c r="F326" s="4" t="s">
        <v>401</v>
      </c>
      <c r="G326" s="6" t="n">
        <v>6</v>
      </c>
    </row>
    <row r="327" customFormat="false" ht="15" hidden="false" customHeight="false" outlineLevel="0" collapsed="false">
      <c r="A327" s="4" t="s">
        <v>948</v>
      </c>
      <c r="B327" s="4" t="s">
        <v>949</v>
      </c>
      <c r="C327" s="4" t="s">
        <v>947</v>
      </c>
      <c r="D327" s="5" t="n">
        <v>2611.12</v>
      </c>
      <c r="E327" s="6" t="s">
        <v>391</v>
      </c>
      <c r="F327" s="4" t="s">
        <v>392</v>
      </c>
      <c r="G327" s="6" t="n">
        <v>8</v>
      </c>
    </row>
    <row r="328" customFormat="false" ht="15" hidden="false" customHeight="false" outlineLevel="0" collapsed="false">
      <c r="A328" s="4" t="s">
        <v>950</v>
      </c>
      <c r="B328" s="4" t="s">
        <v>951</v>
      </c>
      <c r="C328" s="4" t="s">
        <v>952</v>
      </c>
      <c r="D328" s="5" t="n">
        <v>3916.13</v>
      </c>
      <c r="E328" s="6" t="s">
        <v>400</v>
      </c>
      <c r="F328" s="4" t="s">
        <v>401</v>
      </c>
      <c r="G328" s="6" t="n">
        <v>6</v>
      </c>
    </row>
    <row r="329" customFormat="false" ht="15" hidden="false" customHeight="false" outlineLevel="0" collapsed="false">
      <c r="A329" s="4" t="s">
        <v>953</v>
      </c>
      <c r="B329" s="4" t="s">
        <v>954</v>
      </c>
      <c r="C329" s="4" t="s">
        <v>955</v>
      </c>
      <c r="D329" s="5" t="n">
        <v>3233.42</v>
      </c>
      <c r="E329" s="6" t="s">
        <v>12</v>
      </c>
      <c r="F329" s="4" t="s">
        <v>13</v>
      </c>
      <c r="G329" s="6" t="n">
        <v>5</v>
      </c>
    </row>
    <row r="330" customFormat="false" ht="15" hidden="false" customHeight="false" outlineLevel="0" collapsed="false">
      <c r="A330" s="4" t="s">
        <v>956</v>
      </c>
      <c r="B330" s="4" t="s">
        <v>957</v>
      </c>
      <c r="C330" s="4" t="s">
        <v>958</v>
      </c>
      <c r="D330" s="5" t="n">
        <v>5410.38</v>
      </c>
      <c r="E330" s="6" t="s">
        <v>12</v>
      </c>
      <c r="F330" s="4" t="s">
        <v>13</v>
      </c>
      <c r="G330" s="6" t="n">
        <v>5</v>
      </c>
    </row>
    <row r="331" customFormat="false" ht="15" hidden="false" customHeight="false" outlineLevel="0" collapsed="false">
      <c r="A331" s="4" t="s">
        <v>959</v>
      </c>
      <c r="B331" s="4" t="s">
        <v>960</v>
      </c>
      <c r="C331" s="4" t="s">
        <v>961</v>
      </c>
      <c r="D331" s="5" t="n">
        <v>7246.11</v>
      </c>
      <c r="E331" s="6" t="s">
        <v>400</v>
      </c>
      <c r="F331" s="4" t="s">
        <v>401</v>
      </c>
      <c r="G331" s="6" t="n">
        <v>5</v>
      </c>
    </row>
    <row r="332" customFormat="false" ht="15" hidden="false" customHeight="false" outlineLevel="0" collapsed="false">
      <c r="A332" s="4" t="s">
        <v>962</v>
      </c>
      <c r="B332" s="4" t="s">
        <v>963</v>
      </c>
      <c r="C332" s="4" t="s">
        <v>964</v>
      </c>
      <c r="D332" s="5" t="n">
        <v>7411.91</v>
      </c>
      <c r="E332" s="6" t="s">
        <v>400</v>
      </c>
      <c r="F332" s="4" t="s">
        <v>401</v>
      </c>
      <c r="G332" s="6" t="n">
        <v>5</v>
      </c>
    </row>
    <row r="333" customFormat="false" ht="15" hidden="false" customHeight="false" outlineLevel="0" collapsed="false">
      <c r="A333" s="4" t="s">
        <v>965</v>
      </c>
      <c r="B333" s="4" t="s">
        <v>966</v>
      </c>
      <c r="C333" s="4" t="s">
        <v>967</v>
      </c>
      <c r="D333" s="5" t="n">
        <v>6866.95</v>
      </c>
      <c r="E333" s="6" t="s">
        <v>12</v>
      </c>
      <c r="F333" s="4" t="s">
        <v>13</v>
      </c>
      <c r="G333" s="6" t="n">
        <v>4</v>
      </c>
    </row>
    <row r="334" customFormat="false" ht="15" hidden="false" customHeight="false" outlineLevel="0" collapsed="false">
      <c r="A334" s="4" t="s">
        <v>968</v>
      </c>
      <c r="B334" s="4" t="s">
        <v>969</v>
      </c>
      <c r="C334" s="4" t="s">
        <v>970</v>
      </c>
      <c r="D334" s="5" t="n">
        <v>5738.83</v>
      </c>
      <c r="E334" s="6" t="s">
        <v>12</v>
      </c>
      <c r="F334" s="4" t="s">
        <v>13</v>
      </c>
      <c r="G334" s="6" t="n">
        <v>5</v>
      </c>
    </row>
    <row r="335" customFormat="false" ht="15" hidden="false" customHeight="false" outlineLevel="0" collapsed="false">
      <c r="A335" s="4" t="s">
        <v>971</v>
      </c>
      <c r="B335" s="4" t="s">
        <v>972</v>
      </c>
      <c r="C335" s="4" t="s">
        <v>973</v>
      </c>
      <c r="D335" s="5" t="n">
        <v>5777.27</v>
      </c>
      <c r="E335" s="6" t="s">
        <v>12</v>
      </c>
      <c r="F335" s="4" t="s">
        <v>13</v>
      </c>
      <c r="G335" s="6" t="n">
        <v>5</v>
      </c>
    </row>
    <row r="336" customFormat="false" ht="15" hidden="false" customHeight="false" outlineLevel="0" collapsed="false">
      <c r="A336" s="4" t="s">
        <v>974</v>
      </c>
      <c r="B336" s="4" t="s">
        <v>975</v>
      </c>
      <c r="C336" s="4" t="s">
        <v>976</v>
      </c>
      <c r="D336" s="5" t="n">
        <v>2263.45</v>
      </c>
      <c r="E336" s="6" t="s">
        <v>12</v>
      </c>
      <c r="F336" s="4" t="s">
        <v>13</v>
      </c>
      <c r="G336" s="6" t="n">
        <v>5</v>
      </c>
    </row>
    <row r="337" customFormat="false" ht="15" hidden="false" customHeight="false" outlineLevel="0" collapsed="false">
      <c r="A337" s="4" t="s">
        <v>977</v>
      </c>
      <c r="B337" s="4" t="s">
        <v>978</v>
      </c>
      <c r="C337" s="4" t="s">
        <v>979</v>
      </c>
      <c r="D337" s="5" t="n">
        <v>10014.21</v>
      </c>
      <c r="E337" s="6" t="s">
        <v>12</v>
      </c>
      <c r="F337" s="4" t="s">
        <v>13</v>
      </c>
      <c r="G337" s="6" t="n">
        <v>5</v>
      </c>
    </row>
    <row r="338" customFormat="false" ht="15" hidden="false" customHeight="false" outlineLevel="0" collapsed="false">
      <c r="A338" s="4" t="s">
        <v>980</v>
      </c>
      <c r="B338" s="4" t="s">
        <v>981</v>
      </c>
      <c r="C338" s="4" t="s">
        <v>982</v>
      </c>
      <c r="D338" s="5" t="n">
        <v>18958.53</v>
      </c>
      <c r="E338" s="6" t="s">
        <v>12</v>
      </c>
      <c r="F338" s="4" t="s">
        <v>13</v>
      </c>
      <c r="G338" s="6" t="n">
        <v>5</v>
      </c>
    </row>
    <row r="339" customFormat="false" ht="15" hidden="false" customHeight="false" outlineLevel="0" collapsed="false">
      <c r="A339" s="4" t="s">
        <v>983</v>
      </c>
      <c r="B339" s="4" t="s">
        <v>984</v>
      </c>
      <c r="C339" s="4" t="s">
        <v>985</v>
      </c>
      <c r="D339" s="5" t="n">
        <v>1573.41</v>
      </c>
      <c r="E339" s="6" t="s">
        <v>12</v>
      </c>
      <c r="F339" s="4" t="s">
        <v>13</v>
      </c>
      <c r="G339" s="6" t="n">
        <v>5</v>
      </c>
    </row>
    <row r="340" customFormat="false" ht="15" hidden="false" customHeight="false" outlineLevel="0" collapsed="false">
      <c r="A340" s="4" t="s">
        <v>986</v>
      </c>
      <c r="B340" s="4" t="s">
        <v>987</v>
      </c>
      <c r="C340" s="4" t="s">
        <v>985</v>
      </c>
      <c r="D340" s="5" t="n">
        <v>1548.9</v>
      </c>
      <c r="E340" s="6" t="s">
        <v>105</v>
      </c>
      <c r="F340" s="4" t="s">
        <v>106</v>
      </c>
      <c r="G340" s="6" t="n">
        <v>1</v>
      </c>
    </row>
    <row r="341" customFormat="false" ht="15" hidden="false" customHeight="false" outlineLevel="0" collapsed="false">
      <c r="A341" s="4" t="s">
        <v>988</v>
      </c>
      <c r="B341" s="4" t="s">
        <v>989</v>
      </c>
      <c r="C341" s="4" t="s">
        <v>985</v>
      </c>
      <c r="D341" s="5" t="n">
        <v>1107.36</v>
      </c>
      <c r="E341" s="6" t="s">
        <v>105</v>
      </c>
      <c r="F341" s="4" t="s">
        <v>106</v>
      </c>
      <c r="G341" s="6" t="n">
        <v>1</v>
      </c>
    </row>
    <row r="342" customFormat="false" ht="15" hidden="false" customHeight="false" outlineLevel="0" collapsed="false">
      <c r="A342" s="4" t="s">
        <v>990</v>
      </c>
      <c r="B342" s="4" t="s">
        <v>991</v>
      </c>
      <c r="C342" s="4" t="s">
        <v>992</v>
      </c>
      <c r="D342" s="5" t="n">
        <v>19172.61</v>
      </c>
      <c r="E342" s="6" t="s">
        <v>400</v>
      </c>
      <c r="F342" s="4" t="s">
        <v>401</v>
      </c>
      <c r="G342" s="6" t="n">
        <v>5</v>
      </c>
    </row>
    <row r="343" customFormat="false" ht="15" hidden="false" customHeight="false" outlineLevel="0" collapsed="false">
      <c r="A343" s="4" t="s">
        <v>993</v>
      </c>
      <c r="B343" s="4" t="s">
        <v>994</v>
      </c>
      <c r="C343" s="4" t="s">
        <v>995</v>
      </c>
      <c r="D343" s="5" t="n">
        <v>5741.54</v>
      </c>
      <c r="E343" s="6" t="s">
        <v>400</v>
      </c>
      <c r="F343" s="4" t="s">
        <v>401</v>
      </c>
      <c r="G343" s="6" t="n">
        <v>5</v>
      </c>
    </row>
    <row r="344" customFormat="false" ht="15" hidden="false" customHeight="false" outlineLevel="0" collapsed="false">
      <c r="A344" s="4" t="s">
        <v>996</v>
      </c>
      <c r="B344" s="4" t="s">
        <v>997</v>
      </c>
      <c r="C344" s="4" t="s">
        <v>998</v>
      </c>
      <c r="D344" s="5" t="n">
        <v>70444.3</v>
      </c>
      <c r="E344" s="6" t="s">
        <v>12</v>
      </c>
      <c r="F344" s="4" t="s">
        <v>13</v>
      </c>
      <c r="G344" s="6" t="n">
        <v>5</v>
      </c>
    </row>
    <row r="345" customFormat="false" ht="15" hidden="false" customHeight="false" outlineLevel="0" collapsed="false">
      <c r="A345" s="4" t="s">
        <v>999</v>
      </c>
      <c r="B345" s="4" t="s">
        <v>1000</v>
      </c>
      <c r="C345" s="4" t="s">
        <v>1001</v>
      </c>
      <c r="D345" s="5" t="n">
        <v>3359.6</v>
      </c>
      <c r="E345" s="6" t="s">
        <v>12</v>
      </c>
      <c r="F345" s="4" t="s">
        <v>13</v>
      </c>
      <c r="G345" s="6" t="n">
        <v>5</v>
      </c>
    </row>
    <row r="346" customFormat="false" ht="15" hidden="false" customHeight="false" outlineLevel="0" collapsed="false">
      <c r="A346" s="4" t="s">
        <v>1002</v>
      </c>
      <c r="B346" s="4" t="s">
        <v>1003</v>
      </c>
      <c r="C346" s="4" t="s">
        <v>1004</v>
      </c>
      <c r="D346" s="5" t="n">
        <v>9931.26</v>
      </c>
      <c r="E346" s="6" t="s">
        <v>12</v>
      </c>
      <c r="F346" s="4" t="s">
        <v>13</v>
      </c>
      <c r="G346" s="6" t="n">
        <v>5</v>
      </c>
    </row>
    <row r="347" customFormat="false" ht="15" hidden="false" customHeight="false" outlineLevel="0" collapsed="false">
      <c r="A347" s="4" t="s">
        <v>1005</v>
      </c>
      <c r="B347" s="4" t="s">
        <v>1006</v>
      </c>
      <c r="C347" s="4" t="s">
        <v>1007</v>
      </c>
      <c r="D347" s="5" t="n">
        <v>4380.94</v>
      </c>
      <c r="E347" s="6" t="s">
        <v>12</v>
      </c>
      <c r="F347" s="4" t="s">
        <v>13</v>
      </c>
      <c r="G347" s="6" t="n">
        <v>5</v>
      </c>
    </row>
    <row r="348" customFormat="false" ht="15" hidden="false" customHeight="false" outlineLevel="0" collapsed="false">
      <c r="A348" s="4" t="s">
        <v>1008</v>
      </c>
      <c r="B348" s="4" t="s">
        <v>1009</v>
      </c>
      <c r="C348" s="4" t="s">
        <v>1010</v>
      </c>
      <c r="D348" s="5" t="n">
        <v>13035.21</v>
      </c>
      <c r="E348" s="6" t="s">
        <v>12</v>
      </c>
      <c r="F348" s="4" t="s">
        <v>13</v>
      </c>
      <c r="G348" s="6" t="n">
        <v>5</v>
      </c>
    </row>
    <row r="349" customFormat="false" ht="15" hidden="false" customHeight="false" outlineLevel="0" collapsed="false">
      <c r="A349" s="4" t="s">
        <v>1011</v>
      </c>
      <c r="B349" s="4" t="s">
        <v>1012</v>
      </c>
      <c r="C349" s="4" t="s">
        <v>1013</v>
      </c>
      <c r="D349" s="5" t="n">
        <v>6428.4</v>
      </c>
      <c r="E349" s="6" t="s">
        <v>12</v>
      </c>
      <c r="F349" s="4" t="s">
        <v>13</v>
      </c>
      <c r="G349" s="6" t="n">
        <v>5</v>
      </c>
    </row>
    <row r="350" customFormat="false" ht="15" hidden="false" customHeight="false" outlineLevel="0" collapsed="false">
      <c r="A350" s="4" t="s">
        <v>1014</v>
      </c>
      <c r="B350" s="4" t="s">
        <v>1015</v>
      </c>
      <c r="C350" s="4" t="s">
        <v>1016</v>
      </c>
      <c r="D350" s="5" t="n">
        <v>945.36</v>
      </c>
      <c r="E350" s="6" t="s">
        <v>12</v>
      </c>
      <c r="F350" s="4" t="s">
        <v>13</v>
      </c>
      <c r="G350" s="6" t="n">
        <v>5</v>
      </c>
    </row>
    <row r="351" customFormat="false" ht="15" hidden="false" customHeight="false" outlineLevel="0" collapsed="false">
      <c r="A351" s="4" t="s">
        <v>1017</v>
      </c>
      <c r="B351" s="4" t="s">
        <v>1018</v>
      </c>
      <c r="C351" s="4" t="s">
        <v>1019</v>
      </c>
      <c r="D351" s="5" t="n">
        <v>626.24</v>
      </c>
      <c r="E351" s="6" t="s">
        <v>48</v>
      </c>
      <c r="F351" s="4" t="s">
        <v>49</v>
      </c>
      <c r="G351" s="6" t="n">
        <v>7</v>
      </c>
    </row>
    <row r="352" customFormat="false" ht="15" hidden="false" customHeight="false" outlineLevel="0" collapsed="false">
      <c r="A352" s="4" t="s">
        <v>1020</v>
      </c>
      <c r="B352" s="4" t="s">
        <v>1021</v>
      </c>
      <c r="C352" s="4" t="s">
        <v>1022</v>
      </c>
      <c r="D352" s="5" t="n">
        <v>12302.59</v>
      </c>
      <c r="E352" s="6" t="s">
        <v>400</v>
      </c>
      <c r="F352" s="4" t="s">
        <v>401</v>
      </c>
      <c r="G352" s="6" t="n">
        <v>5</v>
      </c>
    </row>
    <row r="353" customFormat="false" ht="15" hidden="false" customHeight="false" outlineLevel="0" collapsed="false">
      <c r="A353" s="4" t="s">
        <v>1023</v>
      </c>
      <c r="B353" s="4" t="s">
        <v>1024</v>
      </c>
      <c r="C353" s="4" t="s">
        <v>1025</v>
      </c>
      <c r="D353" s="5" t="n">
        <v>5673.1</v>
      </c>
      <c r="E353" s="6" t="s">
        <v>400</v>
      </c>
      <c r="F353" s="4" t="s">
        <v>401</v>
      </c>
      <c r="G353" s="6" t="n">
        <v>5</v>
      </c>
    </row>
    <row r="354" customFormat="false" ht="15" hidden="false" customHeight="false" outlineLevel="0" collapsed="false">
      <c r="A354" s="4" t="s">
        <v>1026</v>
      </c>
      <c r="B354" s="4" t="s">
        <v>1027</v>
      </c>
      <c r="C354" s="4" t="s">
        <v>1028</v>
      </c>
      <c r="D354" s="5" t="n">
        <v>2357.93</v>
      </c>
      <c r="E354" s="6" t="s">
        <v>12</v>
      </c>
      <c r="F354" s="4" t="s">
        <v>13</v>
      </c>
      <c r="G354" s="6" t="n">
        <v>5</v>
      </c>
    </row>
    <row r="355" customFormat="false" ht="15" hidden="false" customHeight="false" outlineLevel="0" collapsed="false">
      <c r="A355" s="4" t="s">
        <v>1029</v>
      </c>
      <c r="B355" s="4" t="s">
        <v>1030</v>
      </c>
      <c r="C355" s="4" t="s">
        <v>1031</v>
      </c>
      <c r="D355" s="5" t="n">
        <v>7928.93</v>
      </c>
      <c r="E355" s="6" t="s">
        <v>400</v>
      </c>
      <c r="F355" s="4" t="s">
        <v>401</v>
      </c>
      <c r="G355" s="6" t="n">
        <v>5</v>
      </c>
    </row>
    <row r="356" customFormat="false" ht="15" hidden="false" customHeight="false" outlineLevel="0" collapsed="false">
      <c r="A356" s="4" t="s">
        <v>1032</v>
      </c>
      <c r="B356" s="4" t="s">
        <v>1033</v>
      </c>
      <c r="C356" s="4" t="s">
        <v>1034</v>
      </c>
      <c r="D356" s="5" t="n">
        <v>13298.38</v>
      </c>
      <c r="E356" s="6" t="s">
        <v>12</v>
      </c>
      <c r="F356" s="4" t="s">
        <v>13</v>
      </c>
      <c r="G356" s="6" t="n">
        <v>5</v>
      </c>
    </row>
    <row r="357" customFormat="false" ht="15" hidden="false" customHeight="false" outlineLevel="0" collapsed="false">
      <c r="A357" s="4" t="s">
        <v>1035</v>
      </c>
      <c r="B357" s="4" t="s">
        <v>1036</v>
      </c>
      <c r="C357" s="4" t="s">
        <v>1037</v>
      </c>
      <c r="D357" s="5" t="n">
        <v>5210.42</v>
      </c>
      <c r="E357" s="6" t="s">
        <v>12</v>
      </c>
      <c r="F357" s="4" t="s">
        <v>13</v>
      </c>
      <c r="G357" s="6" t="n">
        <v>5</v>
      </c>
    </row>
    <row r="358" customFormat="false" ht="15" hidden="false" customHeight="false" outlineLevel="0" collapsed="false">
      <c r="A358" s="4" t="s">
        <v>1038</v>
      </c>
      <c r="B358" s="4" t="s">
        <v>1039</v>
      </c>
      <c r="C358" s="4" t="s">
        <v>1040</v>
      </c>
      <c r="D358" s="5" t="n">
        <v>9993.82</v>
      </c>
      <c r="E358" s="6" t="s">
        <v>12</v>
      </c>
      <c r="F358" s="4" t="s">
        <v>13</v>
      </c>
      <c r="G358" s="6" t="n">
        <v>5</v>
      </c>
    </row>
    <row r="359" customFormat="false" ht="15" hidden="false" customHeight="false" outlineLevel="0" collapsed="false">
      <c r="A359" s="4" t="s">
        <v>1041</v>
      </c>
      <c r="B359" s="4" t="s">
        <v>1042</v>
      </c>
      <c r="C359" s="4" t="s">
        <v>1043</v>
      </c>
      <c r="D359" s="5" t="n">
        <v>24008.49</v>
      </c>
      <c r="E359" s="6" t="s">
        <v>12</v>
      </c>
      <c r="F359" s="4" t="s">
        <v>13</v>
      </c>
      <c r="G359" s="6" t="n">
        <v>5</v>
      </c>
    </row>
    <row r="360" customFormat="false" ht="15" hidden="false" customHeight="false" outlineLevel="0" collapsed="false">
      <c r="A360" s="4" t="s">
        <v>1044</v>
      </c>
      <c r="B360" s="4" t="s">
        <v>1045</v>
      </c>
      <c r="C360" s="4" t="s">
        <v>1046</v>
      </c>
      <c r="D360" s="5" t="n">
        <v>15990.14</v>
      </c>
      <c r="E360" s="6" t="s">
        <v>400</v>
      </c>
      <c r="F360" s="4" t="s">
        <v>401</v>
      </c>
      <c r="G360" s="6" t="n">
        <v>5</v>
      </c>
    </row>
    <row r="361" customFormat="false" ht="15" hidden="false" customHeight="false" outlineLevel="0" collapsed="false">
      <c r="A361" s="4" t="s">
        <v>1047</v>
      </c>
      <c r="B361" s="4" t="s">
        <v>1048</v>
      </c>
      <c r="C361" s="4" t="s">
        <v>1049</v>
      </c>
      <c r="D361" s="5" t="n">
        <v>778.89</v>
      </c>
      <c r="E361" s="6" t="s">
        <v>1050</v>
      </c>
      <c r="F361" s="4" t="s">
        <v>1051</v>
      </c>
      <c r="G361" s="6" t="n">
        <v>4</v>
      </c>
    </row>
    <row r="362" customFormat="false" ht="15" hidden="false" customHeight="false" outlineLevel="0" collapsed="false">
      <c r="A362" s="4" t="s">
        <v>1052</v>
      </c>
      <c r="B362" s="4" t="s">
        <v>1053</v>
      </c>
      <c r="C362" s="4" t="s">
        <v>1054</v>
      </c>
      <c r="D362" s="5" t="n">
        <v>1462.4</v>
      </c>
      <c r="E362" s="6" t="s">
        <v>1050</v>
      </c>
      <c r="F362" s="4" t="s">
        <v>1051</v>
      </c>
      <c r="G362" s="6" t="n">
        <v>4</v>
      </c>
    </row>
    <row r="363" customFormat="false" ht="15" hidden="false" customHeight="false" outlineLevel="0" collapsed="false">
      <c r="A363" s="4" t="s">
        <v>1055</v>
      </c>
      <c r="B363" s="4" t="s">
        <v>1056</v>
      </c>
      <c r="C363" s="4" t="s">
        <v>1054</v>
      </c>
      <c r="D363" s="5" t="n">
        <v>1462.4</v>
      </c>
      <c r="E363" s="6" t="s">
        <v>1050</v>
      </c>
      <c r="F363" s="4" t="s">
        <v>1051</v>
      </c>
      <c r="G363" s="6" t="n">
        <v>4</v>
      </c>
    </row>
    <row r="364" customFormat="false" ht="15" hidden="false" customHeight="false" outlineLevel="0" collapsed="false">
      <c r="A364" s="4" t="s">
        <v>1057</v>
      </c>
      <c r="B364" s="4" t="s">
        <v>1058</v>
      </c>
      <c r="C364" s="4" t="s">
        <v>1059</v>
      </c>
      <c r="D364" s="5" t="n">
        <v>859.23</v>
      </c>
      <c r="E364" s="6" t="s">
        <v>1050</v>
      </c>
      <c r="F364" s="4" t="s">
        <v>1051</v>
      </c>
      <c r="G364" s="6" t="n">
        <v>4</v>
      </c>
    </row>
    <row r="365" customFormat="false" ht="15" hidden="false" customHeight="false" outlineLevel="0" collapsed="false">
      <c r="A365" s="4" t="s">
        <v>1060</v>
      </c>
      <c r="B365" s="4" t="s">
        <v>1061</v>
      </c>
      <c r="C365" s="4" t="s">
        <v>1062</v>
      </c>
      <c r="D365" s="5" t="n">
        <v>1456.55</v>
      </c>
      <c r="E365" s="6" t="s">
        <v>1050</v>
      </c>
      <c r="F365" s="4" t="s">
        <v>1051</v>
      </c>
      <c r="G365" s="6" t="n">
        <v>4</v>
      </c>
    </row>
    <row r="366" customFormat="false" ht="15" hidden="false" customHeight="false" outlineLevel="0" collapsed="false">
      <c r="A366" s="4" t="s">
        <v>1063</v>
      </c>
      <c r="B366" s="4" t="s">
        <v>1064</v>
      </c>
      <c r="C366" s="4" t="s">
        <v>1065</v>
      </c>
      <c r="D366" s="5" t="n">
        <v>7781.27</v>
      </c>
      <c r="E366" s="6" t="s">
        <v>400</v>
      </c>
      <c r="F366" s="4" t="s">
        <v>401</v>
      </c>
      <c r="G366" s="6" t="n">
        <v>5</v>
      </c>
    </row>
    <row r="367" customFormat="false" ht="15" hidden="false" customHeight="false" outlineLevel="0" collapsed="false">
      <c r="A367" s="4" t="s">
        <v>1066</v>
      </c>
      <c r="B367" s="4" t="s">
        <v>1067</v>
      </c>
      <c r="C367" s="4" t="s">
        <v>1068</v>
      </c>
      <c r="D367" s="5" t="n">
        <v>1157.49</v>
      </c>
      <c r="E367" s="6" t="s">
        <v>48</v>
      </c>
      <c r="F367" s="4" t="s">
        <v>49</v>
      </c>
      <c r="G367" s="6" t="n">
        <v>8</v>
      </c>
    </row>
    <row r="368" customFormat="false" ht="15" hidden="false" customHeight="false" outlineLevel="0" collapsed="false">
      <c r="A368" s="4" t="s">
        <v>1069</v>
      </c>
      <c r="B368" s="4" t="s">
        <v>1070</v>
      </c>
      <c r="C368" s="4" t="s">
        <v>1068</v>
      </c>
      <c r="D368" s="5" t="n">
        <v>1198.75</v>
      </c>
      <c r="E368" s="6" t="s">
        <v>48</v>
      </c>
      <c r="F368" s="4" t="s">
        <v>49</v>
      </c>
      <c r="G368" s="6" t="n">
        <v>7</v>
      </c>
    </row>
    <row r="369" customFormat="false" ht="15" hidden="false" customHeight="false" outlineLevel="0" collapsed="false">
      <c r="A369" s="4" t="s">
        <v>1071</v>
      </c>
      <c r="B369" s="4" t="s">
        <v>1072</v>
      </c>
      <c r="C369" s="4" t="s">
        <v>1068</v>
      </c>
      <c r="D369" s="5" t="n">
        <v>8014.68</v>
      </c>
      <c r="E369" s="6" t="s">
        <v>400</v>
      </c>
      <c r="F369" s="4" t="s">
        <v>401</v>
      </c>
      <c r="G369" s="6" t="n">
        <v>5</v>
      </c>
    </row>
    <row r="370" customFormat="false" ht="15" hidden="false" customHeight="false" outlineLevel="0" collapsed="false">
      <c r="A370" s="4" t="s">
        <v>1073</v>
      </c>
      <c r="B370" s="4" t="s">
        <v>1074</v>
      </c>
      <c r="C370" s="4" t="s">
        <v>1075</v>
      </c>
      <c r="D370" s="5" t="n">
        <v>1341.15</v>
      </c>
      <c r="E370" s="6" t="s">
        <v>400</v>
      </c>
      <c r="F370" s="4" t="s">
        <v>401</v>
      </c>
      <c r="G370" s="6" t="n">
        <v>5</v>
      </c>
    </row>
    <row r="371" customFormat="false" ht="15" hidden="false" customHeight="false" outlineLevel="0" collapsed="false">
      <c r="A371" s="4" t="s">
        <v>1076</v>
      </c>
      <c r="B371" s="4" t="s">
        <v>1077</v>
      </c>
      <c r="C371" s="4" t="s">
        <v>1078</v>
      </c>
      <c r="D371" s="5" t="n">
        <v>4640.49</v>
      </c>
      <c r="E371" s="6" t="s">
        <v>12</v>
      </c>
      <c r="F371" s="4" t="s">
        <v>13</v>
      </c>
      <c r="G371" s="6" t="n">
        <v>5</v>
      </c>
    </row>
    <row r="372" customFormat="false" ht="15" hidden="false" customHeight="false" outlineLevel="0" collapsed="false">
      <c r="A372" s="4" t="s">
        <v>1079</v>
      </c>
      <c r="B372" s="4" t="s">
        <v>1080</v>
      </c>
      <c r="C372" s="4" t="s">
        <v>1081</v>
      </c>
      <c r="D372" s="5" t="n">
        <v>4818.27</v>
      </c>
      <c r="E372" s="6" t="s">
        <v>12</v>
      </c>
      <c r="F372" s="4" t="s">
        <v>13</v>
      </c>
      <c r="G372" s="6" t="n">
        <v>5</v>
      </c>
    </row>
    <row r="373" customFormat="false" ht="15" hidden="false" customHeight="false" outlineLevel="0" collapsed="false">
      <c r="A373" s="4" t="s">
        <v>1082</v>
      </c>
      <c r="B373" s="4" t="s">
        <v>1083</v>
      </c>
      <c r="C373" s="4" t="s">
        <v>1084</v>
      </c>
      <c r="D373" s="5" t="n">
        <v>9440.79</v>
      </c>
      <c r="E373" s="6" t="s">
        <v>12</v>
      </c>
      <c r="F373" s="4" t="s">
        <v>13</v>
      </c>
      <c r="G373" s="6" t="n">
        <v>5</v>
      </c>
    </row>
    <row r="374" customFormat="false" ht="15" hidden="false" customHeight="false" outlineLevel="0" collapsed="false">
      <c r="A374" s="4" t="s">
        <v>1085</v>
      </c>
      <c r="B374" s="4" t="s">
        <v>1086</v>
      </c>
      <c r="C374" s="4" t="s">
        <v>1087</v>
      </c>
      <c r="D374" s="5" t="n">
        <v>1507.29</v>
      </c>
      <c r="E374" s="6" t="s">
        <v>12</v>
      </c>
      <c r="F374" s="4" t="s">
        <v>13</v>
      </c>
      <c r="G374" s="6" t="n">
        <v>5</v>
      </c>
    </row>
    <row r="375" customFormat="false" ht="15" hidden="false" customHeight="false" outlineLevel="0" collapsed="false">
      <c r="A375" s="4" t="s">
        <v>1088</v>
      </c>
      <c r="B375" s="4" t="s">
        <v>1089</v>
      </c>
      <c r="C375" s="4" t="s">
        <v>1090</v>
      </c>
      <c r="D375" s="5" t="n">
        <v>9477.13</v>
      </c>
      <c r="E375" s="6" t="s">
        <v>12</v>
      </c>
      <c r="F375" s="4" t="s">
        <v>13</v>
      </c>
      <c r="G375" s="6" t="n">
        <v>5</v>
      </c>
    </row>
    <row r="376" customFormat="false" ht="15" hidden="false" customHeight="false" outlineLevel="0" collapsed="false">
      <c r="A376" s="4" t="s">
        <v>1091</v>
      </c>
      <c r="B376" s="4" t="s">
        <v>1092</v>
      </c>
      <c r="C376" s="4" t="s">
        <v>1093</v>
      </c>
      <c r="D376" s="5" t="n">
        <v>6077.17</v>
      </c>
      <c r="E376" s="6" t="s">
        <v>12</v>
      </c>
      <c r="F376" s="4" t="s">
        <v>13</v>
      </c>
      <c r="G376" s="6" t="n">
        <v>5</v>
      </c>
    </row>
    <row r="377" customFormat="false" ht="15" hidden="false" customHeight="false" outlineLevel="0" collapsed="false">
      <c r="A377" s="4" t="s">
        <v>1094</v>
      </c>
      <c r="B377" s="4" t="s">
        <v>1095</v>
      </c>
      <c r="C377" s="4" t="s">
        <v>1096</v>
      </c>
      <c r="D377" s="5" t="n">
        <v>4531.6</v>
      </c>
      <c r="E377" s="6" t="s">
        <v>400</v>
      </c>
      <c r="F377" s="4" t="s">
        <v>401</v>
      </c>
      <c r="G377" s="6" t="n">
        <v>5</v>
      </c>
    </row>
    <row r="378" customFormat="false" ht="15" hidden="false" customHeight="false" outlineLevel="0" collapsed="false">
      <c r="A378" s="4" t="s">
        <v>1097</v>
      </c>
      <c r="B378" s="4" t="s">
        <v>1098</v>
      </c>
      <c r="C378" s="4" t="s">
        <v>1099</v>
      </c>
      <c r="D378" s="5" t="n">
        <v>1246.83</v>
      </c>
      <c r="E378" s="6" t="s">
        <v>48</v>
      </c>
      <c r="F378" s="4" t="s">
        <v>49</v>
      </c>
      <c r="G378" s="6" t="n">
        <v>8</v>
      </c>
    </row>
    <row r="379" customFormat="false" ht="15" hidden="false" customHeight="false" outlineLevel="0" collapsed="false">
      <c r="A379" s="4" t="s">
        <v>1100</v>
      </c>
      <c r="B379" s="4" t="s">
        <v>1101</v>
      </c>
      <c r="C379" s="4" t="s">
        <v>1102</v>
      </c>
      <c r="D379" s="5" t="n">
        <v>4960.59</v>
      </c>
      <c r="E379" s="6" t="s">
        <v>12</v>
      </c>
      <c r="F379" s="4" t="s">
        <v>13</v>
      </c>
      <c r="G379" s="6" t="n">
        <v>6</v>
      </c>
    </row>
    <row r="380" customFormat="false" ht="15" hidden="false" customHeight="false" outlineLevel="0" collapsed="false">
      <c r="A380" s="4" t="s">
        <v>1103</v>
      </c>
      <c r="B380" s="4" t="s">
        <v>1104</v>
      </c>
      <c r="C380" s="4" t="s">
        <v>1105</v>
      </c>
      <c r="D380" s="5" t="n">
        <v>9542.32</v>
      </c>
      <c r="E380" s="6" t="s">
        <v>12</v>
      </c>
      <c r="F380" s="4" t="s">
        <v>13</v>
      </c>
      <c r="G380" s="6" t="n">
        <v>5</v>
      </c>
    </row>
    <row r="381" customFormat="false" ht="15" hidden="false" customHeight="false" outlineLevel="0" collapsed="false">
      <c r="A381" s="4" t="s">
        <v>1106</v>
      </c>
      <c r="B381" s="4" t="s">
        <v>1107</v>
      </c>
      <c r="C381" s="4" t="s">
        <v>1108</v>
      </c>
      <c r="D381" s="5" t="n">
        <v>4369.28</v>
      </c>
      <c r="E381" s="6" t="s">
        <v>400</v>
      </c>
      <c r="F381" s="4" t="s">
        <v>401</v>
      </c>
      <c r="G381" s="6" t="n">
        <v>5</v>
      </c>
    </row>
    <row r="382" customFormat="false" ht="15" hidden="false" customHeight="false" outlineLevel="0" collapsed="false">
      <c r="A382" s="4" t="s">
        <v>1109</v>
      </c>
      <c r="B382" s="4" t="s">
        <v>1110</v>
      </c>
      <c r="C382" s="4" t="s">
        <v>1111</v>
      </c>
      <c r="D382" s="5" t="n">
        <v>3520.86</v>
      </c>
      <c r="E382" s="6" t="s">
        <v>12</v>
      </c>
      <c r="F382" s="4" t="s">
        <v>13</v>
      </c>
      <c r="G382" s="6" t="n">
        <v>5</v>
      </c>
    </row>
    <row r="383" customFormat="false" ht="15" hidden="false" customHeight="false" outlineLevel="0" collapsed="false">
      <c r="A383" s="4" t="s">
        <v>1112</v>
      </c>
      <c r="B383" s="4" t="s">
        <v>1113</v>
      </c>
      <c r="C383" s="4" t="s">
        <v>1114</v>
      </c>
      <c r="D383" s="5" t="n">
        <v>7066.12</v>
      </c>
      <c r="E383" s="6" t="s">
        <v>12</v>
      </c>
      <c r="F383" s="4" t="s">
        <v>13</v>
      </c>
      <c r="G383" s="6" t="n">
        <v>5</v>
      </c>
    </row>
    <row r="384" customFormat="false" ht="15" hidden="false" customHeight="false" outlineLevel="0" collapsed="false">
      <c r="A384" s="4" t="s">
        <v>1115</v>
      </c>
      <c r="B384" s="4" t="s">
        <v>1116</v>
      </c>
      <c r="C384" s="4" t="s">
        <v>1117</v>
      </c>
      <c r="D384" s="5" t="n">
        <v>2772.05</v>
      </c>
      <c r="E384" s="6" t="s">
        <v>12</v>
      </c>
      <c r="F384" s="4" t="s">
        <v>13</v>
      </c>
      <c r="G384" s="6" t="n">
        <v>5</v>
      </c>
    </row>
    <row r="385" customFormat="false" ht="15" hidden="false" customHeight="false" outlineLevel="0" collapsed="false">
      <c r="A385" s="4" t="s">
        <v>1118</v>
      </c>
      <c r="B385" s="4" t="s">
        <v>1119</v>
      </c>
      <c r="C385" s="4" t="s">
        <v>1120</v>
      </c>
      <c r="D385" s="5" t="n">
        <v>9010.51</v>
      </c>
      <c r="E385" s="6" t="s">
        <v>12</v>
      </c>
      <c r="F385" s="4" t="s">
        <v>13</v>
      </c>
      <c r="G385" s="6" t="n">
        <v>5</v>
      </c>
    </row>
    <row r="386" customFormat="false" ht="15" hidden="false" customHeight="false" outlineLevel="0" collapsed="false">
      <c r="A386" s="4" t="s">
        <v>1121</v>
      </c>
      <c r="B386" s="4" t="s">
        <v>1122</v>
      </c>
      <c r="C386" s="4" t="s">
        <v>1123</v>
      </c>
      <c r="D386" s="5" t="n">
        <v>5796.51</v>
      </c>
      <c r="E386" s="6" t="s">
        <v>12</v>
      </c>
      <c r="F386" s="4" t="s">
        <v>13</v>
      </c>
      <c r="G386" s="6" t="n">
        <v>6</v>
      </c>
    </row>
    <row r="387" customFormat="false" ht="15" hidden="false" customHeight="false" outlineLevel="0" collapsed="false">
      <c r="A387" s="4" t="s">
        <v>1124</v>
      </c>
      <c r="B387" s="4" t="s">
        <v>1125</v>
      </c>
      <c r="C387" s="4" t="s">
        <v>1126</v>
      </c>
      <c r="D387" s="5" t="n">
        <v>8300.45</v>
      </c>
      <c r="E387" s="6" t="s">
        <v>400</v>
      </c>
      <c r="F387" s="4" t="s">
        <v>401</v>
      </c>
      <c r="G387" s="6" t="n">
        <v>5</v>
      </c>
    </row>
    <row r="388" customFormat="false" ht="15" hidden="false" customHeight="false" outlineLevel="0" collapsed="false">
      <c r="A388" s="4" t="s">
        <v>1127</v>
      </c>
      <c r="B388" s="4" t="s">
        <v>1128</v>
      </c>
      <c r="C388" s="4" t="s">
        <v>1129</v>
      </c>
      <c r="D388" s="5" t="n">
        <v>151.77</v>
      </c>
      <c r="E388" s="6" t="s">
        <v>466</v>
      </c>
      <c r="F388" s="4" t="s">
        <v>467</v>
      </c>
      <c r="G388" s="6" t="n">
        <v>8</v>
      </c>
    </row>
    <row r="389" customFormat="false" ht="15" hidden="false" customHeight="false" outlineLevel="0" collapsed="false">
      <c r="A389" s="4" t="s">
        <v>1130</v>
      </c>
      <c r="B389" s="4" t="s">
        <v>1131</v>
      </c>
      <c r="C389" s="4" t="s">
        <v>1132</v>
      </c>
      <c r="D389" s="5" t="n">
        <v>955.56</v>
      </c>
      <c r="E389" s="6" t="s">
        <v>48</v>
      </c>
      <c r="F389" s="4" t="s">
        <v>49</v>
      </c>
      <c r="G389" s="6" t="n">
        <v>7</v>
      </c>
    </row>
    <row r="390" customFormat="false" ht="15" hidden="false" customHeight="false" outlineLevel="0" collapsed="false">
      <c r="A390" s="4" t="s">
        <v>1133</v>
      </c>
      <c r="B390" s="4" t="s">
        <v>1134</v>
      </c>
      <c r="C390" s="4" t="s">
        <v>1135</v>
      </c>
      <c r="D390" s="5" t="n">
        <v>3488.87</v>
      </c>
      <c r="E390" s="6" t="s">
        <v>12</v>
      </c>
      <c r="F390" s="4" t="s">
        <v>13</v>
      </c>
      <c r="G390" s="6" t="n">
        <v>5</v>
      </c>
    </row>
    <row r="391" customFormat="false" ht="15" hidden="false" customHeight="false" outlineLevel="0" collapsed="false">
      <c r="A391" s="4" t="s">
        <v>1136</v>
      </c>
      <c r="B391" s="4" t="s">
        <v>1137</v>
      </c>
      <c r="C391" s="4" t="s">
        <v>1138</v>
      </c>
      <c r="D391" s="5" t="n">
        <v>4412.87</v>
      </c>
      <c r="E391" s="6" t="s">
        <v>12</v>
      </c>
      <c r="F391" s="4" t="s">
        <v>13</v>
      </c>
      <c r="G391" s="6" t="n">
        <v>5</v>
      </c>
    </row>
    <row r="392" customFormat="false" ht="15" hidden="false" customHeight="false" outlineLevel="0" collapsed="false">
      <c r="A392" s="4" t="s">
        <v>1139</v>
      </c>
      <c r="B392" s="4" t="s">
        <v>1140</v>
      </c>
      <c r="C392" s="4" t="s">
        <v>1141</v>
      </c>
      <c r="D392" s="5" t="n">
        <v>2900.82</v>
      </c>
      <c r="E392" s="6" t="s">
        <v>12</v>
      </c>
      <c r="F392" s="4" t="s">
        <v>13</v>
      </c>
      <c r="G392" s="6" t="n">
        <v>5</v>
      </c>
    </row>
    <row r="393" customFormat="false" ht="15" hidden="false" customHeight="false" outlineLevel="0" collapsed="false">
      <c r="A393" s="4" t="s">
        <v>1142</v>
      </c>
      <c r="B393" s="4" t="s">
        <v>1143</v>
      </c>
      <c r="C393" s="4" t="s">
        <v>1144</v>
      </c>
      <c r="D393" s="5" t="n">
        <v>1972.02</v>
      </c>
      <c r="E393" s="6" t="s">
        <v>391</v>
      </c>
      <c r="F393" s="4" t="s">
        <v>392</v>
      </c>
      <c r="G393" s="6" t="n">
        <v>9</v>
      </c>
    </row>
    <row r="394" customFormat="false" ht="15" hidden="false" customHeight="false" outlineLevel="0" collapsed="false">
      <c r="A394" s="4" t="s">
        <v>1145</v>
      </c>
      <c r="B394" s="4" t="s">
        <v>1146</v>
      </c>
      <c r="C394" s="4" t="s">
        <v>1144</v>
      </c>
      <c r="D394" s="5" t="n">
        <v>1879.63</v>
      </c>
      <c r="E394" s="6" t="s">
        <v>48</v>
      </c>
      <c r="F394" s="4" t="s">
        <v>49</v>
      </c>
      <c r="G394" s="6" t="n">
        <v>8</v>
      </c>
    </row>
    <row r="395" customFormat="false" ht="15" hidden="false" customHeight="false" outlineLevel="0" collapsed="false">
      <c r="A395" s="4" t="s">
        <v>1147</v>
      </c>
      <c r="B395" s="4" t="s">
        <v>1148</v>
      </c>
      <c r="C395" s="4" t="s">
        <v>1149</v>
      </c>
      <c r="D395" s="5" t="n">
        <v>5336.8</v>
      </c>
      <c r="E395" s="6" t="s">
        <v>12</v>
      </c>
      <c r="F395" s="4" t="s">
        <v>13</v>
      </c>
      <c r="G395" s="6" t="n">
        <v>6</v>
      </c>
    </row>
    <row r="396" customFormat="false" ht="15" hidden="false" customHeight="false" outlineLevel="0" collapsed="false">
      <c r="A396" s="4" t="s">
        <v>1150</v>
      </c>
      <c r="B396" s="4" t="s">
        <v>1151</v>
      </c>
      <c r="C396" s="4" t="s">
        <v>1152</v>
      </c>
      <c r="D396" s="5" t="n">
        <v>1140.49</v>
      </c>
      <c r="E396" s="6" t="s">
        <v>48</v>
      </c>
      <c r="F396" s="4" t="s">
        <v>49</v>
      </c>
      <c r="G396" s="6" t="n">
        <v>9</v>
      </c>
    </row>
    <row r="397" customFormat="false" ht="15" hidden="false" customHeight="false" outlineLevel="0" collapsed="false">
      <c r="A397" s="4" t="s">
        <v>1153</v>
      </c>
      <c r="B397" s="4" t="s">
        <v>1154</v>
      </c>
      <c r="C397" s="4" t="s">
        <v>1152</v>
      </c>
      <c r="D397" s="5" t="n">
        <v>1140.49</v>
      </c>
      <c r="E397" s="6" t="s">
        <v>48</v>
      </c>
      <c r="F397" s="4" t="s">
        <v>49</v>
      </c>
      <c r="G397" s="6" t="n">
        <v>8</v>
      </c>
    </row>
    <row r="398" customFormat="false" ht="15" hidden="false" customHeight="false" outlineLevel="0" collapsed="false">
      <c r="A398" s="4" t="s">
        <v>1155</v>
      </c>
      <c r="B398" s="4" t="s">
        <v>1156</v>
      </c>
      <c r="C398" s="4" t="s">
        <v>1157</v>
      </c>
      <c r="D398" s="5" t="n">
        <v>8478.66</v>
      </c>
      <c r="E398" s="6" t="s">
        <v>400</v>
      </c>
      <c r="F398" s="4" t="s">
        <v>401</v>
      </c>
      <c r="G398" s="6" t="n">
        <v>5</v>
      </c>
    </row>
    <row r="399" customFormat="false" ht="15" hidden="false" customHeight="false" outlineLevel="0" collapsed="false">
      <c r="A399" s="4" t="s">
        <v>1158</v>
      </c>
      <c r="B399" s="4" t="s">
        <v>1159</v>
      </c>
      <c r="C399" s="4" t="s">
        <v>1157</v>
      </c>
      <c r="D399" s="5" t="n">
        <v>8810.01</v>
      </c>
      <c r="E399" s="6" t="s">
        <v>400</v>
      </c>
      <c r="F399" s="4" t="s">
        <v>401</v>
      </c>
      <c r="G399" s="6" t="n">
        <v>6</v>
      </c>
    </row>
    <row r="400" customFormat="false" ht="15" hidden="false" customHeight="false" outlineLevel="0" collapsed="false">
      <c r="A400" s="4" t="s">
        <v>1160</v>
      </c>
      <c r="B400" s="4" t="s">
        <v>1161</v>
      </c>
      <c r="C400" s="4" t="s">
        <v>958</v>
      </c>
      <c r="D400" s="5" t="n">
        <v>1371.17</v>
      </c>
      <c r="E400" s="6" t="s">
        <v>12</v>
      </c>
      <c r="F400" s="4" t="s">
        <v>13</v>
      </c>
      <c r="G400" s="6" t="n">
        <v>5</v>
      </c>
    </row>
    <row r="401" customFormat="false" ht="15" hidden="false" customHeight="false" outlineLevel="0" collapsed="false">
      <c r="A401" s="4" t="s">
        <v>1162</v>
      </c>
      <c r="B401" s="4" t="s">
        <v>1163</v>
      </c>
      <c r="C401" s="4" t="s">
        <v>1164</v>
      </c>
      <c r="D401" s="5" t="n">
        <v>1090.58</v>
      </c>
      <c r="E401" s="6" t="s">
        <v>105</v>
      </c>
      <c r="F401" s="4" t="s">
        <v>106</v>
      </c>
      <c r="G401" s="6" t="n">
        <v>1</v>
      </c>
    </row>
    <row r="402" customFormat="false" ht="15" hidden="false" customHeight="false" outlineLevel="0" collapsed="false">
      <c r="A402" s="4" t="s">
        <v>1165</v>
      </c>
      <c r="B402" s="4" t="s">
        <v>1166</v>
      </c>
      <c r="C402" s="4" t="s">
        <v>1167</v>
      </c>
      <c r="D402" s="5" t="n">
        <v>623.13</v>
      </c>
      <c r="E402" s="6" t="s">
        <v>466</v>
      </c>
      <c r="F402" s="4" t="s">
        <v>467</v>
      </c>
      <c r="G402" s="6" t="n">
        <v>6</v>
      </c>
    </row>
    <row r="403" customFormat="false" ht="15" hidden="false" customHeight="false" outlineLevel="0" collapsed="false">
      <c r="A403" s="4" t="s">
        <v>1168</v>
      </c>
      <c r="B403" s="4" t="s">
        <v>1169</v>
      </c>
      <c r="C403" s="4" t="s">
        <v>1170</v>
      </c>
      <c r="D403" s="5" t="n">
        <v>1229.13</v>
      </c>
      <c r="E403" s="6" t="s">
        <v>48</v>
      </c>
      <c r="F403" s="4" t="s">
        <v>49</v>
      </c>
      <c r="G403" s="6" t="n">
        <v>9</v>
      </c>
    </row>
    <row r="404" customFormat="false" ht="15" hidden="false" customHeight="false" outlineLevel="0" collapsed="false">
      <c r="A404" s="4" t="s">
        <v>1171</v>
      </c>
      <c r="B404" s="4" t="s">
        <v>1172</v>
      </c>
      <c r="C404" s="4" t="s">
        <v>1173</v>
      </c>
      <c r="D404" s="5" t="n">
        <v>8633.57</v>
      </c>
      <c r="E404" s="6" t="s">
        <v>12</v>
      </c>
      <c r="F404" s="4" t="s">
        <v>13</v>
      </c>
      <c r="G404" s="6" t="n">
        <v>5</v>
      </c>
    </row>
    <row r="405" customFormat="false" ht="15" hidden="false" customHeight="false" outlineLevel="0" collapsed="false">
      <c r="A405" s="4" t="s">
        <v>1174</v>
      </c>
      <c r="B405" s="4" t="s">
        <v>1175</v>
      </c>
      <c r="C405" s="4" t="s">
        <v>1176</v>
      </c>
      <c r="D405" s="5" t="n">
        <v>1208.28</v>
      </c>
      <c r="E405" s="6" t="s">
        <v>48</v>
      </c>
      <c r="F405" s="4" t="s">
        <v>49</v>
      </c>
      <c r="G405" s="6" t="n">
        <v>7</v>
      </c>
    </row>
    <row r="406" customFormat="false" ht="15" hidden="false" customHeight="false" outlineLevel="0" collapsed="false">
      <c r="A406" s="4" t="s">
        <v>1177</v>
      </c>
      <c r="B406" s="4" t="s">
        <v>1178</v>
      </c>
      <c r="C406" s="4" t="s">
        <v>1176</v>
      </c>
      <c r="D406" s="5" t="n">
        <v>566.83</v>
      </c>
      <c r="E406" s="6" t="s">
        <v>105</v>
      </c>
      <c r="F406" s="4" t="s">
        <v>106</v>
      </c>
      <c r="G406" s="6" t="n">
        <v>1</v>
      </c>
    </row>
    <row r="407" customFormat="false" ht="15" hidden="false" customHeight="false" outlineLevel="0" collapsed="false">
      <c r="A407" s="4" t="s">
        <v>1179</v>
      </c>
      <c r="B407" s="4" t="s">
        <v>1180</v>
      </c>
      <c r="C407" s="4" t="s">
        <v>1181</v>
      </c>
      <c r="D407" s="5" t="n">
        <v>9932.77</v>
      </c>
      <c r="E407" s="6" t="s">
        <v>12</v>
      </c>
      <c r="F407" s="4" t="s">
        <v>13</v>
      </c>
      <c r="G407" s="6" t="n">
        <v>5</v>
      </c>
    </row>
    <row r="408" customFormat="false" ht="15" hidden="false" customHeight="false" outlineLevel="0" collapsed="false">
      <c r="A408" s="4" t="s">
        <v>1182</v>
      </c>
      <c r="B408" s="4" t="s">
        <v>1183</v>
      </c>
      <c r="C408" s="4" t="s">
        <v>1184</v>
      </c>
      <c r="D408" s="5" t="n">
        <v>7332.15</v>
      </c>
      <c r="E408" s="6" t="s">
        <v>12</v>
      </c>
      <c r="F408" s="4" t="s">
        <v>13</v>
      </c>
      <c r="G408" s="6" t="n">
        <v>5</v>
      </c>
    </row>
    <row r="409" customFormat="false" ht="15" hidden="false" customHeight="false" outlineLevel="0" collapsed="false">
      <c r="A409" s="4" t="s">
        <v>1185</v>
      </c>
      <c r="B409" s="4" t="s">
        <v>1186</v>
      </c>
      <c r="C409" s="4" t="s">
        <v>1187</v>
      </c>
      <c r="D409" s="5" t="n">
        <v>7769.61</v>
      </c>
      <c r="E409" s="6" t="s">
        <v>12</v>
      </c>
      <c r="F409" s="4" t="s">
        <v>13</v>
      </c>
      <c r="G409" s="6" t="n">
        <v>5</v>
      </c>
    </row>
    <row r="410" customFormat="false" ht="15" hidden="false" customHeight="false" outlineLevel="0" collapsed="false">
      <c r="A410" s="4" t="s">
        <v>1188</v>
      </c>
      <c r="B410" s="4" t="s">
        <v>1189</v>
      </c>
      <c r="C410" s="4" t="s">
        <v>1190</v>
      </c>
      <c r="D410" s="5" t="n">
        <v>4756.98</v>
      </c>
      <c r="E410" s="6" t="s">
        <v>12</v>
      </c>
      <c r="F410" s="4" t="s">
        <v>13</v>
      </c>
      <c r="G410" s="6" t="n">
        <v>5</v>
      </c>
    </row>
    <row r="411" customFormat="false" ht="15" hidden="false" customHeight="false" outlineLevel="0" collapsed="false">
      <c r="A411" s="4" t="s">
        <v>1191</v>
      </c>
      <c r="B411" s="4" t="s">
        <v>1192</v>
      </c>
      <c r="C411" s="4" t="s">
        <v>1193</v>
      </c>
      <c r="D411" s="5" t="n">
        <v>6071.85</v>
      </c>
      <c r="E411" s="6" t="s">
        <v>12</v>
      </c>
      <c r="F411" s="4" t="s">
        <v>13</v>
      </c>
      <c r="G411" s="6" t="n">
        <v>5</v>
      </c>
    </row>
    <row r="412" customFormat="false" ht="15" hidden="false" customHeight="false" outlineLevel="0" collapsed="false">
      <c r="A412" s="4" t="s">
        <v>1194</v>
      </c>
      <c r="B412" s="4" t="s">
        <v>1195</v>
      </c>
      <c r="C412" s="4" t="s">
        <v>1196</v>
      </c>
      <c r="D412" s="5" t="n">
        <v>3603.88</v>
      </c>
      <c r="E412" s="6" t="s">
        <v>12</v>
      </c>
      <c r="F412" s="4" t="s">
        <v>13</v>
      </c>
      <c r="G412" s="6" t="n">
        <v>5</v>
      </c>
    </row>
    <row r="413" customFormat="false" ht="15" hidden="false" customHeight="false" outlineLevel="0" collapsed="false">
      <c r="A413" s="4" t="s">
        <v>1197</v>
      </c>
      <c r="B413" s="4" t="s">
        <v>1198</v>
      </c>
      <c r="C413" s="4" t="s">
        <v>823</v>
      </c>
      <c r="D413" s="5" t="n">
        <v>2438.08</v>
      </c>
      <c r="E413" s="6" t="s">
        <v>12</v>
      </c>
      <c r="F413" s="4" t="s">
        <v>13</v>
      </c>
      <c r="G413" s="6" t="n">
        <v>5</v>
      </c>
    </row>
    <row r="414" customFormat="false" ht="15" hidden="false" customHeight="false" outlineLevel="0" collapsed="false">
      <c r="A414" s="4" t="s">
        <v>1199</v>
      </c>
      <c r="B414" s="4" t="s">
        <v>1200</v>
      </c>
      <c r="C414" s="4" t="s">
        <v>1201</v>
      </c>
      <c r="D414" s="5" t="n">
        <v>27305.74</v>
      </c>
      <c r="E414" s="6" t="s">
        <v>12</v>
      </c>
      <c r="F414" s="4" t="s">
        <v>13</v>
      </c>
      <c r="G414" s="6" t="n">
        <v>5</v>
      </c>
    </row>
    <row r="415" customFormat="false" ht="15" hidden="false" customHeight="false" outlineLevel="0" collapsed="false">
      <c r="A415" s="4" t="s">
        <v>1202</v>
      </c>
      <c r="B415" s="4" t="s">
        <v>1203</v>
      </c>
      <c r="C415" s="4" t="s">
        <v>1204</v>
      </c>
      <c r="D415" s="5" t="n">
        <v>741.63</v>
      </c>
      <c r="E415" s="6" t="s">
        <v>466</v>
      </c>
      <c r="F415" s="4" t="s">
        <v>467</v>
      </c>
      <c r="G415" s="6" t="n">
        <v>5</v>
      </c>
    </row>
    <row r="416" customFormat="false" ht="15" hidden="false" customHeight="false" outlineLevel="0" collapsed="false">
      <c r="A416" s="4" t="s">
        <v>1205</v>
      </c>
      <c r="B416" s="4" t="s">
        <v>1206</v>
      </c>
      <c r="C416" s="4" t="s">
        <v>1207</v>
      </c>
      <c r="D416" s="5" t="n">
        <v>834.39</v>
      </c>
      <c r="E416" s="6" t="s">
        <v>466</v>
      </c>
      <c r="F416" s="4" t="s">
        <v>467</v>
      </c>
      <c r="G416" s="6" t="n">
        <v>4</v>
      </c>
    </row>
    <row r="417" customFormat="false" ht="15" hidden="false" customHeight="false" outlineLevel="0" collapsed="false">
      <c r="A417" s="4" t="s">
        <v>1208</v>
      </c>
      <c r="B417" s="4" t="s">
        <v>1209</v>
      </c>
      <c r="C417" s="4" t="s">
        <v>1207</v>
      </c>
      <c r="D417" s="5" t="n">
        <v>309.93</v>
      </c>
      <c r="E417" s="6" t="s">
        <v>466</v>
      </c>
      <c r="F417" s="4" t="s">
        <v>467</v>
      </c>
      <c r="G417" s="6" t="n">
        <v>3</v>
      </c>
    </row>
    <row r="418" customFormat="false" ht="15" hidden="false" customHeight="false" outlineLevel="0" collapsed="false">
      <c r="A418" s="4" t="s">
        <v>1210</v>
      </c>
      <c r="B418" s="4" t="s">
        <v>1211</v>
      </c>
      <c r="C418" s="4" t="s">
        <v>1212</v>
      </c>
      <c r="D418" s="5" t="n">
        <v>3286.38</v>
      </c>
      <c r="E418" s="6" t="s">
        <v>12</v>
      </c>
      <c r="F418" s="4" t="s">
        <v>13</v>
      </c>
      <c r="G418" s="6" t="n">
        <v>5</v>
      </c>
    </row>
    <row r="419" customFormat="false" ht="15" hidden="false" customHeight="false" outlineLevel="0" collapsed="false">
      <c r="A419" s="4" t="s">
        <v>1213</v>
      </c>
      <c r="B419" s="4" t="s">
        <v>1214</v>
      </c>
      <c r="C419" s="4" t="s">
        <v>1212</v>
      </c>
      <c r="D419" s="5" t="n">
        <v>11421.09</v>
      </c>
      <c r="E419" s="6" t="s">
        <v>400</v>
      </c>
      <c r="F419" s="4" t="s">
        <v>401</v>
      </c>
      <c r="G419" s="6" t="n">
        <v>5</v>
      </c>
    </row>
    <row r="420" customFormat="false" ht="15" hidden="false" customHeight="false" outlineLevel="0" collapsed="false">
      <c r="A420" s="4" t="s">
        <v>1215</v>
      </c>
      <c r="B420" s="4" t="s">
        <v>1216</v>
      </c>
      <c r="C420" s="4" t="s">
        <v>1217</v>
      </c>
      <c r="D420" s="5" t="n">
        <v>4012.71</v>
      </c>
      <c r="E420" s="6" t="s">
        <v>12</v>
      </c>
      <c r="F420" s="4" t="s">
        <v>13</v>
      </c>
      <c r="G420" s="6" t="n">
        <v>5</v>
      </c>
    </row>
    <row r="421" customFormat="false" ht="15" hidden="false" customHeight="false" outlineLevel="0" collapsed="false">
      <c r="A421" s="4" t="s">
        <v>1218</v>
      </c>
      <c r="B421" s="4" t="s">
        <v>1219</v>
      </c>
      <c r="C421" s="4" t="s">
        <v>1212</v>
      </c>
      <c r="D421" s="5" t="n">
        <v>1526.77</v>
      </c>
      <c r="E421" s="6" t="s">
        <v>48</v>
      </c>
      <c r="F421" s="4" t="s">
        <v>49</v>
      </c>
      <c r="G421" s="6" t="n">
        <v>7</v>
      </c>
    </row>
    <row r="422" customFormat="false" ht="15" hidden="false" customHeight="false" outlineLevel="0" collapsed="false">
      <c r="A422" s="7" t="str">
        <f aca="false">COUNTA(A5:A421)&amp;" certificates"</f>
        <v>417 certificates</v>
      </c>
      <c r="B422" s="7"/>
      <c r="C422" s="7" t="s">
        <v>1220</v>
      </c>
      <c r="D422" s="8" t="n">
        <f aca="false">SUM(D5:D421)</f>
        <v>2291638.01</v>
      </c>
      <c r="E422" s="7"/>
      <c r="F422" s="7"/>
      <c r="G422" s="7"/>
    </row>
  </sheetData>
  <autoFilter ref="A4:G421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28"/>
    <col collapsed="false" customWidth="true" hidden="false" outlineLevel="0" max="3" min="3" style="0" width="14"/>
    <col collapsed="false" customWidth="true" hidden="false" outlineLevel="0" max="4" min="4" style="0" width="16"/>
    <col collapsed="false" customWidth="true" hidden="false" outlineLevel="0" max="5" min="5" style="0" width="12"/>
    <col collapsed="false" customWidth="true" hidden="false" outlineLevel="0" max="6" min="6" style="0" width="13"/>
    <col collapsed="false" customWidth="true" hidden="false" outlineLevel="0" max="8" min="7" style="0" width="10"/>
  </cols>
  <sheetData>
    <row r="1" customFormat="false" ht="17.35" hidden="false" customHeight="false" outlineLevel="0" collapsed="false">
      <c r="A1" s="1" t="s">
        <v>1221</v>
      </c>
    </row>
    <row r="3" customFormat="false" ht="26.85" hidden="false" customHeight="false" outlineLevel="0" collapsed="false">
      <c r="A3" s="3" t="s">
        <v>6</v>
      </c>
      <c r="B3" s="3" t="s">
        <v>7</v>
      </c>
      <c r="C3" s="3" t="s">
        <v>1222</v>
      </c>
      <c r="D3" s="3" t="s">
        <v>1223</v>
      </c>
      <c r="E3" s="3" t="s">
        <v>1224</v>
      </c>
      <c r="F3" s="3" t="s">
        <v>1225</v>
      </c>
      <c r="G3" s="3" t="s">
        <v>1226</v>
      </c>
      <c r="H3" s="3" t="s">
        <v>1227</v>
      </c>
    </row>
    <row r="4" customFormat="false" ht="15" hidden="false" customHeight="false" outlineLevel="0" collapsed="false">
      <c r="A4" s="6" t="s">
        <v>12</v>
      </c>
      <c r="B4" s="4" t="s">
        <v>13</v>
      </c>
      <c r="C4" s="6" t="n">
        <f aca="false">COUNTIF('Sale List'!$F$5:$F$421,B4)</f>
        <v>146</v>
      </c>
      <c r="D4" s="5" t="n">
        <f aca="false">SUMIFS('Sale List'!$D$5:$D$421,'Sale List'!$F$5:$F$421,B4)</f>
        <v>1138654.87</v>
      </c>
      <c r="E4" s="9" t="n">
        <f aca="false">D4/$D$14</f>
        <v>0.496873792907633</v>
      </c>
      <c r="F4" s="10" t="n">
        <f aca="false">SUMPRODUCT(('Sale List'!$F$5:$F$421=B4)*'Sale List'!$D$5:$D$421*'Sale List'!$G$5:$G$421)/D4</f>
        <v>4.946933463693</v>
      </c>
      <c r="G4" s="6" t="n">
        <f aca="false">_xlfn.MINIFS('Sale List'!$G$5:$G$421,'Sale List'!$F$5:$F$421,B4)</f>
        <v>4</v>
      </c>
      <c r="H4" s="6" t="n">
        <f aca="false">_xlfn.MAXIFS('Sale List'!$G$5:$G$421,'Sale List'!$F$5:$F$421,B4)</f>
        <v>6</v>
      </c>
    </row>
    <row r="5" customFormat="false" ht="15" hidden="false" customHeight="false" outlineLevel="0" collapsed="false">
      <c r="A5" s="6" t="s">
        <v>400</v>
      </c>
      <c r="B5" s="4" t="s">
        <v>401</v>
      </c>
      <c r="C5" s="6" t="n">
        <f aca="false">COUNTIF('Sale List'!$F$5:$F$421,B5)</f>
        <v>48</v>
      </c>
      <c r="D5" s="5" t="n">
        <f aca="false">SUMIFS('Sale List'!$D$5:$D$421,'Sale List'!$F$5:$F$421,B5)</f>
        <v>459498.7</v>
      </c>
      <c r="E5" s="9" t="n">
        <f aca="false">D5/$D$14</f>
        <v>0.200511030972121</v>
      </c>
      <c r="F5" s="10" t="n">
        <f aca="false">SUMPRODUCT(('Sale List'!$F$5:$F$421=B5)*'Sale List'!$D$5:$D$421*'Sale List'!$G$5:$G$421)/D5</f>
        <v>5.03574486717808</v>
      </c>
      <c r="G5" s="6" t="n">
        <f aca="false">_xlfn.MINIFS('Sale List'!$G$5:$G$421,'Sale List'!$F$5:$F$421,B5)</f>
        <v>5</v>
      </c>
      <c r="H5" s="6" t="n">
        <f aca="false">_xlfn.MAXIFS('Sale List'!$G$5:$G$421,'Sale List'!$F$5:$F$421,B5)</f>
        <v>6</v>
      </c>
    </row>
    <row r="6" customFormat="false" ht="15" hidden="false" customHeight="false" outlineLevel="0" collapsed="false">
      <c r="A6" s="6" t="s">
        <v>17</v>
      </c>
      <c r="B6" s="4" t="s">
        <v>18</v>
      </c>
      <c r="C6" s="6" t="n">
        <f aca="false">COUNTIF('Sale List'!$F$5:$F$421,B6)</f>
        <v>48</v>
      </c>
      <c r="D6" s="5" t="n">
        <f aca="false">SUMIFS('Sale List'!$D$5:$D$421,'Sale List'!$F$5:$F$421,B6)</f>
        <v>299894.79</v>
      </c>
      <c r="E6" s="9" t="n">
        <f aca="false">D6/$D$14</f>
        <v>0.130864817519762</v>
      </c>
      <c r="F6" s="10" t="n">
        <f aca="false">SUMPRODUCT(('Sale List'!$F$5:$F$421=B6)*'Sale List'!$D$5:$D$421*'Sale List'!$G$5:$G$421)/D6</f>
        <v>4.12189644908469</v>
      </c>
      <c r="G6" s="6" t="n">
        <f aca="false">_xlfn.MINIFS('Sale List'!$G$5:$G$421,'Sale List'!$F$5:$F$421,B6)</f>
        <v>4</v>
      </c>
      <c r="H6" s="6" t="n">
        <f aca="false">_xlfn.MAXIFS('Sale List'!$G$5:$G$421,'Sale List'!$F$5:$F$421,B6)</f>
        <v>7</v>
      </c>
    </row>
    <row r="7" customFormat="false" ht="15" hidden="false" customHeight="false" outlineLevel="0" collapsed="false">
      <c r="A7" s="6" t="s">
        <v>34</v>
      </c>
      <c r="B7" s="4" t="s">
        <v>35</v>
      </c>
      <c r="C7" s="6" t="n">
        <f aca="false">COUNTIF('Sale List'!$F$5:$F$421,B7)</f>
        <v>53</v>
      </c>
      <c r="D7" s="5" t="n">
        <f aca="false">SUMIFS('Sale List'!$D$5:$D$421,'Sale List'!$F$5:$F$421,B7)</f>
        <v>249850.64</v>
      </c>
      <c r="E7" s="9" t="n">
        <f aca="false">D7/$D$14</f>
        <v>0.109027097172297</v>
      </c>
      <c r="F7" s="10" t="n">
        <f aca="false">SUMPRODUCT(('Sale List'!$F$5:$F$421=B7)*'Sale List'!$D$5:$D$421*'Sale List'!$G$5:$G$421)/D7</f>
        <v>4.2024373441669</v>
      </c>
      <c r="G7" s="6" t="n">
        <f aca="false">_xlfn.MINIFS('Sale List'!$G$5:$G$421,'Sale List'!$F$5:$F$421,B7)</f>
        <v>4</v>
      </c>
      <c r="H7" s="6" t="n">
        <f aca="false">_xlfn.MAXIFS('Sale List'!$G$5:$G$421,'Sale List'!$F$5:$F$421,B7)</f>
        <v>5</v>
      </c>
    </row>
    <row r="8" customFormat="false" ht="15" hidden="false" customHeight="false" outlineLevel="0" collapsed="false">
      <c r="A8" s="6" t="s">
        <v>48</v>
      </c>
      <c r="B8" s="4" t="s">
        <v>49</v>
      </c>
      <c r="C8" s="6" t="n">
        <f aca="false">COUNTIF('Sale List'!$F$5:$F$421,B8)</f>
        <v>62</v>
      </c>
      <c r="D8" s="5" t="n">
        <f aca="false">SUMIFS('Sale List'!$D$5:$D$421,'Sale List'!$F$5:$F$421,B8)</f>
        <v>84426.33</v>
      </c>
      <c r="E8" s="9" t="n">
        <f aca="false">D8/$D$14</f>
        <v>0.0368410410508072</v>
      </c>
      <c r="F8" s="10" t="n">
        <f aca="false">SUMPRODUCT(('Sale List'!$F$5:$F$421=B8)*'Sale List'!$D$5:$D$421*'Sale List'!$G$5:$G$421)/D8</f>
        <v>7.73182169590932</v>
      </c>
      <c r="G8" s="6" t="n">
        <f aca="false">_xlfn.MINIFS('Sale List'!$G$5:$G$421,'Sale List'!$F$5:$F$421,B8)</f>
        <v>7</v>
      </c>
      <c r="H8" s="6" t="n">
        <f aca="false">_xlfn.MAXIFS('Sale List'!$G$5:$G$421,'Sale List'!$F$5:$F$421,B8)</f>
        <v>9</v>
      </c>
    </row>
    <row r="9" customFormat="false" ht="15" hidden="false" customHeight="false" outlineLevel="0" collapsed="false">
      <c r="A9" s="6" t="s">
        <v>105</v>
      </c>
      <c r="B9" s="4" t="s">
        <v>106</v>
      </c>
      <c r="C9" s="6" t="n">
        <f aca="false">COUNTIF('Sale List'!$F$5:$F$421,B9)</f>
        <v>21</v>
      </c>
      <c r="D9" s="5" t="n">
        <f aca="false">SUMIFS('Sale List'!$D$5:$D$421,'Sale List'!$F$5:$F$421,B9)</f>
        <v>20049.26</v>
      </c>
      <c r="E9" s="9" t="n">
        <f aca="false">D9/$D$14</f>
        <v>0.00874887740232586</v>
      </c>
      <c r="F9" s="10" t="n">
        <f aca="false">SUMPRODUCT(('Sale List'!$F$5:$F$421=B9)*'Sale List'!$D$5:$D$421*'Sale List'!$G$5:$G$421)/D9</f>
        <v>0.620156554406497</v>
      </c>
      <c r="G9" s="6" t="n">
        <f aca="false">_xlfn.MINIFS('Sale List'!$G$5:$G$421,'Sale List'!$F$5:$F$421,B9)</f>
        <v>0</v>
      </c>
      <c r="H9" s="6" t="n">
        <f aca="false">_xlfn.MAXIFS('Sale List'!$G$5:$G$421,'Sale List'!$F$5:$F$421,B9)</f>
        <v>1</v>
      </c>
    </row>
    <row r="10" customFormat="false" ht="15" hidden="false" customHeight="false" outlineLevel="0" collapsed="false">
      <c r="A10" s="6" t="s">
        <v>194</v>
      </c>
      <c r="B10" s="4" t="s">
        <v>195</v>
      </c>
      <c r="C10" s="6" t="n">
        <f aca="false">COUNTIF('Sale List'!$F$5:$F$421,B10)</f>
        <v>12</v>
      </c>
      <c r="D10" s="5" t="n">
        <f aca="false">SUMIFS('Sale List'!$D$5:$D$421,'Sale List'!$F$5:$F$421,B10)</f>
        <v>15596.99</v>
      </c>
      <c r="E10" s="9" t="n">
        <f aca="false">D10/$D$14</f>
        <v>0.00680604438045606</v>
      </c>
      <c r="F10" s="10" t="n">
        <f aca="false">SUMPRODUCT(('Sale List'!$F$5:$F$421=B10)*'Sale List'!$D$5:$D$421*'Sale List'!$G$5:$G$421)/D10</f>
        <v>9</v>
      </c>
      <c r="G10" s="6" t="n">
        <f aca="false">_xlfn.MINIFS('Sale List'!$G$5:$G$421,'Sale List'!$F$5:$F$421,B10)</f>
        <v>9</v>
      </c>
      <c r="H10" s="6" t="n">
        <f aca="false">_xlfn.MAXIFS('Sale List'!$G$5:$G$421,'Sale List'!$F$5:$F$421,B10)</f>
        <v>9</v>
      </c>
    </row>
    <row r="11" customFormat="false" ht="15" hidden="false" customHeight="false" outlineLevel="0" collapsed="false">
      <c r="A11" s="6" t="s">
        <v>391</v>
      </c>
      <c r="B11" s="4" t="s">
        <v>392</v>
      </c>
      <c r="C11" s="6" t="n">
        <f aca="false">COUNTIF('Sale List'!$F$5:$F$421,B11)</f>
        <v>6</v>
      </c>
      <c r="D11" s="5" t="n">
        <f aca="false">SUMIFS('Sale List'!$D$5:$D$421,'Sale List'!$F$5:$F$421,B11)</f>
        <v>12517.08</v>
      </c>
      <c r="E11" s="9" t="n">
        <f aca="false">D11/$D$14</f>
        <v>0.00546206684711081</v>
      </c>
      <c r="F11" s="10" t="n">
        <f aca="false">SUMPRODUCT(('Sale List'!$F$5:$F$421=B11)*'Sale List'!$D$5:$D$421*'Sale List'!$G$5:$G$421)/D11</f>
        <v>7.9191273044512</v>
      </c>
      <c r="G11" s="6" t="n">
        <f aca="false">_xlfn.MINIFS('Sale List'!$G$5:$G$421,'Sale List'!$F$5:$F$421,B11)</f>
        <v>7</v>
      </c>
      <c r="H11" s="6" t="n">
        <f aca="false">_xlfn.MAXIFS('Sale List'!$G$5:$G$421,'Sale List'!$F$5:$F$421,B11)</f>
        <v>9</v>
      </c>
    </row>
    <row r="12" customFormat="false" ht="15" hidden="false" customHeight="false" outlineLevel="0" collapsed="false">
      <c r="A12" s="6" t="s">
        <v>1050</v>
      </c>
      <c r="B12" s="4" t="s">
        <v>1051</v>
      </c>
      <c r="C12" s="6" t="n">
        <f aca="false">COUNTIF('Sale List'!$F$5:$F$421,B12)</f>
        <v>5</v>
      </c>
      <c r="D12" s="5" t="n">
        <f aca="false">SUMIFS('Sale List'!$D$5:$D$421,'Sale List'!$F$5:$F$421,B12)</f>
        <v>6019.47</v>
      </c>
      <c r="E12" s="9" t="n">
        <f aca="false">D12/$D$14</f>
        <v>0.0026267106644823</v>
      </c>
      <c r="F12" s="10" t="n">
        <f aca="false">SUMPRODUCT(('Sale List'!$F$5:$F$421=B12)*'Sale List'!$D$5:$D$421*'Sale List'!$G$5:$G$421)/D12</f>
        <v>4</v>
      </c>
      <c r="G12" s="6" t="n">
        <f aca="false">_xlfn.MINIFS('Sale List'!$G$5:$G$421,'Sale List'!$F$5:$F$421,B12)</f>
        <v>4</v>
      </c>
      <c r="H12" s="6" t="n">
        <f aca="false">_xlfn.MAXIFS('Sale List'!$G$5:$G$421,'Sale List'!$F$5:$F$421,B12)</f>
        <v>4</v>
      </c>
    </row>
    <row r="13" customFormat="false" ht="15" hidden="false" customHeight="false" outlineLevel="0" collapsed="false">
      <c r="A13" s="6" t="s">
        <v>466</v>
      </c>
      <c r="B13" s="4" t="s">
        <v>467</v>
      </c>
      <c r="C13" s="6" t="n">
        <f aca="false">COUNTIF('Sale List'!$F$5:$F$421,B13)</f>
        <v>16</v>
      </c>
      <c r="D13" s="5" t="n">
        <f aca="false">SUMIFS('Sale List'!$D$5:$D$421,'Sale List'!$F$5:$F$421,B13)</f>
        <v>5129.88</v>
      </c>
      <c r="E13" s="9" t="n">
        <f aca="false">D13/$D$14</f>
        <v>0.00223852108300473</v>
      </c>
      <c r="F13" s="10" t="n">
        <f aca="false">SUMPRODUCT(('Sale List'!$F$5:$F$421=B13)*'Sale List'!$D$5:$D$421*'Sale List'!$G$5:$G$421)/D13</f>
        <v>5.19962065389444</v>
      </c>
      <c r="G13" s="6" t="n">
        <f aca="false">_xlfn.MINIFS('Sale List'!$G$5:$G$421,'Sale List'!$F$5:$F$421,B13)</f>
        <v>3</v>
      </c>
      <c r="H13" s="6" t="n">
        <f aca="false">_xlfn.MAXIFS('Sale List'!$G$5:$G$421,'Sale List'!$F$5:$F$421,B13)</f>
        <v>9</v>
      </c>
    </row>
    <row r="14" customFormat="false" ht="15" hidden="false" customHeight="false" outlineLevel="0" collapsed="false">
      <c r="A14" s="7"/>
      <c r="B14" s="7" t="s">
        <v>1220</v>
      </c>
      <c r="C14" s="11" t="n">
        <f aca="false">SUM(C4:C13)</f>
        <v>417</v>
      </c>
      <c r="D14" s="8" t="n">
        <f aca="false">SUM(D4:D13)</f>
        <v>2291638.01</v>
      </c>
      <c r="E14" s="12" t="n">
        <f aca="false">SUM(E4:E13)</f>
        <v>1</v>
      </c>
      <c r="F14" s="13" t="n">
        <f aca="false">SUMPRODUCT('Sale List'!$D$5:$D$421,'Sale List'!$G$5:$G$421)/D14</f>
        <v>4.88224429913344</v>
      </c>
      <c r="G14" s="11" t="n">
        <f aca="false">MIN('Sale List'!$G$5:$G$421)</f>
        <v>0</v>
      </c>
      <c r="H14" s="11" t="n">
        <f aca="false">MAX('Sale List'!$G$5:$G$421)</f>
        <v>9</v>
      </c>
    </row>
    <row r="16" customFormat="false" ht="15" hidden="false" customHeight="false" outlineLevel="0" collapsed="false">
      <c r="A16" s="2" t="s">
        <v>1228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4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34"/>
    <col collapsed="false" customWidth="true" hidden="false" outlineLevel="0" max="3" min="3" style="0" width="8"/>
    <col collapsed="false" customWidth="true" hidden="false" outlineLevel="0" max="4" min="4" style="0" width="14"/>
    <col collapsed="false" customWidth="true" hidden="false" outlineLevel="0" max="5" min="5" style="0" width="16"/>
  </cols>
  <sheetData>
    <row r="1" customFormat="false" ht="17.35" hidden="false" customHeight="false" outlineLevel="0" collapsed="false">
      <c r="A1" s="1" t="s">
        <v>1229</v>
      </c>
    </row>
    <row r="3" customFormat="false" ht="15" hidden="false" customHeight="false" outlineLevel="0" collapsed="false">
      <c r="A3" s="3" t="s">
        <v>6</v>
      </c>
      <c r="B3" s="3" t="s">
        <v>7</v>
      </c>
      <c r="C3" s="3" t="s">
        <v>8</v>
      </c>
      <c r="D3" s="3" t="s">
        <v>1222</v>
      </c>
      <c r="E3" s="3" t="s">
        <v>1223</v>
      </c>
    </row>
    <row r="4" customFormat="false" ht="15" hidden="false" customHeight="false" outlineLevel="0" collapsed="false">
      <c r="A4" s="6" t="s">
        <v>12</v>
      </c>
      <c r="B4" s="4" t="s">
        <v>13</v>
      </c>
      <c r="C4" s="6" t="n">
        <v>4</v>
      </c>
      <c r="D4" s="6" t="n">
        <f aca="false">COUNTIFS('Sale List'!$F$5:$F$421,B4,'Sale List'!$G$5:$G$421,C4)</f>
        <v>9</v>
      </c>
      <c r="E4" s="5" t="n">
        <f aca="false">SUMIFS('Sale List'!$D$5:$D$421,'Sale List'!$F$5:$F$421,B4,'Sale List'!$G$5:$G$421,C4)</f>
        <v>112371.05</v>
      </c>
    </row>
    <row r="5" customFormat="false" ht="15" hidden="false" customHeight="false" outlineLevel="0" collapsed="false">
      <c r="A5" s="6" t="s">
        <v>12</v>
      </c>
      <c r="B5" s="4" t="s">
        <v>13</v>
      </c>
      <c r="C5" s="6" t="n">
        <v>5</v>
      </c>
      <c r="D5" s="6" t="n">
        <f aca="false">COUNTIFS('Sale List'!$F$5:$F$421,B5,'Sale List'!$G$5:$G$421,C5)</f>
        <v>130</v>
      </c>
      <c r="E5" s="5" t="n">
        <f aca="false">SUMIFS('Sale List'!$D$5:$D$421,'Sale List'!$F$5:$F$421,B5,'Sale List'!$G$5:$G$421,C5)</f>
        <v>974337.24</v>
      </c>
    </row>
    <row r="6" customFormat="false" ht="15" hidden="false" customHeight="false" outlineLevel="0" collapsed="false">
      <c r="A6" s="6" t="s">
        <v>12</v>
      </c>
      <c r="B6" s="4" t="s">
        <v>13</v>
      </c>
      <c r="C6" s="6" t="n">
        <v>6</v>
      </c>
      <c r="D6" s="6" t="n">
        <f aca="false">COUNTIFS('Sale List'!$F$5:$F$421,B6,'Sale List'!$G$5:$G$421,C6)</f>
        <v>7</v>
      </c>
      <c r="E6" s="5" t="n">
        <f aca="false">SUMIFS('Sale List'!$D$5:$D$421,'Sale List'!$F$5:$F$421,B6,'Sale List'!$G$5:$G$421,C6)</f>
        <v>51946.58</v>
      </c>
    </row>
    <row r="7" customFormat="false" ht="15" hidden="false" customHeight="false" outlineLevel="0" collapsed="false">
      <c r="A7" s="14"/>
      <c r="B7" s="14" t="s">
        <v>1230</v>
      </c>
      <c r="C7" s="14"/>
      <c r="D7" s="15" t="n">
        <f aca="false">SUM(D4:D6)</f>
        <v>146</v>
      </c>
      <c r="E7" s="16" t="n">
        <f aca="false">SUM(E4:E6)</f>
        <v>1138654.87</v>
      </c>
    </row>
    <row r="8" customFormat="false" ht="15" hidden="false" customHeight="false" outlineLevel="0" collapsed="false">
      <c r="A8" s="6" t="s">
        <v>400</v>
      </c>
      <c r="B8" s="4" t="s">
        <v>401</v>
      </c>
      <c r="C8" s="6" t="n">
        <v>5</v>
      </c>
      <c r="D8" s="6" t="n">
        <f aca="false">COUNTIFS('Sale List'!$F$5:$F$421,B8,'Sale List'!$G$5:$G$421,C8)</f>
        <v>45</v>
      </c>
      <c r="E8" s="5" t="n">
        <f aca="false">SUMIFS('Sale List'!$D$5:$D$421,'Sale List'!$F$5:$F$421,B8,'Sale List'!$G$5:$G$421,C8)</f>
        <v>443073.98</v>
      </c>
    </row>
    <row r="9" customFormat="false" ht="15" hidden="false" customHeight="false" outlineLevel="0" collapsed="false">
      <c r="A9" s="6" t="s">
        <v>400</v>
      </c>
      <c r="B9" s="4" t="s">
        <v>401</v>
      </c>
      <c r="C9" s="6" t="n">
        <v>6</v>
      </c>
      <c r="D9" s="6" t="n">
        <f aca="false">COUNTIFS('Sale List'!$F$5:$F$421,B9,'Sale List'!$G$5:$G$421,C9)</f>
        <v>3</v>
      </c>
      <c r="E9" s="5" t="n">
        <f aca="false">SUMIFS('Sale List'!$D$5:$D$421,'Sale List'!$F$5:$F$421,B9,'Sale List'!$G$5:$G$421,C9)</f>
        <v>16424.72</v>
      </c>
    </row>
    <row r="10" customFormat="false" ht="15" hidden="false" customHeight="false" outlineLevel="0" collapsed="false">
      <c r="A10" s="14"/>
      <c r="B10" s="14" t="s">
        <v>1231</v>
      </c>
      <c r="C10" s="14"/>
      <c r="D10" s="15" t="n">
        <f aca="false">SUM(D8:D9)</f>
        <v>48</v>
      </c>
      <c r="E10" s="16" t="n">
        <f aca="false">SUM(E8:E9)</f>
        <v>459498.7</v>
      </c>
    </row>
    <row r="11" customFormat="false" ht="15" hidden="false" customHeight="false" outlineLevel="0" collapsed="false">
      <c r="A11" s="6" t="s">
        <v>17</v>
      </c>
      <c r="B11" s="4" t="s">
        <v>18</v>
      </c>
      <c r="C11" s="6" t="n">
        <v>4</v>
      </c>
      <c r="D11" s="6" t="n">
        <f aca="false">COUNTIFS('Sale List'!$F$5:$F$421,B11,'Sale List'!$G$5:$G$421,C11)</f>
        <v>38</v>
      </c>
      <c r="E11" s="5" t="n">
        <f aca="false">SUMIFS('Sale List'!$D$5:$D$421,'Sale List'!$F$5:$F$421,B11,'Sale List'!$G$5:$G$421,C11)</f>
        <v>270451.61</v>
      </c>
    </row>
    <row r="12" customFormat="false" ht="15" hidden="false" customHeight="false" outlineLevel="0" collapsed="false">
      <c r="A12" s="6" t="s">
        <v>17</v>
      </c>
      <c r="B12" s="4" t="s">
        <v>18</v>
      </c>
      <c r="C12" s="6" t="n">
        <v>5</v>
      </c>
      <c r="D12" s="6" t="n">
        <f aca="false">COUNTIFS('Sale List'!$F$5:$F$421,B12,'Sale List'!$G$5:$G$421,C12)</f>
        <v>7</v>
      </c>
      <c r="E12" s="5" t="n">
        <f aca="false">SUMIFS('Sale List'!$D$5:$D$421,'Sale List'!$F$5:$F$421,B12,'Sale List'!$G$5:$G$421,C12)</f>
        <v>25002.46</v>
      </c>
    </row>
    <row r="13" customFormat="false" ht="15" hidden="false" customHeight="false" outlineLevel="0" collapsed="false">
      <c r="A13" s="6" t="s">
        <v>17</v>
      </c>
      <c r="B13" s="4" t="s">
        <v>18</v>
      </c>
      <c r="C13" s="6" t="n">
        <v>6</v>
      </c>
      <c r="D13" s="6" t="n">
        <f aca="false">COUNTIFS('Sale List'!$F$5:$F$421,B13,'Sale List'!$G$5:$G$421,C13)</f>
        <v>1</v>
      </c>
      <c r="E13" s="5" t="n">
        <f aca="false">SUMIFS('Sale List'!$D$5:$D$421,'Sale List'!$F$5:$F$421,B13,'Sale List'!$G$5:$G$421,C13)</f>
        <v>1768.51</v>
      </c>
    </row>
    <row r="14" customFormat="false" ht="15" hidden="false" customHeight="false" outlineLevel="0" collapsed="false">
      <c r="A14" s="6" t="s">
        <v>17</v>
      </c>
      <c r="B14" s="4" t="s">
        <v>18</v>
      </c>
      <c r="C14" s="6" t="n">
        <v>7</v>
      </c>
      <c r="D14" s="6" t="n">
        <f aca="false">COUNTIFS('Sale List'!$F$5:$F$421,B14,'Sale List'!$G$5:$G$421,C14)</f>
        <v>2</v>
      </c>
      <c r="E14" s="5" t="n">
        <f aca="false">SUMIFS('Sale List'!$D$5:$D$421,'Sale List'!$F$5:$F$421,B14,'Sale List'!$G$5:$G$421,C14)</f>
        <v>2672.21</v>
      </c>
    </row>
    <row r="15" customFormat="false" ht="15" hidden="false" customHeight="false" outlineLevel="0" collapsed="false">
      <c r="A15" s="14"/>
      <c r="B15" s="14" t="s">
        <v>1232</v>
      </c>
      <c r="C15" s="14"/>
      <c r="D15" s="15" t="n">
        <f aca="false">SUM(D11:D14)</f>
        <v>48</v>
      </c>
      <c r="E15" s="16" t="n">
        <f aca="false">SUM(E11:E14)</f>
        <v>299894.79</v>
      </c>
    </row>
    <row r="16" customFormat="false" ht="15" hidden="false" customHeight="false" outlineLevel="0" collapsed="false">
      <c r="A16" s="6" t="s">
        <v>34</v>
      </c>
      <c r="B16" s="4" t="s">
        <v>35</v>
      </c>
      <c r="C16" s="6" t="n">
        <v>4</v>
      </c>
      <c r="D16" s="6" t="n">
        <f aca="false">COUNTIFS('Sale List'!$F$5:$F$421,B16,'Sale List'!$G$5:$G$421,C16)</f>
        <v>46</v>
      </c>
      <c r="E16" s="5" t="n">
        <f aca="false">SUMIFS('Sale List'!$D$5:$D$421,'Sale List'!$F$5:$F$421,B16,'Sale List'!$G$5:$G$421,C16)</f>
        <v>199271.54</v>
      </c>
    </row>
    <row r="17" customFormat="false" ht="15" hidden="false" customHeight="false" outlineLevel="0" collapsed="false">
      <c r="A17" s="6" t="s">
        <v>34</v>
      </c>
      <c r="B17" s="4" t="s">
        <v>35</v>
      </c>
      <c r="C17" s="6" t="n">
        <v>5</v>
      </c>
      <c r="D17" s="6" t="n">
        <f aca="false">COUNTIFS('Sale List'!$F$5:$F$421,B17,'Sale List'!$G$5:$G$421,C17)</f>
        <v>7</v>
      </c>
      <c r="E17" s="5" t="n">
        <f aca="false">SUMIFS('Sale List'!$D$5:$D$421,'Sale List'!$F$5:$F$421,B17,'Sale List'!$G$5:$G$421,C17)</f>
        <v>50579.1</v>
      </c>
    </row>
    <row r="18" customFormat="false" ht="15" hidden="false" customHeight="false" outlineLevel="0" collapsed="false">
      <c r="A18" s="14"/>
      <c r="B18" s="14" t="s">
        <v>1233</v>
      </c>
      <c r="C18" s="14"/>
      <c r="D18" s="15" t="n">
        <f aca="false">SUM(D16:D17)</f>
        <v>53</v>
      </c>
      <c r="E18" s="16" t="n">
        <f aca="false">SUM(E16:E17)</f>
        <v>249850.64</v>
      </c>
    </row>
    <row r="19" customFormat="false" ht="15" hidden="false" customHeight="false" outlineLevel="0" collapsed="false">
      <c r="A19" s="6" t="s">
        <v>48</v>
      </c>
      <c r="B19" s="4" t="s">
        <v>49</v>
      </c>
      <c r="C19" s="6" t="n">
        <v>7</v>
      </c>
      <c r="D19" s="6" t="n">
        <f aca="false">COUNTIFS('Sale List'!$F$5:$F$421,B19,'Sale List'!$G$5:$G$421,C19)</f>
        <v>27</v>
      </c>
      <c r="E19" s="5" t="n">
        <f aca="false">SUMIFS('Sale List'!$D$5:$D$421,'Sale List'!$F$5:$F$421,B19,'Sale List'!$G$5:$G$421,C19)</f>
        <v>37194.92</v>
      </c>
    </row>
    <row r="20" customFormat="false" ht="15" hidden="false" customHeight="false" outlineLevel="0" collapsed="false">
      <c r="A20" s="6" t="s">
        <v>48</v>
      </c>
      <c r="B20" s="4" t="s">
        <v>49</v>
      </c>
      <c r="C20" s="6" t="n">
        <v>8</v>
      </c>
      <c r="D20" s="6" t="n">
        <f aca="false">COUNTIFS('Sale List'!$F$5:$F$421,B20,'Sale List'!$G$5:$G$421,C20)</f>
        <v>25</v>
      </c>
      <c r="E20" s="5" t="n">
        <f aca="false">SUMIFS('Sale List'!$D$5:$D$421,'Sale List'!$F$5:$F$421,B20,'Sale List'!$G$5:$G$421,C20)</f>
        <v>32677.8</v>
      </c>
    </row>
    <row r="21" customFormat="false" ht="15" hidden="false" customHeight="false" outlineLevel="0" collapsed="false">
      <c r="A21" s="6" t="s">
        <v>48</v>
      </c>
      <c r="B21" s="4" t="s">
        <v>49</v>
      </c>
      <c r="C21" s="6" t="n">
        <v>9</v>
      </c>
      <c r="D21" s="6" t="n">
        <f aca="false">COUNTIFS('Sale List'!$F$5:$F$421,B21,'Sale List'!$G$5:$G$421,C21)</f>
        <v>10</v>
      </c>
      <c r="E21" s="5" t="n">
        <f aca="false">SUMIFS('Sale List'!$D$5:$D$421,'Sale List'!$F$5:$F$421,B21,'Sale List'!$G$5:$G$421,C21)</f>
        <v>14553.61</v>
      </c>
    </row>
    <row r="22" customFormat="false" ht="15" hidden="false" customHeight="false" outlineLevel="0" collapsed="false">
      <c r="A22" s="14"/>
      <c r="B22" s="14" t="s">
        <v>1234</v>
      </c>
      <c r="C22" s="14"/>
      <c r="D22" s="15" t="n">
        <f aca="false">SUM(D19:D21)</f>
        <v>62</v>
      </c>
      <c r="E22" s="16" t="n">
        <f aca="false">SUM(E19:E21)</f>
        <v>84426.33</v>
      </c>
    </row>
    <row r="23" customFormat="false" ht="15" hidden="false" customHeight="false" outlineLevel="0" collapsed="false">
      <c r="A23" s="6" t="s">
        <v>105</v>
      </c>
      <c r="B23" s="4" t="s">
        <v>106</v>
      </c>
      <c r="C23" s="6" t="n">
        <v>0</v>
      </c>
      <c r="D23" s="6" t="n">
        <f aca="false">COUNTIFS('Sale List'!$F$5:$F$421,B23,'Sale List'!$G$5:$G$421,C23)</f>
        <v>6</v>
      </c>
      <c r="E23" s="5" t="n">
        <f aca="false">SUMIFS('Sale List'!$D$5:$D$421,'Sale List'!$F$5:$F$421,B23,'Sale List'!$G$5:$G$421,C23)</f>
        <v>7615.58</v>
      </c>
    </row>
    <row r="24" customFormat="false" ht="15" hidden="false" customHeight="false" outlineLevel="0" collapsed="false">
      <c r="A24" s="6" t="s">
        <v>105</v>
      </c>
      <c r="B24" s="4" t="s">
        <v>106</v>
      </c>
      <c r="C24" s="6" t="n">
        <v>1</v>
      </c>
      <c r="D24" s="6" t="n">
        <f aca="false">COUNTIFS('Sale List'!$F$5:$F$421,B24,'Sale List'!$G$5:$G$421,C24)</f>
        <v>15</v>
      </c>
      <c r="E24" s="5" t="n">
        <f aca="false">SUMIFS('Sale List'!$D$5:$D$421,'Sale List'!$F$5:$F$421,B24,'Sale List'!$G$5:$G$421,C24)</f>
        <v>12433.68</v>
      </c>
    </row>
    <row r="25" customFormat="false" ht="15" hidden="false" customHeight="false" outlineLevel="0" collapsed="false">
      <c r="A25" s="14"/>
      <c r="B25" s="14" t="s">
        <v>1235</v>
      </c>
      <c r="C25" s="14"/>
      <c r="D25" s="15" t="n">
        <f aca="false">SUM(D23:D24)</f>
        <v>21</v>
      </c>
      <c r="E25" s="16" t="n">
        <f aca="false">SUM(E23:E24)</f>
        <v>20049.26</v>
      </c>
    </row>
    <row r="26" customFormat="false" ht="15" hidden="false" customHeight="false" outlineLevel="0" collapsed="false">
      <c r="A26" s="6" t="s">
        <v>194</v>
      </c>
      <c r="B26" s="4" t="s">
        <v>195</v>
      </c>
      <c r="C26" s="6" t="n">
        <v>9</v>
      </c>
      <c r="D26" s="6" t="n">
        <f aca="false">COUNTIFS('Sale List'!$F$5:$F$421,B26,'Sale List'!$G$5:$G$421,C26)</f>
        <v>12</v>
      </c>
      <c r="E26" s="5" t="n">
        <f aca="false">SUMIFS('Sale List'!$D$5:$D$421,'Sale List'!$F$5:$F$421,B26,'Sale List'!$G$5:$G$421,C26)</f>
        <v>15596.99</v>
      </c>
    </row>
    <row r="27" customFormat="false" ht="15" hidden="false" customHeight="false" outlineLevel="0" collapsed="false">
      <c r="A27" s="14"/>
      <c r="B27" s="14" t="s">
        <v>1236</v>
      </c>
      <c r="C27" s="14"/>
      <c r="D27" s="15" t="n">
        <f aca="false">SUM(D26:D26)</f>
        <v>12</v>
      </c>
      <c r="E27" s="16" t="n">
        <f aca="false">SUM(E26:E26)</f>
        <v>15596.99</v>
      </c>
    </row>
    <row r="28" customFormat="false" ht="15" hidden="false" customHeight="false" outlineLevel="0" collapsed="false">
      <c r="A28" s="6" t="s">
        <v>391</v>
      </c>
      <c r="B28" s="4" t="s">
        <v>392</v>
      </c>
      <c r="C28" s="6" t="n">
        <v>7</v>
      </c>
      <c r="D28" s="6" t="n">
        <f aca="false">COUNTIFS('Sale List'!$F$5:$F$421,B28,'Sale List'!$G$5:$G$421,C28)</f>
        <v>2</v>
      </c>
      <c r="E28" s="5" t="n">
        <f aca="false">SUMIFS('Sale List'!$D$5:$D$421,'Sale List'!$F$5:$F$421,B28,'Sale List'!$G$5:$G$421,C28)</f>
        <v>2984.31</v>
      </c>
    </row>
    <row r="29" customFormat="false" ht="15" hidden="false" customHeight="false" outlineLevel="0" collapsed="false">
      <c r="A29" s="6" t="s">
        <v>391</v>
      </c>
      <c r="B29" s="4" t="s">
        <v>392</v>
      </c>
      <c r="C29" s="6" t="n">
        <v>8</v>
      </c>
      <c r="D29" s="6" t="n">
        <f aca="false">COUNTIFS('Sale List'!$F$5:$F$421,B29,'Sale List'!$G$5:$G$421,C29)</f>
        <v>3</v>
      </c>
      <c r="E29" s="5" t="n">
        <f aca="false">SUMIFS('Sale List'!$D$5:$D$421,'Sale List'!$F$5:$F$421,B29,'Sale List'!$G$5:$G$421,C29)</f>
        <v>7560.75</v>
      </c>
    </row>
    <row r="30" customFormat="false" ht="15" hidden="false" customHeight="false" outlineLevel="0" collapsed="false">
      <c r="A30" s="6" t="s">
        <v>391</v>
      </c>
      <c r="B30" s="4" t="s">
        <v>392</v>
      </c>
      <c r="C30" s="6" t="n">
        <v>9</v>
      </c>
      <c r="D30" s="6" t="n">
        <f aca="false">COUNTIFS('Sale List'!$F$5:$F$421,B30,'Sale List'!$G$5:$G$421,C30)</f>
        <v>1</v>
      </c>
      <c r="E30" s="5" t="n">
        <f aca="false">SUMIFS('Sale List'!$D$5:$D$421,'Sale List'!$F$5:$F$421,B30,'Sale List'!$G$5:$G$421,C30)</f>
        <v>1972.02</v>
      </c>
    </row>
    <row r="31" customFormat="false" ht="15" hidden="false" customHeight="false" outlineLevel="0" collapsed="false">
      <c r="A31" s="14"/>
      <c r="B31" s="14" t="s">
        <v>1237</v>
      </c>
      <c r="C31" s="14"/>
      <c r="D31" s="15" t="n">
        <f aca="false">SUM(D28:D30)</f>
        <v>6</v>
      </c>
      <c r="E31" s="16" t="n">
        <f aca="false">SUM(E28:E30)</f>
        <v>12517.08</v>
      </c>
    </row>
    <row r="32" customFormat="false" ht="15" hidden="false" customHeight="false" outlineLevel="0" collapsed="false">
      <c r="A32" s="6" t="s">
        <v>1050</v>
      </c>
      <c r="B32" s="4" t="s">
        <v>1051</v>
      </c>
      <c r="C32" s="6" t="n">
        <v>4</v>
      </c>
      <c r="D32" s="6" t="n">
        <f aca="false">COUNTIFS('Sale List'!$F$5:$F$421,B32,'Sale List'!$G$5:$G$421,C32)</f>
        <v>5</v>
      </c>
      <c r="E32" s="5" t="n">
        <f aca="false">SUMIFS('Sale List'!$D$5:$D$421,'Sale List'!$F$5:$F$421,B32,'Sale List'!$G$5:$G$421,C32)</f>
        <v>6019.47</v>
      </c>
    </row>
    <row r="33" customFormat="false" ht="15" hidden="false" customHeight="false" outlineLevel="0" collapsed="false">
      <c r="A33" s="14"/>
      <c r="B33" s="14" t="s">
        <v>1238</v>
      </c>
      <c r="C33" s="14"/>
      <c r="D33" s="15" t="n">
        <f aca="false">SUM(D32:D32)</f>
        <v>5</v>
      </c>
      <c r="E33" s="16" t="n">
        <f aca="false">SUM(E32:E32)</f>
        <v>6019.47</v>
      </c>
    </row>
    <row r="34" customFormat="false" ht="15" hidden="false" customHeight="false" outlineLevel="0" collapsed="false">
      <c r="A34" s="6" t="s">
        <v>466</v>
      </c>
      <c r="B34" s="4" t="s">
        <v>467</v>
      </c>
      <c r="C34" s="6" t="n">
        <v>3</v>
      </c>
      <c r="D34" s="6" t="n">
        <f aca="false">COUNTIFS('Sale List'!$F$5:$F$421,B34,'Sale List'!$G$5:$G$421,C34)</f>
        <v>1</v>
      </c>
      <c r="E34" s="5" t="n">
        <f aca="false">SUMIFS('Sale List'!$D$5:$D$421,'Sale List'!$F$5:$F$421,B34,'Sale List'!$G$5:$G$421,C34)</f>
        <v>309.93</v>
      </c>
    </row>
    <row r="35" customFormat="false" ht="15" hidden="false" customHeight="false" outlineLevel="0" collapsed="false">
      <c r="A35" s="6" t="s">
        <v>466</v>
      </c>
      <c r="B35" s="4" t="s">
        <v>467</v>
      </c>
      <c r="C35" s="6" t="n">
        <v>4</v>
      </c>
      <c r="D35" s="6" t="n">
        <f aca="false">COUNTIFS('Sale List'!$F$5:$F$421,B35,'Sale List'!$G$5:$G$421,C35)</f>
        <v>4</v>
      </c>
      <c r="E35" s="5" t="n">
        <f aca="false">SUMIFS('Sale List'!$D$5:$D$421,'Sale List'!$F$5:$F$421,B35,'Sale List'!$G$5:$G$421,C35)</f>
        <v>1455.18</v>
      </c>
    </row>
    <row r="36" customFormat="false" ht="15" hidden="false" customHeight="false" outlineLevel="0" collapsed="false">
      <c r="A36" s="6" t="s">
        <v>466</v>
      </c>
      <c r="B36" s="4" t="s">
        <v>467</v>
      </c>
      <c r="C36" s="6" t="n">
        <v>5</v>
      </c>
      <c r="D36" s="6" t="n">
        <f aca="false">COUNTIFS('Sale List'!$F$5:$F$421,B36,'Sale List'!$G$5:$G$421,C36)</f>
        <v>5</v>
      </c>
      <c r="E36" s="5" t="n">
        <f aca="false">SUMIFS('Sale List'!$D$5:$D$421,'Sale List'!$F$5:$F$421,B36,'Sale List'!$G$5:$G$421,C36)</f>
        <v>1838.51</v>
      </c>
    </row>
    <row r="37" customFormat="false" ht="15" hidden="false" customHeight="false" outlineLevel="0" collapsed="false">
      <c r="A37" s="6" t="s">
        <v>466</v>
      </c>
      <c r="B37" s="4" t="s">
        <v>467</v>
      </c>
      <c r="C37" s="6" t="n">
        <v>6</v>
      </c>
      <c r="D37" s="6" t="n">
        <f aca="false">COUNTIFS('Sale List'!$F$5:$F$421,B37,'Sale List'!$G$5:$G$421,C37)</f>
        <v>2</v>
      </c>
      <c r="E37" s="5" t="n">
        <f aca="false">SUMIFS('Sale List'!$D$5:$D$421,'Sale List'!$F$5:$F$421,B37,'Sale List'!$G$5:$G$421,C37)</f>
        <v>768.18</v>
      </c>
    </row>
    <row r="38" customFormat="false" ht="15" hidden="false" customHeight="false" outlineLevel="0" collapsed="false">
      <c r="A38" s="6" t="s">
        <v>466</v>
      </c>
      <c r="B38" s="4" t="s">
        <v>467</v>
      </c>
      <c r="C38" s="6" t="n">
        <v>7</v>
      </c>
      <c r="D38" s="6" t="n">
        <f aca="false">COUNTIFS('Sale List'!$F$5:$F$421,B38,'Sale List'!$G$5:$G$421,C38)</f>
        <v>1</v>
      </c>
      <c r="E38" s="5" t="n">
        <f aca="false">SUMIFS('Sale List'!$D$5:$D$421,'Sale List'!$F$5:$F$421,B38,'Sale List'!$G$5:$G$421,C38)</f>
        <v>145.05</v>
      </c>
    </row>
    <row r="39" customFormat="false" ht="15" hidden="false" customHeight="false" outlineLevel="0" collapsed="false">
      <c r="A39" s="6" t="s">
        <v>466</v>
      </c>
      <c r="B39" s="4" t="s">
        <v>467</v>
      </c>
      <c r="C39" s="6" t="n">
        <v>8</v>
      </c>
      <c r="D39" s="6" t="n">
        <f aca="false">COUNTIFS('Sale List'!$F$5:$F$421,B39,'Sale List'!$G$5:$G$421,C39)</f>
        <v>2</v>
      </c>
      <c r="E39" s="5" t="n">
        <f aca="false">SUMIFS('Sale List'!$D$5:$D$421,'Sale List'!$F$5:$F$421,B39,'Sale List'!$G$5:$G$421,C39)</f>
        <v>411.33</v>
      </c>
    </row>
    <row r="40" customFormat="false" ht="15" hidden="false" customHeight="false" outlineLevel="0" collapsed="false">
      <c r="A40" s="6" t="s">
        <v>466</v>
      </c>
      <c r="B40" s="4" t="s">
        <v>467</v>
      </c>
      <c r="C40" s="6" t="n">
        <v>9</v>
      </c>
      <c r="D40" s="6" t="n">
        <f aca="false">COUNTIFS('Sale List'!$F$5:$F$421,B40,'Sale List'!$G$5:$G$421,C40)</f>
        <v>1</v>
      </c>
      <c r="E40" s="5" t="n">
        <f aca="false">SUMIFS('Sale List'!$D$5:$D$421,'Sale List'!$F$5:$F$421,B40,'Sale List'!$G$5:$G$421,C40)</f>
        <v>201.7</v>
      </c>
    </row>
    <row r="41" customFormat="false" ht="15" hidden="false" customHeight="false" outlineLevel="0" collapsed="false">
      <c r="A41" s="14"/>
      <c r="B41" s="14" t="s">
        <v>1239</v>
      </c>
      <c r="C41" s="14"/>
      <c r="D41" s="15" t="n">
        <f aca="false">SUM(D34:D40)</f>
        <v>16</v>
      </c>
      <c r="E41" s="16" t="n">
        <f aca="false">SUM(E34:E40)</f>
        <v>5129.88</v>
      </c>
    </row>
    <row r="42" customFormat="false" ht="15" hidden="false" customHeight="false" outlineLevel="0" collapsed="false">
      <c r="A42" s="7"/>
      <c r="B42" s="7" t="s">
        <v>1240</v>
      </c>
      <c r="C42" s="7"/>
      <c r="D42" s="11" t="n">
        <f aca="false">D7+D10+D15+D18+D22+D25+D27+D31+D33+D41</f>
        <v>417</v>
      </c>
      <c r="E42" s="8" t="n">
        <f aca="false">E7+E10+E15+E18+E22+E25+E27+E31+E33+E41</f>
        <v>2291638.01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3" topLeftCell="B4" activePane="bottomRight" state="frozen"/>
      <selection pane="topLeft" activeCell="A1" activeCellId="0" sqref="A1"/>
      <selection pane="topRight" activeCell="B1" activeCellId="0" sqref="B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8"/>
    <col collapsed="false" customWidth="true" hidden="false" outlineLevel="0" max="11" min="2" style="0" width="13"/>
  </cols>
  <sheetData>
    <row r="1" customFormat="false" ht="17.35" hidden="false" customHeight="false" outlineLevel="0" collapsed="false">
      <c r="A1" s="1" t="s">
        <v>1241</v>
      </c>
    </row>
    <row r="2" customFormat="false" ht="15" hidden="true" customHeight="false" outlineLevel="0" collapsed="false">
      <c r="B2" s="17" t="n">
        <v>0</v>
      </c>
      <c r="C2" s="17" t="n">
        <v>1</v>
      </c>
      <c r="D2" s="17" t="n">
        <v>3</v>
      </c>
      <c r="E2" s="17" t="n">
        <v>4</v>
      </c>
      <c r="F2" s="17" t="n">
        <v>5</v>
      </c>
      <c r="G2" s="17" t="n">
        <v>6</v>
      </c>
      <c r="H2" s="17" t="n">
        <v>7</v>
      </c>
      <c r="I2" s="17" t="n">
        <v>8</v>
      </c>
      <c r="J2" s="17" t="n">
        <v>9</v>
      </c>
    </row>
    <row r="3" customFormat="false" ht="15" hidden="false" customHeight="false" outlineLevel="0" collapsed="false">
      <c r="A3" s="3" t="s">
        <v>7</v>
      </c>
      <c r="B3" s="3" t="s">
        <v>1242</v>
      </c>
      <c r="C3" s="3" t="s">
        <v>1243</v>
      </c>
      <c r="D3" s="3" t="s">
        <v>1244</v>
      </c>
      <c r="E3" s="3" t="s">
        <v>1245</v>
      </c>
      <c r="F3" s="3" t="s">
        <v>1246</v>
      </c>
      <c r="G3" s="3" t="s">
        <v>1247</v>
      </c>
      <c r="H3" s="3" t="s">
        <v>1248</v>
      </c>
      <c r="I3" s="3" t="s">
        <v>1249</v>
      </c>
      <c r="J3" s="3" t="s">
        <v>1250</v>
      </c>
      <c r="K3" s="3" t="s">
        <v>1251</v>
      </c>
    </row>
    <row r="4" customFormat="false" ht="15" hidden="false" customHeight="false" outlineLevel="0" collapsed="false">
      <c r="A4" s="4" t="s">
        <v>13</v>
      </c>
      <c r="B4" s="18" t="n">
        <f aca="false">SUMIFS('Sale List'!$D$5:$D$421,'Sale List'!$F$5:$F$421,$A4,'Sale List'!$G$5:$G$421,B$2)</f>
        <v>0</v>
      </c>
      <c r="C4" s="18" t="n">
        <f aca="false">SUMIFS('Sale List'!$D$5:$D$421,'Sale List'!$F$5:$F$421,$A4,'Sale List'!$G$5:$G$421,C$2)</f>
        <v>0</v>
      </c>
      <c r="D4" s="18" t="n">
        <f aca="false">SUMIFS('Sale List'!$D$5:$D$421,'Sale List'!$F$5:$F$421,$A4,'Sale List'!$G$5:$G$421,D$2)</f>
        <v>0</v>
      </c>
      <c r="E4" s="18" t="n">
        <f aca="false">SUMIFS('Sale List'!$D$5:$D$421,'Sale List'!$F$5:$F$421,$A4,'Sale List'!$G$5:$G$421,E$2)</f>
        <v>112371.05</v>
      </c>
      <c r="F4" s="18" t="n">
        <f aca="false">SUMIFS('Sale List'!$D$5:$D$421,'Sale List'!$F$5:$F$421,$A4,'Sale List'!$G$5:$G$421,F$2)</f>
        <v>974337.24</v>
      </c>
      <c r="G4" s="18" t="n">
        <f aca="false">SUMIFS('Sale List'!$D$5:$D$421,'Sale List'!$F$5:$F$421,$A4,'Sale List'!$G$5:$G$421,G$2)</f>
        <v>51946.58</v>
      </c>
      <c r="H4" s="18" t="n">
        <f aca="false">SUMIFS('Sale List'!$D$5:$D$421,'Sale List'!$F$5:$F$421,$A4,'Sale List'!$G$5:$G$421,H$2)</f>
        <v>0</v>
      </c>
      <c r="I4" s="18" t="n">
        <f aca="false">SUMIFS('Sale List'!$D$5:$D$421,'Sale List'!$F$5:$F$421,$A4,'Sale List'!$G$5:$G$421,I$2)</f>
        <v>0</v>
      </c>
      <c r="J4" s="18" t="n">
        <f aca="false">SUMIFS('Sale List'!$D$5:$D$421,'Sale List'!$F$5:$F$421,$A4,'Sale List'!$G$5:$G$421,J$2)</f>
        <v>0</v>
      </c>
      <c r="K4" s="19" t="n">
        <f aca="false">SUM(B4:J4)</f>
        <v>1138654.87</v>
      </c>
    </row>
    <row r="5" customFormat="false" ht="15" hidden="false" customHeight="false" outlineLevel="0" collapsed="false">
      <c r="A5" s="4" t="s">
        <v>401</v>
      </c>
      <c r="B5" s="18" t="n">
        <f aca="false">SUMIFS('Sale List'!$D$5:$D$421,'Sale List'!$F$5:$F$421,$A5,'Sale List'!$G$5:$G$421,B$2)</f>
        <v>0</v>
      </c>
      <c r="C5" s="18" t="n">
        <f aca="false">SUMIFS('Sale List'!$D$5:$D$421,'Sale List'!$F$5:$F$421,$A5,'Sale List'!$G$5:$G$421,C$2)</f>
        <v>0</v>
      </c>
      <c r="D5" s="18" t="n">
        <f aca="false">SUMIFS('Sale List'!$D$5:$D$421,'Sale List'!$F$5:$F$421,$A5,'Sale List'!$G$5:$G$421,D$2)</f>
        <v>0</v>
      </c>
      <c r="E5" s="18" t="n">
        <f aca="false">SUMIFS('Sale List'!$D$5:$D$421,'Sale List'!$F$5:$F$421,$A5,'Sale List'!$G$5:$G$421,E$2)</f>
        <v>0</v>
      </c>
      <c r="F5" s="18" t="n">
        <f aca="false">SUMIFS('Sale List'!$D$5:$D$421,'Sale List'!$F$5:$F$421,$A5,'Sale List'!$G$5:$G$421,F$2)</f>
        <v>443073.98</v>
      </c>
      <c r="G5" s="18" t="n">
        <f aca="false">SUMIFS('Sale List'!$D$5:$D$421,'Sale List'!$F$5:$F$421,$A5,'Sale List'!$G$5:$G$421,G$2)</f>
        <v>16424.72</v>
      </c>
      <c r="H5" s="18" t="n">
        <f aca="false">SUMIFS('Sale List'!$D$5:$D$421,'Sale List'!$F$5:$F$421,$A5,'Sale List'!$G$5:$G$421,H$2)</f>
        <v>0</v>
      </c>
      <c r="I5" s="18" t="n">
        <f aca="false">SUMIFS('Sale List'!$D$5:$D$421,'Sale List'!$F$5:$F$421,$A5,'Sale List'!$G$5:$G$421,I$2)</f>
        <v>0</v>
      </c>
      <c r="J5" s="18" t="n">
        <f aca="false">SUMIFS('Sale List'!$D$5:$D$421,'Sale List'!$F$5:$F$421,$A5,'Sale List'!$G$5:$G$421,J$2)</f>
        <v>0</v>
      </c>
      <c r="K5" s="19" t="n">
        <f aca="false">SUM(B5:J5)</f>
        <v>459498.7</v>
      </c>
    </row>
    <row r="6" customFormat="false" ht="15" hidden="false" customHeight="false" outlineLevel="0" collapsed="false">
      <c r="A6" s="4" t="s">
        <v>18</v>
      </c>
      <c r="B6" s="18" t="n">
        <f aca="false">SUMIFS('Sale List'!$D$5:$D$421,'Sale List'!$F$5:$F$421,$A6,'Sale List'!$G$5:$G$421,B$2)</f>
        <v>0</v>
      </c>
      <c r="C6" s="18" t="n">
        <f aca="false">SUMIFS('Sale List'!$D$5:$D$421,'Sale List'!$F$5:$F$421,$A6,'Sale List'!$G$5:$G$421,C$2)</f>
        <v>0</v>
      </c>
      <c r="D6" s="18" t="n">
        <f aca="false">SUMIFS('Sale List'!$D$5:$D$421,'Sale List'!$F$5:$F$421,$A6,'Sale List'!$G$5:$G$421,D$2)</f>
        <v>0</v>
      </c>
      <c r="E6" s="18" t="n">
        <f aca="false">SUMIFS('Sale List'!$D$5:$D$421,'Sale List'!$F$5:$F$421,$A6,'Sale List'!$G$5:$G$421,E$2)</f>
        <v>270451.61</v>
      </c>
      <c r="F6" s="18" t="n">
        <f aca="false">SUMIFS('Sale List'!$D$5:$D$421,'Sale List'!$F$5:$F$421,$A6,'Sale List'!$G$5:$G$421,F$2)</f>
        <v>25002.46</v>
      </c>
      <c r="G6" s="18" t="n">
        <f aca="false">SUMIFS('Sale List'!$D$5:$D$421,'Sale List'!$F$5:$F$421,$A6,'Sale List'!$G$5:$G$421,G$2)</f>
        <v>1768.51</v>
      </c>
      <c r="H6" s="18" t="n">
        <f aca="false">SUMIFS('Sale List'!$D$5:$D$421,'Sale List'!$F$5:$F$421,$A6,'Sale List'!$G$5:$G$421,H$2)</f>
        <v>2672.21</v>
      </c>
      <c r="I6" s="18" t="n">
        <f aca="false">SUMIFS('Sale List'!$D$5:$D$421,'Sale List'!$F$5:$F$421,$A6,'Sale List'!$G$5:$G$421,I$2)</f>
        <v>0</v>
      </c>
      <c r="J6" s="18" t="n">
        <f aca="false">SUMIFS('Sale List'!$D$5:$D$421,'Sale List'!$F$5:$F$421,$A6,'Sale List'!$G$5:$G$421,J$2)</f>
        <v>0</v>
      </c>
      <c r="K6" s="19" t="n">
        <f aca="false">SUM(B6:J6)</f>
        <v>299894.79</v>
      </c>
    </row>
    <row r="7" customFormat="false" ht="15" hidden="false" customHeight="false" outlineLevel="0" collapsed="false">
      <c r="A7" s="4" t="s">
        <v>35</v>
      </c>
      <c r="B7" s="18" t="n">
        <f aca="false">SUMIFS('Sale List'!$D$5:$D$421,'Sale List'!$F$5:$F$421,$A7,'Sale List'!$G$5:$G$421,B$2)</f>
        <v>0</v>
      </c>
      <c r="C7" s="18" t="n">
        <f aca="false">SUMIFS('Sale List'!$D$5:$D$421,'Sale List'!$F$5:$F$421,$A7,'Sale List'!$G$5:$G$421,C$2)</f>
        <v>0</v>
      </c>
      <c r="D7" s="18" t="n">
        <f aca="false">SUMIFS('Sale List'!$D$5:$D$421,'Sale List'!$F$5:$F$421,$A7,'Sale List'!$G$5:$G$421,D$2)</f>
        <v>0</v>
      </c>
      <c r="E7" s="18" t="n">
        <f aca="false">SUMIFS('Sale List'!$D$5:$D$421,'Sale List'!$F$5:$F$421,$A7,'Sale List'!$G$5:$G$421,E$2)</f>
        <v>199271.54</v>
      </c>
      <c r="F7" s="18" t="n">
        <f aca="false">SUMIFS('Sale List'!$D$5:$D$421,'Sale List'!$F$5:$F$421,$A7,'Sale List'!$G$5:$G$421,F$2)</f>
        <v>50579.1</v>
      </c>
      <c r="G7" s="18" t="n">
        <f aca="false">SUMIFS('Sale List'!$D$5:$D$421,'Sale List'!$F$5:$F$421,$A7,'Sale List'!$G$5:$G$421,G$2)</f>
        <v>0</v>
      </c>
      <c r="H7" s="18" t="n">
        <f aca="false">SUMIFS('Sale List'!$D$5:$D$421,'Sale List'!$F$5:$F$421,$A7,'Sale List'!$G$5:$G$421,H$2)</f>
        <v>0</v>
      </c>
      <c r="I7" s="18" t="n">
        <f aca="false">SUMIFS('Sale List'!$D$5:$D$421,'Sale List'!$F$5:$F$421,$A7,'Sale List'!$G$5:$G$421,I$2)</f>
        <v>0</v>
      </c>
      <c r="J7" s="18" t="n">
        <f aca="false">SUMIFS('Sale List'!$D$5:$D$421,'Sale List'!$F$5:$F$421,$A7,'Sale List'!$G$5:$G$421,J$2)</f>
        <v>0</v>
      </c>
      <c r="K7" s="19" t="n">
        <f aca="false">SUM(B7:J7)</f>
        <v>249850.64</v>
      </c>
    </row>
    <row r="8" customFormat="false" ht="15" hidden="false" customHeight="false" outlineLevel="0" collapsed="false">
      <c r="A8" s="4" t="s">
        <v>49</v>
      </c>
      <c r="B8" s="18" t="n">
        <f aca="false">SUMIFS('Sale List'!$D$5:$D$421,'Sale List'!$F$5:$F$421,$A8,'Sale List'!$G$5:$G$421,B$2)</f>
        <v>0</v>
      </c>
      <c r="C8" s="18" t="n">
        <f aca="false">SUMIFS('Sale List'!$D$5:$D$421,'Sale List'!$F$5:$F$421,$A8,'Sale List'!$G$5:$G$421,C$2)</f>
        <v>0</v>
      </c>
      <c r="D8" s="18" t="n">
        <f aca="false">SUMIFS('Sale List'!$D$5:$D$421,'Sale List'!$F$5:$F$421,$A8,'Sale List'!$G$5:$G$421,D$2)</f>
        <v>0</v>
      </c>
      <c r="E8" s="18" t="n">
        <f aca="false">SUMIFS('Sale List'!$D$5:$D$421,'Sale List'!$F$5:$F$421,$A8,'Sale List'!$G$5:$G$421,E$2)</f>
        <v>0</v>
      </c>
      <c r="F8" s="18" t="n">
        <f aca="false">SUMIFS('Sale List'!$D$5:$D$421,'Sale List'!$F$5:$F$421,$A8,'Sale List'!$G$5:$G$421,F$2)</f>
        <v>0</v>
      </c>
      <c r="G8" s="18" t="n">
        <f aca="false">SUMIFS('Sale List'!$D$5:$D$421,'Sale List'!$F$5:$F$421,$A8,'Sale List'!$G$5:$G$421,G$2)</f>
        <v>0</v>
      </c>
      <c r="H8" s="18" t="n">
        <f aca="false">SUMIFS('Sale List'!$D$5:$D$421,'Sale List'!$F$5:$F$421,$A8,'Sale List'!$G$5:$G$421,H$2)</f>
        <v>37194.92</v>
      </c>
      <c r="I8" s="18" t="n">
        <f aca="false">SUMIFS('Sale List'!$D$5:$D$421,'Sale List'!$F$5:$F$421,$A8,'Sale List'!$G$5:$G$421,I$2)</f>
        <v>32677.8</v>
      </c>
      <c r="J8" s="18" t="n">
        <f aca="false">SUMIFS('Sale List'!$D$5:$D$421,'Sale List'!$F$5:$F$421,$A8,'Sale List'!$G$5:$G$421,J$2)</f>
        <v>14553.61</v>
      </c>
      <c r="K8" s="19" t="n">
        <f aca="false">SUM(B8:J8)</f>
        <v>84426.33</v>
      </c>
    </row>
    <row r="9" customFormat="false" ht="15" hidden="false" customHeight="false" outlineLevel="0" collapsed="false">
      <c r="A9" s="4" t="s">
        <v>106</v>
      </c>
      <c r="B9" s="18" t="n">
        <f aca="false">SUMIFS('Sale List'!$D$5:$D$421,'Sale List'!$F$5:$F$421,$A9,'Sale List'!$G$5:$G$421,B$2)</f>
        <v>7615.58</v>
      </c>
      <c r="C9" s="18" t="n">
        <f aca="false">SUMIFS('Sale List'!$D$5:$D$421,'Sale List'!$F$5:$F$421,$A9,'Sale List'!$G$5:$G$421,C$2)</f>
        <v>12433.68</v>
      </c>
      <c r="D9" s="18" t="n">
        <f aca="false">SUMIFS('Sale List'!$D$5:$D$421,'Sale List'!$F$5:$F$421,$A9,'Sale List'!$G$5:$G$421,D$2)</f>
        <v>0</v>
      </c>
      <c r="E9" s="18" t="n">
        <f aca="false">SUMIFS('Sale List'!$D$5:$D$421,'Sale List'!$F$5:$F$421,$A9,'Sale List'!$G$5:$G$421,E$2)</f>
        <v>0</v>
      </c>
      <c r="F9" s="18" t="n">
        <f aca="false">SUMIFS('Sale List'!$D$5:$D$421,'Sale List'!$F$5:$F$421,$A9,'Sale List'!$G$5:$G$421,F$2)</f>
        <v>0</v>
      </c>
      <c r="G9" s="18" t="n">
        <f aca="false">SUMIFS('Sale List'!$D$5:$D$421,'Sale List'!$F$5:$F$421,$A9,'Sale List'!$G$5:$G$421,G$2)</f>
        <v>0</v>
      </c>
      <c r="H9" s="18" t="n">
        <f aca="false">SUMIFS('Sale List'!$D$5:$D$421,'Sale List'!$F$5:$F$421,$A9,'Sale List'!$G$5:$G$421,H$2)</f>
        <v>0</v>
      </c>
      <c r="I9" s="18" t="n">
        <f aca="false">SUMIFS('Sale List'!$D$5:$D$421,'Sale List'!$F$5:$F$421,$A9,'Sale List'!$G$5:$G$421,I$2)</f>
        <v>0</v>
      </c>
      <c r="J9" s="18" t="n">
        <f aca="false">SUMIFS('Sale List'!$D$5:$D$421,'Sale List'!$F$5:$F$421,$A9,'Sale List'!$G$5:$G$421,J$2)</f>
        <v>0</v>
      </c>
      <c r="K9" s="19" t="n">
        <f aca="false">SUM(B9:J9)</f>
        <v>20049.26</v>
      </c>
    </row>
    <row r="10" customFormat="false" ht="15" hidden="false" customHeight="false" outlineLevel="0" collapsed="false">
      <c r="A10" s="4" t="s">
        <v>195</v>
      </c>
      <c r="B10" s="18" t="n">
        <f aca="false">SUMIFS('Sale List'!$D$5:$D$421,'Sale List'!$F$5:$F$421,$A10,'Sale List'!$G$5:$G$421,B$2)</f>
        <v>0</v>
      </c>
      <c r="C10" s="18" t="n">
        <f aca="false">SUMIFS('Sale List'!$D$5:$D$421,'Sale List'!$F$5:$F$421,$A10,'Sale List'!$G$5:$G$421,C$2)</f>
        <v>0</v>
      </c>
      <c r="D10" s="18" t="n">
        <f aca="false">SUMIFS('Sale List'!$D$5:$D$421,'Sale List'!$F$5:$F$421,$A10,'Sale List'!$G$5:$G$421,D$2)</f>
        <v>0</v>
      </c>
      <c r="E10" s="18" t="n">
        <f aca="false">SUMIFS('Sale List'!$D$5:$D$421,'Sale List'!$F$5:$F$421,$A10,'Sale List'!$G$5:$G$421,E$2)</f>
        <v>0</v>
      </c>
      <c r="F10" s="18" t="n">
        <f aca="false">SUMIFS('Sale List'!$D$5:$D$421,'Sale List'!$F$5:$F$421,$A10,'Sale List'!$G$5:$G$421,F$2)</f>
        <v>0</v>
      </c>
      <c r="G10" s="18" t="n">
        <f aca="false">SUMIFS('Sale List'!$D$5:$D$421,'Sale List'!$F$5:$F$421,$A10,'Sale List'!$G$5:$G$421,G$2)</f>
        <v>0</v>
      </c>
      <c r="H10" s="18" t="n">
        <f aca="false">SUMIFS('Sale List'!$D$5:$D$421,'Sale List'!$F$5:$F$421,$A10,'Sale List'!$G$5:$G$421,H$2)</f>
        <v>0</v>
      </c>
      <c r="I10" s="18" t="n">
        <f aca="false">SUMIFS('Sale List'!$D$5:$D$421,'Sale List'!$F$5:$F$421,$A10,'Sale List'!$G$5:$G$421,I$2)</f>
        <v>0</v>
      </c>
      <c r="J10" s="18" t="n">
        <f aca="false">SUMIFS('Sale List'!$D$5:$D$421,'Sale List'!$F$5:$F$421,$A10,'Sale List'!$G$5:$G$421,J$2)</f>
        <v>15596.99</v>
      </c>
      <c r="K10" s="19" t="n">
        <f aca="false">SUM(B10:J10)</f>
        <v>15596.99</v>
      </c>
    </row>
    <row r="11" customFormat="false" ht="15" hidden="false" customHeight="false" outlineLevel="0" collapsed="false">
      <c r="A11" s="4" t="s">
        <v>392</v>
      </c>
      <c r="B11" s="18" t="n">
        <f aca="false">SUMIFS('Sale List'!$D$5:$D$421,'Sale List'!$F$5:$F$421,$A11,'Sale List'!$G$5:$G$421,B$2)</f>
        <v>0</v>
      </c>
      <c r="C11" s="18" t="n">
        <f aca="false">SUMIFS('Sale List'!$D$5:$D$421,'Sale List'!$F$5:$F$421,$A11,'Sale List'!$G$5:$G$421,C$2)</f>
        <v>0</v>
      </c>
      <c r="D11" s="18" t="n">
        <f aca="false">SUMIFS('Sale List'!$D$5:$D$421,'Sale List'!$F$5:$F$421,$A11,'Sale List'!$G$5:$G$421,D$2)</f>
        <v>0</v>
      </c>
      <c r="E11" s="18" t="n">
        <f aca="false">SUMIFS('Sale List'!$D$5:$D$421,'Sale List'!$F$5:$F$421,$A11,'Sale List'!$G$5:$G$421,E$2)</f>
        <v>0</v>
      </c>
      <c r="F11" s="18" t="n">
        <f aca="false">SUMIFS('Sale List'!$D$5:$D$421,'Sale List'!$F$5:$F$421,$A11,'Sale List'!$G$5:$G$421,F$2)</f>
        <v>0</v>
      </c>
      <c r="G11" s="18" t="n">
        <f aca="false">SUMIFS('Sale List'!$D$5:$D$421,'Sale List'!$F$5:$F$421,$A11,'Sale List'!$G$5:$G$421,G$2)</f>
        <v>0</v>
      </c>
      <c r="H11" s="18" t="n">
        <f aca="false">SUMIFS('Sale List'!$D$5:$D$421,'Sale List'!$F$5:$F$421,$A11,'Sale List'!$G$5:$G$421,H$2)</f>
        <v>2984.31</v>
      </c>
      <c r="I11" s="18" t="n">
        <f aca="false">SUMIFS('Sale List'!$D$5:$D$421,'Sale List'!$F$5:$F$421,$A11,'Sale List'!$G$5:$G$421,I$2)</f>
        <v>7560.75</v>
      </c>
      <c r="J11" s="18" t="n">
        <f aca="false">SUMIFS('Sale List'!$D$5:$D$421,'Sale List'!$F$5:$F$421,$A11,'Sale List'!$G$5:$G$421,J$2)</f>
        <v>1972.02</v>
      </c>
      <c r="K11" s="19" t="n">
        <f aca="false">SUM(B11:J11)</f>
        <v>12517.08</v>
      </c>
    </row>
    <row r="12" customFormat="false" ht="15" hidden="false" customHeight="false" outlineLevel="0" collapsed="false">
      <c r="A12" s="4" t="s">
        <v>1051</v>
      </c>
      <c r="B12" s="18" t="n">
        <f aca="false">SUMIFS('Sale List'!$D$5:$D$421,'Sale List'!$F$5:$F$421,$A12,'Sale List'!$G$5:$G$421,B$2)</f>
        <v>0</v>
      </c>
      <c r="C12" s="18" t="n">
        <f aca="false">SUMIFS('Sale List'!$D$5:$D$421,'Sale List'!$F$5:$F$421,$A12,'Sale List'!$G$5:$G$421,C$2)</f>
        <v>0</v>
      </c>
      <c r="D12" s="18" t="n">
        <f aca="false">SUMIFS('Sale List'!$D$5:$D$421,'Sale List'!$F$5:$F$421,$A12,'Sale List'!$G$5:$G$421,D$2)</f>
        <v>0</v>
      </c>
      <c r="E12" s="18" t="n">
        <f aca="false">SUMIFS('Sale List'!$D$5:$D$421,'Sale List'!$F$5:$F$421,$A12,'Sale List'!$G$5:$G$421,E$2)</f>
        <v>6019.47</v>
      </c>
      <c r="F12" s="18" t="n">
        <f aca="false">SUMIFS('Sale List'!$D$5:$D$421,'Sale List'!$F$5:$F$421,$A12,'Sale List'!$G$5:$G$421,F$2)</f>
        <v>0</v>
      </c>
      <c r="G12" s="18" t="n">
        <f aca="false">SUMIFS('Sale List'!$D$5:$D$421,'Sale List'!$F$5:$F$421,$A12,'Sale List'!$G$5:$G$421,G$2)</f>
        <v>0</v>
      </c>
      <c r="H12" s="18" t="n">
        <f aca="false">SUMIFS('Sale List'!$D$5:$D$421,'Sale List'!$F$5:$F$421,$A12,'Sale List'!$G$5:$G$421,H$2)</f>
        <v>0</v>
      </c>
      <c r="I12" s="18" t="n">
        <f aca="false">SUMIFS('Sale List'!$D$5:$D$421,'Sale List'!$F$5:$F$421,$A12,'Sale List'!$G$5:$G$421,I$2)</f>
        <v>0</v>
      </c>
      <c r="J12" s="18" t="n">
        <f aca="false">SUMIFS('Sale List'!$D$5:$D$421,'Sale List'!$F$5:$F$421,$A12,'Sale List'!$G$5:$G$421,J$2)</f>
        <v>0</v>
      </c>
      <c r="K12" s="19" t="n">
        <f aca="false">SUM(B12:J12)</f>
        <v>6019.47</v>
      </c>
    </row>
    <row r="13" customFormat="false" ht="15" hidden="false" customHeight="false" outlineLevel="0" collapsed="false">
      <c r="A13" s="4" t="s">
        <v>467</v>
      </c>
      <c r="B13" s="18" t="n">
        <f aca="false">SUMIFS('Sale List'!$D$5:$D$421,'Sale List'!$F$5:$F$421,$A13,'Sale List'!$G$5:$G$421,B$2)</f>
        <v>0</v>
      </c>
      <c r="C13" s="18" t="n">
        <f aca="false">SUMIFS('Sale List'!$D$5:$D$421,'Sale List'!$F$5:$F$421,$A13,'Sale List'!$G$5:$G$421,C$2)</f>
        <v>0</v>
      </c>
      <c r="D13" s="18" t="n">
        <f aca="false">SUMIFS('Sale List'!$D$5:$D$421,'Sale List'!$F$5:$F$421,$A13,'Sale List'!$G$5:$G$421,D$2)</f>
        <v>309.93</v>
      </c>
      <c r="E13" s="18" t="n">
        <f aca="false">SUMIFS('Sale List'!$D$5:$D$421,'Sale List'!$F$5:$F$421,$A13,'Sale List'!$G$5:$G$421,E$2)</f>
        <v>1455.18</v>
      </c>
      <c r="F13" s="18" t="n">
        <f aca="false">SUMIFS('Sale List'!$D$5:$D$421,'Sale List'!$F$5:$F$421,$A13,'Sale List'!$G$5:$G$421,F$2)</f>
        <v>1838.51</v>
      </c>
      <c r="G13" s="18" t="n">
        <f aca="false">SUMIFS('Sale List'!$D$5:$D$421,'Sale List'!$F$5:$F$421,$A13,'Sale List'!$G$5:$G$421,G$2)</f>
        <v>768.18</v>
      </c>
      <c r="H13" s="18" t="n">
        <f aca="false">SUMIFS('Sale List'!$D$5:$D$421,'Sale List'!$F$5:$F$421,$A13,'Sale List'!$G$5:$G$421,H$2)</f>
        <v>145.05</v>
      </c>
      <c r="I13" s="18" t="n">
        <f aca="false">SUMIFS('Sale List'!$D$5:$D$421,'Sale List'!$F$5:$F$421,$A13,'Sale List'!$G$5:$G$421,I$2)</f>
        <v>411.33</v>
      </c>
      <c r="J13" s="18" t="n">
        <f aca="false">SUMIFS('Sale List'!$D$5:$D$421,'Sale List'!$F$5:$F$421,$A13,'Sale List'!$G$5:$G$421,J$2)</f>
        <v>201.7</v>
      </c>
      <c r="K13" s="19" t="n">
        <f aca="false">SUM(B13:J13)</f>
        <v>5129.88</v>
      </c>
    </row>
    <row r="14" customFormat="false" ht="15" hidden="false" customHeight="false" outlineLevel="0" collapsed="false">
      <c r="A14" s="7" t="s">
        <v>1220</v>
      </c>
      <c r="B14" s="20" t="n">
        <f aca="false">SUM(B4:B13)</f>
        <v>7615.58</v>
      </c>
      <c r="C14" s="20" t="n">
        <f aca="false">SUM(C4:C13)</f>
        <v>12433.68</v>
      </c>
      <c r="D14" s="20" t="n">
        <f aca="false">SUM(D4:D13)</f>
        <v>309.93</v>
      </c>
      <c r="E14" s="20" t="n">
        <f aca="false">SUM(E4:E13)</f>
        <v>589568.85</v>
      </c>
      <c r="F14" s="20" t="n">
        <f aca="false">SUM(F4:F13)</f>
        <v>1494831.29</v>
      </c>
      <c r="G14" s="20" t="n">
        <f aca="false">SUM(G4:G13)</f>
        <v>70907.99</v>
      </c>
      <c r="H14" s="20" t="n">
        <f aca="false">SUM(H4:H13)</f>
        <v>42996.49</v>
      </c>
      <c r="I14" s="20" t="n">
        <f aca="false">SUM(I4:I13)</f>
        <v>40649.88</v>
      </c>
      <c r="J14" s="20" t="n">
        <f aca="false">SUM(J4:J13)</f>
        <v>32324.32</v>
      </c>
      <c r="K14" s="20" t="n">
        <f aca="false">SUM(K4:K13)</f>
        <v>2291638.01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2026-10-29T15:18:52Z</dcterms:created>
  <dc:creator>openpyxl</dc:creator>
  <dc:description/>
  <dc:language>en-US</dc:language>
  <cp:lastModifiedBy/>
  <dcterms:modified xsi:type="dcterms:W3CDTF">2026-10-29T15:18:52Z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